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hidePivotFieldList="1" defaultThemeVersion="124226"/>
  <bookViews>
    <workbookView xWindow="120" yWindow="90" windowWidth="23895" windowHeight="13740"/>
  </bookViews>
  <sheets>
    <sheet name="公司各渠道指标可视化" sheetId="4" r:id="rId1"/>
    <sheet name="公司整体" sheetId="1" state="hidden" r:id="rId2"/>
    <sheet name="Sheet4" sheetId="5" state="hidden" r:id="rId3"/>
    <sheet name="图表数据" sheetId="6" state="hidden" r:id="rId4"/>
    <sheet name="智能分析" sheetId="7" state="hidden" r:id="rId5"/>
  </sheets>
  <definedNames>
    <definedName name="个险渠道">Sheet4!$D$3:$D$21</definedName>
    <definedName name="公司渠道">Sheet4!$B$3:$B$6</definedName>
    <definedName name="团险渠道">Sheet4!$E$3:$E$7</definedName>
    <definedName name="续期渠道">Sheet4!$F$3:$F$4</definedName>
    <definedName name="银保渠道">Sheet4!$C$3:$C$22</definedName>
  </definedNames>
  <calcPr calcId="144525"/>
</workbook>
</file>

<file path=xl/calcChain.xml><?xml version="1.0" encoding="utf-8"?>
<calcChain xmlns="http://schemas.openxmlformats.org/spreadsheetml/2006/main">
  <c r="T1108" i="6" l="1"/>
  <c r="T1109" i="6"/>
  <c r="T1110" i="6"/>
  <c r="T1111" i="6"/>
  <c r="T1112" i="6"/>
  <c r="T1113" i="6"/>
  <c r="T1114" i="6"/>
  <c r="T1115" i="6"/>
  <c r="A1093" i="6"/>
  <c r="T1093" i="6" s="1"/>
  <c r="B1093" i="6"/>
  <c r="A1094" i="6"/>
  <c r="T1094" i="6" s="1"/>
  <c r="B1094" i="6"/>
  <c r="A1095" i="6"/>
  <c r="T1095" i="6" s="1"/>
  <c r="B1095" i="6"/>
  <c r="A1096" i="6"/>
  <c r="T1096" i="6" s="1"/>
  <c r="B1096" i="6"/>
  <c r="A1097" i="6"/>
  <c r="T1097" i="6" s="1"/>
  <c r="B1097" i="6"/>
  <c r="A1098" i="6"/>
  <c r="T1098" i="6" s="1"/>
  <c r="B1098" i="6"/>
  <c r="A1099" i="6"/>
  <c r="T1099" i="6" s="1"/>
  <c r="B1099" i="6"/>
  <c r="A1100" i="6"/>
  <c r="T1100" i="6" s="1"/>
  <c r="B1100" i="6"/>
  <c r="A1101" i="6"/>
  <c r="T1101" i="6" s="1"/>
  <c r="B1101" i="6"/>
  <c r="A1102" i="6"/>
  <c r="T1102" i="6" s="1"/>
  <c r="B1102" i="6"/>
  <c r="A1103" i="6"/>
  <c r="T1103" i="6" s="1"/>
  <c r="B1103" i="6"/>
  <c r="A1104" i="6"/>
  <c r="T1104" i="6" s="1"/>
  <c r="B1104" i="6"/>
  <c r="A1105" i="6"/>
  <c r="T1105" i="6" s="1"/>
  <c r="B1105" i="6"/>
  <c r="A1106" i="6"/>
  <c r="T1106" i="6" s="1"/>
  <c r="B1106" i="6"/>
  <c r="A1107" i="6"/>
  <c r="T1107" i="6" s="1"/>
  <c r="B1107" i="6"/>
  <c r="A1108" i="6"/>
  <c r="B1108" i="6"/>
  <c r="A1109" i="6"/>
  <c r="B1109" i="6"/>
  <c r="A1110" i="6"/>
  <c r="B1110" i="6"/>
  <c r="A1111" i="6"/>
  <c r="B1111" i="6"/>
  <c r="A1112" i="6"/>
  <c r="B1112" i="6"/>
  <c r="A1113" i="6"/>
  <c r="B1113" i="6"/>
  <c r="A1114" i="6"/>
  <c r="B1114" i="6"/>
  <c r="A1115" i="6"/>
  <c r="B1115" i="6"/>
  <c r="A1116" i="6"/>
  <c r="B1116" i="6"/>
  <c r="A1117" i="6"/>
  <c r="B1117" i="6"/>
  <c r="A1118" i="6"/>
  <c r="B1118" i="6"/>
  <c r="A1119" i="6"/>
  <c r="B1119" i="6"/>
  <c r="A1120" i="6"/>
  <c r="B1120" i="6"/>
  <c r="A1121" i="6"/>
  <c r="B1121" i="6"/>
  <c r="A1122" i="6"/>
  <c r="B1122" i="6"/>
  <c r="A1123" i="6"/>
  <c r="B1123" i="6"/>
  <c r="A1124" i="6"/>
  <c r="B1124" i="6"/>
  <c r="A1125" i="6"/>
  <c r="B1125" i="6"/>
  <c r="A1126" i="6"/>
  <c r="B1126" i="6"/>
  <c r="A1127" i="6"/>
  <c r="B1127" i="6"/>
  <c r="A1128" i="6"/>
  <c r="B1128" i="6"/>
  <c r="A1129" i="6"/>
  <c r="B1129" i="6"/>
  <c r="A1130" i="6"/>
  <c r="B1130" i="6"/>
  <c r="A1131" i="6"/>
  <c r="B1131" i="6"/>
  <c r="A1132" i="6"/>
  <c r="B1132" i="6"/>
  <c r="A1133" i="6"/>
  <c r="B1133" i="6"/>
  <c r="A1134" i="6"/>
  <c r="B1134" i="6"/>
  <c r="A1135" i="6"/>
  <c r="B1135" i="6"/>
  <c r="A1136" i="6"/>
  <c r="B1136" i="6"/>
  <c r="A1137" i="6"/>
  <c r="B1137" i="6"/>
  <c r="A1138" i="6"/>
  <c r="B1138" i="6"/>
  <c r="A1139" i="6"/>
  <c r="B1139" i="6"/>
  <c r="A1140" i="6"/>
  <c r="B1140" i="6"/>
  <c r="A1141" i="6"/>
  <c r="B1141" i="6"/>
  <c r="A1142" i="6"/>
  <c r="B1142" i="6"/>
  <c r="A1143" i="6"/>
  <c r="B1143" i="6"/>
  <c r="A1144" i="6"/>
  <c r="B1144" i="6"/>
  <c r="A1145" i="6"/>
  <c r="B1145" i="6"/>
  <c r="A1146" i="6"/>
  <c r="B1146" i="6"/>
  <c r="A1147" i="6"/>
  <c r="B1147" i="6"/>
  <c r="A1148" i="6"/>
  <c r="B1148" i="6"/>
  <c r="A1149" i="6"/>
  <c r="B1149" i="6"/>
  <c r="A1150" i="6"/>
  <c r="B1150" i="6"/>
  <c r="A1151" i="6"/>
  <c r="B1151" i="6"/>
  <c r="A1152" i="6"/>
  <c r="B1152" i="6"/>
  <c r="A1153" i="6"/>
  <c r="B1153" i="6"/>
  <c r="A1154" i="6"/>
  <c r="B1154" i="6"/>
  <c r="A1155" i="6"/>
  <c r="B1155" i="6"/>
  <c r="A1156" i="6"/>
  <c r="B1156" i="6"/>
  <c r="A1157" i="6"/>
  <c r="B1157" i="6"/>
  <c r="A1158" i="6"/>
  <c r="B1158" i="6"/>
  <c r="A1159" i="6"/>
  <c r="B1159" i="6"/>
  <c r="A1160" i="6"/>
  <c r="B1160" i="6"/>
  <c r="A1161" i="6"/>
  <c r="B1161" i="6"/>
  <c r="A1162" i="6"/>
  <c r="B1162" i="6"/>
  <c r="A1163" i="6"/>
  <c r="B1163" i="6"/>
  <c r="A1164" i="6"/>
  <c r="B1164" i="6"/>
  <c r="A1165" i="6"/>
  <c r="B1165" i="6"/>
  <c r="A1166" i="6"/>
  <c r="B1166" i="6"/>
  <c r="A1167" i="6"/>
  <c r="B1167" i="6"/>
  <c r="A1168" i="6"/>
  <c r="B1168" i="6"/>
  <c r="A1169" i="6"/>
  <c r="B1169" i="6"/>
  <c r="A1170" i="6"/>
  <c r="B1170" i="6"/>
  <c r="A1171" i="6"/>
  <c r="B1171" i="6"/>
  <c r="A1172" i="6"/>
  <c r="B1172" i="6"/>
  <c r="A1173" i="6"/>
  <c r="B1173" i="6"/>
  <c r="A1174" i="6"/>
  <c r="B1174" i="6"/>
  <c r="A1175" i="6"/>
  <c r="B1175" i="6"/>
  <c r="A1176" i="6"/>
  <c r="B1176" i="6"/>
  <c r="A1177" i="6"/>
  <c r="B1177" i="6"/>
  <c r="A1178" i="6"/>
  <c r="B1178" i="6"/>
  <c r="A1179" i="6"/>
  <c r="B1179" i="6"/>
  <c r="A1180" i="6"/>
  <c r="B1180" i="6"/>
  <c r="A1181" i="6"/>
  <c r="B1181" i="6"/>
  <c r="A1182" i="6"/>
  <c r="B1182" i="6"/>
  <c r="A1183" i="6"/>
  <c r="B1183" i="6"/>
  <c r="A1184" i="6"/>
  <c r="B1184" i="6"/>
  <c r="A1185" i="6"/>
  <c r="B1185" i="6"/>
  <c r="A1186" i="6"/>
  <c r="B1186" i="6"/>
  <c r="A1187" i="6"/>
  <c r="B1187" i="6"/>
  <c r="A1188" i="6"/>
  <c r="B1188" i="6"/>
  <c r="A1189" i="6"/>
  <c r="B1189" i="6"/>
  <c r="A1190" i="6"/>
  <c r="B1190" i="6"/>
  <c r="A1191" i="6"/>
  <c r="B1191" i="6"/>
  <c r="A1192" i="6"/>
  <c r="B1192" i="6"/>
  <c r="A1193" i="6"/>
  <c r="B1193" i="6"/>
  <c r="A1194" i="6"/>
  <c r="B1194" i="6"/>
  <c r="A1195" i="6"/>
  <c r="B1195" i="6"/>
  <c r="A1196" i="6"/>
  <c r="B1196" i="6"/>
  <c r="A1197" i="6"/>
  <c r="B1197" i="6"/>
  <c r="A1198" i="6"/>
  <c r="B1198" i="6"/>
  <c r="A1199" i="6"/>
  <c r="B1199" i="6"/>
  <c r="A1200" i="6"/>
  <c r="B1200" i="6"/>
  <c r="A1201" i="6"/>
  <c r="B1201" i="6"/>
  <c r="A1202" i="6"/>
  <c r="B1202" i="6"/>
  <c r="A1203" i="6"/>
  <c r="B1203" i="6"/>
  <c r="A1204" i="6"/>
  <c r="B1204" i="6"/>
  <c r="A1205" i="6"/>
  <c r="B1205" i="6"/>
  <c r="A1206" i="6"/>
  <c r="B1206" i="6"/>
  <c r="A1207" i="6"/>
  <c r="B1207" i="6"/>
  <c r="A1208" i="6"/>
  <c r="B1208" i="6"/>
  <c r="A1209" i="6"/>
  <c r="B1209" i="6"/>
  <c r="A1210" i="6"/>
  <c r="B1210" i="6"/>
  <c r="A1211" i="6"/>
  <c r="B1211" i="6"/>
  <c r="A1212" i="6"/>
  <c r="B1212" i="6"/>
  <c r="A1213" i="6"/>
  <c r="B1213" i="6"/>
  <c r="A1214" i="6"/>
  <c r="B1214" i="6"/>
  <c r="A1215" i="6"/>
  <c r="B1215" i="6"/>
  <c r="A1216" i="6"/>
  <c r="B1216" i="6"/>
  <c r="A1217" i="6"/>
  <c r="B1217" i="6"/>
  <c r="A1218" i="6"/>
  <c r="B1218" i="6"/>
  <c r="A1219" i="6"/>
  <c r="B1219" i="6"/>
  <c r="A1220" i="6"/>
  <c r="B1220" i="6"/>
  <c r="A1221" i="6"/>
  <c r="B1221" i="6"/>
  <c r="A1222" i="6"/>
  <c r="B1222" i="6"/>
  <c r="A1223" i="6"/>
  <c r="B1223" i="6"/>
  <c r="A1224" i="6"/>
  <c r="B1224" i="6"/>
  <c r="A1225" i="6"/>
  <c r="B1225" i="6"/>
  <c r="A1226" i="6"/>
  <c r="B1226" i="6"/>
  <c r="A1227" i="6"/>
  <c r="B1227" i="6"/>
  <c r="A1228" i="6"/>
  <c r="B1228" i="6"/>
  <c r="A1229" i="6"/>
  <c r="B1229" i="6"/>
  <c r="A1230" i="6"/>
  <c r="B1230" i="6"/>
  <c r="A1231" i="6"/>
  <c r="B1231" i="6"/>
  <c r="A1232" i="6"/>
  <c r="B1232" i="6"/>
  <c r="A1233" i="6"/>
  <c r="B1233" i="6"/>
  <c r="A1234" i="6"/>
  <c r="B1234" i="6"/>
  <c r="A1235" i="6"/>
  <c r="B1235" i="6"/>
  <c r="A1236" i="6"/>
  <c r="B1236" i="6"/>
  <c r="A1237" i="6"/>
  <c r="B1237" i="6"/>
  <c r="A1238" i="6"/>
  <c r="B1238" i="6"/>
  <c r="A1239" i="6"/>
  <c r="B1239" i="6"/>
  <c r="A1240" i="6"/>
  <c r="B1240" i="6"/>
  <c r="A1241" i="6"/>
  <c r="B1241" i="6"/>
  <c r="A1242" i="6"/>
  <c r="B1242" i="6"/>
  <c r="A1243" i="6"/>
  <c r="B1243" i="6"/>
  <c r="A1244" i="6"/>
  <c r="B1244" i="6"/>
  <c r="A1245" i="6"/>
  <c r="B1245" i="6"/>
  <c r="A1246" i="6"/>
  <c r="B1246" i="6"/>
  <c r="A1247" i="6"/>
  <c r="B1247" i="6"/>
  <c r="A1248" i="6"/>
  <c r="B1248" i="6"/>
  <c r="A1249" i="6"/>
  <c r="B1249" i="6"/>
  <c r="A1250" i="6"/>
  <c r="B1250" i="6"/>
  <c r="A1251" i="6"/>
  <c r="B1251" i="6"/>
  <c r="A1252" i="6"/>
  <c r="B1252" i="6"/>
  <c r="A1253" i="6"/>
  <c r="B1253" i="6"/>
  <c r="A1254" i="6"/>
  <c r="B1254" i="6"/>
  <c r="A1255" i="6"/>
  <c r="B1255" i="6"/>
  <c r="A1256" i="6"/>
  <c r="B1256" i="6"/>
  <c r="A1257" i="6"/>
  <c r="B1257" i="6"/>
  <c r="A1258" i="6"/>
  <c r="B1258" i="6"/>
  <c r="A1259" i="6"/>
  <c r="B1259" i="6"/>
  <c r="A1260" i="6"/>
  <c r="B1260" i="6"/>
  <c r="A1261" i="6"/>
  <c r="B1261" i="6"/>
  <c r="A1262" i="6"/>
  <c r="B1262" i="6"/>
  <c r="A1263" i="6"/>
  <c r="B1263" i="6"/>
  <c r="A1264" i="6"/>
  <c r="B1264" i="6"/>
  <c r="A1265" i="6"/>
  <c r="B1265" i="6"/>
  <c r="A1266" i="6"/>
  <c r="B1266" i="6"/>
  <c r="A1267" i="6"/>
  <c r="B1267" i="6"/>
  <c r="A1268" i="6"/>
  <c r="B1268" i="6"/>
  <c r="A1269" i="6"/>
  <c r="B1269" i="6"/>
  <c r="A1270" i="6"/>
  <c r="B1270" i="6"/>
  <c r="A1271" i="6"/>
  <c r="B1271" i="6"/>
  <c r="A1272" i="6"/>
  <c r="B1272" i="6"/>
  <c r="A1273" i="6"/>
  <c r="B1273" i="6"/>
  <c r="A1274" i="6"/>
  <c r="B1274" i="6"/>
  <c r="A1275" i="6"/>
  <c r="B1275" i="6"/>
  <c r="A1276" i="6"/>
  <c r="B1276" i="6"/>
  <c r="A1277" i="6"/>
  <c r="B1277" i="6"/>
  <c r="A1278" i="6"/>
  <c r="B1278" i="6"/>
  <c r="A1279" i="6"/>
  <c r="B1279" i="6"/>
  <c r="A1280" i="6"/>
  <c r="B1280" i="6"/>
  <c r="A1281" i="6"/>
  <c r="B1281" i="6"/>
  <c r="A1282" i="6"/>
  <c r="B1282" i="6"/>
  <c r="A1283" i="6"/>
  <c r="B1283" i="6"/>
  <c r="A1284" i="6"/>
  <c r="B1284" i="6"/>
  <c r="A1285" i="6"/>
  <c r="B1285" i="6"/>
  <c r="A1286" i="6"/>
  <c r="B1286" i="6"/>
  <c r="A1287" i="6"/>
  <c r="B1287" i="6"/>
  <c r="A1288" i="6"/>
  <c r="B1288" i="6"/>
  <c r="A1289" i="6"/>
  <c r="B1289" i="6"/>
  <c r="A1290" i="6"/>
  <c r="B1290" i="6"/>
  <c r="A1291" i="6"/>
  <c r="B1291" i="6"/>
  <c r="A1292" i="6"/>
  <c r="B1292" i="6"/>
  <c r="A1293" i="6"/>
  <c r="B1293" i="6"/>
  <c r="A1294" i="6"/>
  <c r="B1294" i="6"/>
  <c r="A1295" i="6"/>
  <c r="B1295" i="6"/>
  <c r="A1296" i="6"/>
  <c r="B1296" i="6"/>
  <c r="A1297" i="6"/>
  <c r="B1297" i="6"/>
  <c r="A1298" i="6"/>
  <c r="B1298" i="6"/>
  <c r="A1299" i="6"/>
  <c r="B1299" i="6"/>
  <c r="A1300" i="6"/>
  <c r="B1300" i="6"/>
  <c r="A1301" i="6"/>
  <c r="B1301" i="6"/>
  <c r="A1302" i="6"/>
  <c r="B1302" i="6"/>
  <c r="A1303" i="6"/>
  <c r="B1303" i="6"/>
  <c r="A1304" i="6"/>
  <c r="B1304" i="6"/>
  <c r="A1305" i="6"/>
  <c r="B1305" i="6"/>
  <c r="A1306" i="6"/>
  <c r="B1306" i="6"/>
  <c r="A1307" i="6"/>
  <c r="B1307" i="6"/>
  <c r="A1308" i="6"/>
  <c r="B1308" i="6"/>
  <c r="A1309" i="6"/>
  <c r="B1309" i="6"/>
  <c r="A1310" i="6"/>
  <c r="B1310" i="6"/>
  <c r="A1311" i="6"/>
  <c r="B1311" i="6"/>
  <c r="A1312" i="6"/>
  <c r="B1312" i="6"/>
  <c r="A1313" i="6"/>
  <c r="B1313" i="6"/>
  <c r="A1314" i="6"/>
  <c r="B1314" i="6"/>
  <c r="A1315" i="6"/>
  <c r="B1315" i="6"/>
  <c r="A1316" i="6"/>
  <c r="B1316" i="6"/>
  <c r="A1317" i="6"/>
  <c r="B1317" i="6"/>
  <c r="A1318" i="6"/>
  <c r="B1318" i="6"/>
  <c r="A1319" i="6"/>
  <c r="B1319" i="6"/>
  <c r="A1320" i="6"/>
  <c r="B1320" i="6"/>
  <c r="A1321" i="6"/>
  <c r="B1321" i="6"/>
  <c r="A1322" i="6"/>
  <c r="B1322" i="6"/>
  <c r="A1323" i="6"/>
  <c r="B1323" i="6"/>
  <c r="A1324" i="6"/>
  <c r="B1324" i="6"/>
  <c r="A1325" i="6"/>
  <c r="B1325" i="6"/>
  <c r="A1326" i="6"/>
  <c r="B1326" i="6"/>
  <c r="A1327" i="6"/>
  <c r="B1327" i="6"/>
  <c r="A1328" i="6"/>
  <c r="B1328" i="6"/>
  <c r="A1329" i="6"/>
  <c r="B1329" i="6"/>
  <c r="A1330" i="6"/>
  <c r="B1330" i="6"/>
  <c r="A1331" i="6"/>
  <c r="B1331" i="6"/>
  <c r="A1332" i="6"/>
  <c r="B1332" i="6"/>
  <c r="A1333" i="6"/>
  <c r="B1333" i="6"/>
  <c r="A1334" i="6"/>
  <c r="B1334" i="6"/>
  <c r="A1335" i="6"/>
  <c r="B1335" i="6"/>
  <c r="A1336" i="6"/>
  <c r="B1336" i="6"/>
  <c r="A1337" i="6"/>
  <c r="B1337" i="6"/>
  <c r="A1338" i="6"/>
  <c r="B1338" i="6"/>
  <c r="A1339" i="6"/>
  <c r="B1339" i="6"/>
  <c r="A1340" i="6"/>
  <c r="B1340" i="6"/>
  <c r="A1341" i="6"/>
  <c r="B1341" i="6"/>
  <c r="A1342" i="6"/>
  <c r="B1342" i="6"/>
  <c r="A1343" i="6"/>
  <c r="B1343" i="6"/>
  <c r="A1344" i="6"/>
  <c r="B1344" i="6"/>
  <c r="A1345" i="6"/>
  <c r="B1345" i="6"/>
  <c r="A1346" i="6"/>
  <c r="B1346" i="6"/>
  <c r="A1347" i="6"/>
  <c r="B1347" i="6"/>
  <c r="A1083" i="6"/>
  <c r="T1083" i="6" s="1"/>
  <c r="B1083" i="6"/>
  <c r="A1084" i="6"/>
  <c r="T1084" i="6" s="1"/>
  <c r="B1084" i="6"/>
  <c r="A1085" i="6"/>
  <c r="T1085" i="6" s="1"/>
  <c r="B1085" i="6"/>
  <c r="A1086" i="6"/>
  <c r="T1086" i="6" s="1"/>
  <c r="B1086" i="6"/>
  <c r="A1087" i="6"/>
  <c r="T1087" i="6" s="1"/>
  <c r="B1087" i="6"/>
  <c r="A1088" i="6"/>
  <c r="T1088" i="6" s="1"/>
  <c r="B1088" i="6"/>
  <c r="A1089" i="6"/>
  <c r="T1089" i="6" s="1"/>
  <c r="B1089" i="6"/>
  <c r="A1090" i="6"/>
  <c r="T1090" i="6" s="1"/>
  <c r="B1090" i="6"/>
  <c r="A1091" i="6"/>
  <c r="T1091" i="6" s="1"/>
  <c r="B1091" i="6"/>
  <c r="A1092" i="6"/>
  <c r="T1092" i="6" s="1"/>
  <c r="B1092" i="6"/>
  <c r="A1079" i="6"/>
  <c r="T1079" i="6" s="1"/>
  <c r="B1079" i="6"/>
  <c r="A1080" i="6"/>
  <c r="T1080" i="6" s="1"/>
  <c r="B1080" i="6"/>
  <c r="A1081" i="6"/>
  <c r="T1081" i="6" s="1"/>
  <c r="B1081" i="6"/>
  <c r="A1082" i="6"/>
  <c r="T1082" i="6" s="1"/>
  <c r="B1082" i="6"/>
  <c r="A1066" i="6"/>
  <c r="T1066" i="6" s="1"/>
  <c r="B1066" i="6"/>
  <c r="A1067" i="6"/>
  <c r="T1067" i="6" s="1"/>
  <c r="B1067" i="6"/>
  <c r="A1068" i="6"/>
  <c r="T1068" i="6" s="1"/>
  <c r="B1068" i="6"/>
  <c r="A1069" i="6"/>
  <c r="T1069" i="6" s="1"/>
  <c r="B1069" i="6"/>
  <c r="A1070" i="6"/>
  <c r="T1070" i="6" s="1"/>
  <c r="B1070" i="6"/>
  <c r="A1071" i="6"/>
  <c r="T1071" i="6" s="1"/>
  <c r="B1071" i="6"/>
  <c r="A1072" i="6"/>
  <c r="T1072" i="6" s="1"/>
  <c r="B1072" i="6"/>
  <c r="A1073" i="6"/>
  <c r="T1073" i="6" s="1"/>
  <c r="B1073" i="6"/>
  <c r="A1074" i="6"/>
  <c r="T1074" i="6" s="1"/>
  <c r="B1074" i="6"/>
  <c r="A1075" i="6"/>
  <c r="T1075" i="6" s="1"/>
  <c r="B1075" i="6"/>
  <c r="A1076" i="6"/>
  <c r="T1076" i="6" s="1"/>
  <c r="B1076" i="6"/>
  <c r="A1077" i="6"/>
  <c r="T1077" i="6" s="1"/>
  <c r="B1077" i="6"/>
  <c r="A1078" i="6"/>
  <c r="T1078" i="6" s="1"/>
  <c r="B1078" i="6"/>
  <c r="E79" i="6"/>
  <c r="B80" i="7" l="1"/>
  <c r="R80" i="7"/>
  <c r="D27" i="5"/>
  <c r="E27" i="5" s="1"/>
  <c r="AH80" i="7" l="1"/>
  <c r="BN80" i="7"/>
  <c r="AX80" i="7"/>
  <c r="P4" i="5"/>
  <c r="N4" i="5"/>
  <c r="P2" i="7" l="1"/>
  <c r="O2" i="7"/>
  <c r="N2" i="7"/>
  <c r="M2" i="7"/>
  <c r="L2" i="7"/>
  <c r="K2" i="7"/>
  <c r="J2" i="7"/>
  <c r="I2" i="7"/>
  <c r="H2" i="7"/>
  <c r="G2" i="7"/>
  <c r="F2" i="7"/>
  <c r="E2" i="7"/>
  <c r="D2" i="7"/>
  <c r="C2" i="7"/>
  <c r="AF2" i="7" l="1"/>
  <c r="AE2" i="7"/>
  <c r="AC2" i="7"/>
  <c r="AD2" i="7"/>
  <c r="S2" i="7"/>
  <c r="T2" i="7"/>
  <c r="U2" i="7"/>
  <c r="V2" i="7"/>
  <c r="W2" i="7"/>
  <c r="X2" i="7"/>
  <c r="Y2" i="7"/>
  <c r="Z2" i="7"/>
  <c r="AA2" i="7"/>
  <c r="AB2" i="7"/>
  <c r="A1052" i="6" l="1"/>
  <c r="B1052" i="6"/>
  <c r="A1053" i="6"/>
  <c r="B1053" i="6"/>
  <c r="A1054" i="6"/>
  <c r="B1054" i="6"/>
  <c r="A1055" i="6"/>
  <c r="B1055" i="6"/>
  <c r="A1056" i="6"/>
  <c r="B1056" i="6"/>
  <c r="A1057" i="6"/>
  <c r="B1057" i="6"/>
  <c r="A1058" i="6"/>
  <c r="B1058" i="6"/>
  <c r="A1059" i="6"/>
  <c r="B1059" i="6"/>
  <c r="A1060" i="6"/>
  <c r="B1060" i="6"/>
  <c r="A1061" i="6"/>
  <c r="B1061" i="6"/>
  <c r="A1062" i="6"/>
  <c r="B1062" i="6"/>
  <c r="A1063" i="6"/>
  <c r="B1063" i="6"/>
  <c r="A1064" i="6"/>
  <c r="B1064" i="6"/>
  <c r="A1065" i="6"/>
  <c r="B1065" i="6"/>
  <c r="C1097" i="6"/>
  <c r="C1161" i="6"/>
  <c r="C1225" i="6"/>
  <c r="C1289" i="6"/>
  <c r="C1118" i="6"/>
  <c r="C1182" i="6"/>
  <c r="C1246" i="6"/>
  <c r="C1310" i="6"/>
  <c r="C1103" i="6"/>
  <c r="C1167" i="6"/>
  <c r="C1231" i="6"/>
  <c r="C1295" i="6"/>
  <c r="C1124" i="6"/>
  <c r="C1188" i="6"/>
  <c r="C1252" i="6"/>
  <c r="C1316" i="6"/>
  <c r="C1101" i="6"/>
  <c r="C1165" i="6"/>
  <c r="C1229" i="6"/>
  <c r="C1293" i="6"/>
  <c r="C1122" i="6"/>
  <c r="C1186" i="6"/>
  <c r="C1250" i="6"/>
  <c r="C1314" i="6"/>
  <c r="C1107" i="6"/>
  <c r="C1171" i="6"/>
  <c r="C1235" i="6"/>
  <c r="C1299" i="6"/>
  <c r="C1128" i="6"/>
  <c r="C1192" i="6"/>
  <c r="C1256" i="6"/>
  <c r="C1320" i="6"/>
  <c r="C1137" i="6"/>
  <c r="C1201" i="6"/>
  <c r="C1265" i="6"/>
  <c r="C1094" i="6"/>
  <c r="C1158" i="6"/>
  <c r="C1222" i="6"/>
  <c r="C1286" i="6"/>
  <c r="C1333" i="6"/>
  <c r="C1143" i="6"/>
  <c r="C1207" i="6"/>
  <c r="C1271" i="6"/>
  <c r="C1100" i="6"/>
  <c r="C1164" i="6"/>
  <c r="C1228" i="6"/>
  <c r="C1292" i="6"/>
  <c r="C1335" i="6"/>
  <c r="C1141" i="6"/>
  <c r="C1205" i="6"/>
  <c r="C1269" i="6"/>
  <c r="C1098" i="6"/>
  <c r="C1162" i="6"/>
  <c r="C1226" i="6"/>
  <c r="C1290" i="6"/>
  <c r="C1331" i="6"/>
  <c r="C1147" i="6"/>
  <c r="C1211" i="6"/>
  <c r="C1275" i="6"/>
  <c r="C1104" i="6"/>
  <c r="C1168" i="6"/>
  <c r="C1232" i="6"/>
  <c r="C1296" i="6"/>
  <c r="C1343" i="6"/>
  <c r="C1145" i="6"/>
  <c r="C1209" i="6"/>
  <c r="C1273" i="6"/>
  <c r="C1102" i="6"/>
  <c r="C1166" i="6"/>
  <c r="C1230" i="6"/>
  <c r="C1294" i="6"/>
  <c r="C1339" i="6"/>
  <c r="C1151" i="6"/>
  <c r="C1215" i="6"/>
  <c r="C1279" i="6"/>
  <c r="C1108" i="6"/>
  <c r="C1172" i="6"/>
  <c r="C1236" i="6"/>
  <c r="C1300" i="6"/>
  <c r="C1337" i="6"/>
  <c r="C1149" i="6"/>
  <c r="C1213" i="6"/>
  <c r="C1277" i="6"/>
  <c r="C1106" i="6"/>
  <c r="C1170" i="6"/>
  <c r="C1234" i="6"/>
  <c r="C1298" i="6"/>
  <c r="C1347" i="6"/>
  <c r="C1155" i="6"/>
  <c r="C1219" i="6"/>
  <c r="C1283" i="6"/>
  <c r="C1112" i="6"/>
  <c r="C1176" i="6"/>
  <c r="C1240" i="6"/>
  <c r="C1304" i="6"/>
  <c r="C1121" i="6"/>
  <c r="C1185" i="6"/>
  <c r="C1249" i="6"/>
  <c r="C1313" i="6"/>
  <c r="C1142" i="6"/>
  <c r="C1206" i="6"/>
  <c r="C1270" i="6"/>
  <c r="C1334" i="6"/>
  <c r="C1127" i="6"/>
  <c r="C1191" i="6"/>
  <c r="C1255" i="6"/>
  <c r="C1319" i="6"/>
  <c r="C1148" i="6"/>
  <c r="C1212" i="6"/>
  <c r="C1276" i="6"/>
  <c r="C1340" i="6"/>
  <c r="C1125" i="6"/>
  <c r="C1189" i="6"/>
  <c r="C1253" i="6"/>
  <c r="C1317" i="6"/>
  <c r="C1146" i="6"/>
  <c r="C1210" i="6"/>
  <c r="C1274" i="6"/>
  <c r="C1338" i="6"/>
  <c r="C1131" i="6"/>
  <c r="C1195" i="6"/>
  <c r="C1259" i="6"/>
  <c r="C1323" i="6"/>
  <c r="C1152" i="6"/>
  <c r="C1216" i="6"/>
  <c r="C1280" i="6"/>
  <c r="C1344" i="6"/>
  <c r="C1129" i="6"/>
  <c r="C1193" i="6"/>
  <c r="C1257" i="6"/>
  <c r="C1321" i="6"/>
  <c r="C1150" i="6"/>
  <c r="C1214" i="6"/>
  <c r="C1278" i="6"/>
  <c r="C1342" i="6"/>
  <c r="C1135" i="6"/>
  <c r="C1199" i="6"/>
  <c r="C1263" i="6"/>
  <c r="C1327" i="6"/>
  <c r="C1156" i="6"/>
  <c r="C1220" i="6"/>
  <c r="C1284" i="6"/>
  <c r="C1329" i="6"/>
  <c r="C1133" i="6"/>
  <c r="C1197" i="6"/>
  <c r="C1261" i="6"/>
  <c r="C1325" i="6"/>
  <c r="C1154" i="6"/>
  <c r="C1218" i="6"/>
  <c r="C1282" i="6"/>
  <c r="C1346" i="6"/>
  <c r="C1139" i="6"/>
  <c r="C1203" i="6"/>
  <c r="C1267" i="6"/>
  <c r="C1096" i="6"/>
  <c r="C1160" i="6"/>
  <c r="C1224" i="6"/>
  <c r="C1288" i="6"/>
  <c r="C1105" i="6"/>
  <c r="C1169" i="6"/>
  <c r="C1233" i="6"/>
  <c r="C1297" i="6"/>
  <c r="C1126" i="6"/>
  <c r="C1190" i="6"/>
  <c r="C1254" i="6"/>
  <c r="C1318" i="6"/>
  <c r="C1111" i="6"/>
  <c r="C1175" i="6"/>
  <c r="C1239" i="6"/>
  <c r="C1303" i="6"/>
  <c r="C1132" i="6"/>
  <c r="C1196" i="6"/>
  <c r="C1260" i="6"/>
  <c r="C1324" i="6"/>
  <c r="C1109" i="6"/>
  <c r="C1173" i="6"/>
  <c r="C1237" i="6"/>
  <c r="C1301" i="6"/>
  <c r="C1130" i="6"/>
  <c r="C1194" i="6"/>
  <c r="C1258" i="6"/>
  <c r="C1322" i="6"/>
  <c r="C1115" i="6"/>
  <c r="C1179" i="6"/>
  <c r="C1243" i="6"/>
  <c r="C1307" i="6"/>
  <c r="C1136" i="6"/>
  <c r="C1200" i="6"/>
  <c r="C1264" i="6"/>
  <c r="C1328" i="6"/>
  <c r="C1113" i="6"/>
  <c r="C1177" i="6"/>
  <c r="C1241" i="6"/>
  <c r="C1305" i="6"/>
  <c r="C1134" i="6"/>
  <c r="C1198" i="6"/>
  <c r="C1262" i="6"/>
  <c r="C1326" i="6"/>
  <c r="C1119" i="6"/>
  <c r="C1183" i="6"/>
  <c r="C1247" i="6"/>
  <c r="C1311" i="6"/>
  <c r="C1140" i="6"/>
  <c r="C1204" i="6"/>
  <c r="C1268" i="6"/>
  <c r="C1332" i="6"/>
  <c r="C1117" i="6"/>
  <c r="C1181" i="6"/>
  <c r="C1245" i="6"/>
  <c r="C1309" i="6"/>
  <c r="C1138" i="6"/>
  <c r="C1202" i="6"/>
  <c r="C1266" i="6"/>
  <c r="C1330" i="6"/>
  <c r="C1123" i="6"/>
  <c r="C1187" i="6"/>
  <c r="C1251" i="6"/>
  <c r="C1315" i="6"/>
  <c r="C1144" i="6"/>
  <c r="C1208" i="6"/>
  <c r="C1272" i="6"/>
  <c r="C1336" i="6"/>
  <c r="C1153" i="6"/>
  <c r="C1217" i="6"/>
  <c r="C1281" i="6"/>
  <c r="C1110" i="6"/>
  <c r="C1174" i="6"/>
  <c r="C1238" i="6"/>
  <c r="C1302" i="6"/>
  <c r="C1095" i="6"/>
  <c r="C1159" i="6"/>
  <c r="C1223" i="6"/>
  <c r="C1287" i="6"/>
  <c r="C1116" i="6"/>
  <c r="C1180" i="6"/>
  <c r="C1244" i="6"/>
  <c r="C1308" i="6"/>
  <c r="C1093" i="6"/>
  <c r="C1157" i="6"/>
  <c r="C1221" i="6"/>
  <c r="C1285" i="6"/>
  <c r="C1114" i="6"/>
  <c r="C1178" i="6"/>
  <c r="C1242" i="6"/>
  <c r="C1306" i="6"/>
  <c r="C1099" i="6"/>
  <c r="C1163" i="6"/>
  <c r="C1227" i="6"/>
  <c r="C1291" i="6"/>
  <c r="C1120" i="6"/>
  <c r="C1184" i="6"/>
  <c r="C1248" i="6"/>
  <c r="C1312" i="6"/>
  <c r="C1341" i="6"/>
  <c r="C1092" i="6"/>
  <c r="C1079" i="6"/>
  <c r="C1072" i="6"/>
  <c r="C1067" i="6"/>
  <c r="C1076" i="6"/>
  <c r="C1071" i="6"/>
  <c r="C1083" i="6"/>
  <c r="C1087" i="6"/>
  <c r="C1075" i="6"/>
  <c r="O5" i="5"/>
  <c r="C1077" i="6"/>
  <c r="N5" i="5"/>
  <c r="C1078" i="6"/>
  <c r="E78" i="6"/>
  <c r="C1074" i="6"/>
  <c r="C1086" i="6"/>
  <c r="C1090" i="6"/>
  <c r="C1085" i="6"/>
  <c r="C1084" i="6"/>
  <c r="C1091" i="6"/>
  <c r="C1088" i="6"/>
  <c r="P5" i="5"/>
  <c r="C1345" i="6"/>
  <c r="C1069" i="6"/>
  <c r="C1073" i="6"/>
  <c r="C1089" i="6"/>
  <c r="C1082" i="6"/>
  <c r="C1080" i="6"/>
  <c r="C1066" i="6"/>
  <c r="C1081" i="6"/>
  <c r="C1068" i="6"/>
  <c r="M5" i="5"/>
  <c r="C1070" i="6"/>
  <c r="C1052" i="6"/>
  <c r="C1054" i="6"/>
  <c r="C1053" i="6"/>
  <c r="C1055" i="6"/>
  <c r="C1058" i="6"/>
  <c r="C1057" i="6"/>
  <c r="C1061" i="6"/>
  <c r="E77" i="6"/>
  <c r="C1059" i="6"/>
  <c r="C1060" i="6"/>
  <c r="C1062" i="6"/>
  <c r="C1056" i="6"/>
  <c r="C1063" i="6"/>
  <c r="C1065" i="6"/>
  <c r="C1064" i="6"/>
  <c r="U1070" i="6" l="1"/>
  <c r="U1068" i="6"/>
  <c r="U1081" i="6"/>
  <c r="U1066" i="6"/>
  <c r="U1080" i="6"/>
  <c r="U1082" i="6"/>
  <c r="U1089" i="6"/>
  <c r="U1073" i="6"/>
  <c r="U1069" i="6"/>
  <c r="U1088" i="6"/>
  <c r="U1091" i="6"/>
  <c r="U1084" i="6"/>
  <c r="U1085" i="6"/>
  <c r="U1090" i="6"/>
  <c r="U1086" i="6"/>
  <c r="U1074" i="6"/>
  <c r="B79" i="7"/>
  <c r="R79" i="7"/>
  <c r="U1078" i="6"/>
  <c r="U1077" i="6"/>
  <c r="U1075" i="6"/>
  <c r="U1087" i="6"/>
  <c r="U1083" i="6"/>
  <c r="U1071" i="6"/>
  <c r="U1076" i="6"/>
  <c r="U1067" i="6"/>
  <c r="U1072" i="6"/>
  <c r="U1079" i="6"/>
  <c r="U1092" i="6"/>
  <c r="U1099" i="6"/>
  <c r="U1114" i="6"/>
  <c r="U1093" i="6"/>
  <c r="U1095" i="6"/>
  <c r="U1110" i="6"/>
  <c r="U1113" i="6"/>
  <c r="U1115" i="6"/>
  <c r="U1109" i="6"/>
  <c r="U1111" i="6"/>
  <c r="U1105" i="6"/>
  <c r="U1096" i="6"/>
  <c r="U1112" i="6"/>
  <c r="U1106" i="6"/>
  <c r="U1108" i="6"/>
  <c r="U1102" i="6"/>
  <c r="U1104" i="6"/>
  <c r="U1098" i="6"/>
  <c r="U1100" i="6"/>
  <c r="U1094" i="6"/>
  <c r="U1107" i="6"/>
  <c r="U1101" i="6"/>
  <c r="U1103" i="6"/>
  <c r="U1097" i="6"/>
  <c r="T1065" i="6"/>
  <c r="T1064" i="6"/>
  <c r="T1063" i="6"/>
  <c r="T1062" i="6"/>
  <c r="T1061" i="6"/>
  <c r="T1060" i="6"/>
  <c r="T1059" i="6"/>
  <c r="T1058" i="6"/>
  <c r="T1057" i="6"/>
  <c r="T1056" i="6"/>
  <c r="T1055" i="6"/>
  <c r="T1054" i="6"/>
  <c r="T1053" i="6"/>
  <c r="T1052" i="6"/>
  <c r="R78" i="7"/>
  <c r="BN78" i="7" s="1"/>
  <c r="B78" i="7"/>
  <c r="U1065" i="6"/>
  <c r="U1063" i="6"/>
  <c r="U1061" i="6"/>
  <c r="U1059" i="6"/>
  <c r="U1057" i="6"/>
  <c r="U1055" i="6"/>
  <c r="U1053" i="6"/>
  <c r="U1064" i="6"/>
  <c r="U1062" i="6"/>
  <c r="U1060" i="6"/>
  <c r="U1058" i="6"/>
  <c r="U1056" i="6"/>
  <c r="U1054" i="6"/>
  <c r="U1052" i="6"/>
  <c r="H6" i="5"/>
  <c r="G3" i="5"/>
  <c r="H8" i="5" s="1"/>
  <c r="A2" i="6"/>
  <c r="T2" i="6" s="1"/>
  <c r="B2" i="6"/>
  <c r="A3" i="6"/>
  <c r="T3" i="6" s="1"/>
  <c r="B3" i="6"/>
  <c r="A4" i="6"/>
  <c r="T4" i="6" s="1"/>
  <c r="B4" i="6"/>
  <c r="A5" i="6"/>
  <c r="T5" i="6" s="1"/>
  <c r="B5" i="6"/>
  <c r="A6" i="6"/>
  <c r="T6" i="6" s="1"/>
  <c r="B6" i="6"/>
  <c r="A7" i="6"/>
  <c r="T7" i="6" s="1"/>
  <c r="B7" i="6"/>
  <c r="A8" i="6"/>
  <c r="T8" i="6" s="1"/>
  <c r="B8" i="6"/>
  <c r="A9" i="6"/>
  <c r="T9" i="6" s="1"/>
  <c r="B9" i="6"/>
  <c r="A10" i="6"/>
  <c r="T10" i="6" s="1"/>
  <c r="B10" i="6"/>
  <c r="A11" i="6"/>
  <c r="T11" i="6" s="1"/>
  <c r="B11" i="6"/>
  <c r="A12" i="6"/>
  <c r="T12" i="6" s="1"/>
  <c r="B12" i="6"/>
  <c r="A13" i="6"/>
  <c r="T13" i="6" s="1"/>
  <c r="B13" i="6"/>
  <c r="A14" i="6"/>
  <c r="T14" i="6" s="1"/>
  <c r="B14" i="6"/>
  <c r="A15" i="6"/>
  <c r="T15" i="6" s="1"/>
  <c r="B15" i="6"/>
  <c r="A16" i="6"/>
  <c r="T16" i="6" s="1"/>
  <c r="B16" i="6"/>
  <c r="A17" i="6"/>
  <c r="T17" i="6" s="1"/>
  <c r="B17" i="6"/>
  <c r="A18" i="6"/>
  <c r="T18" i="6" s="1"/>
  <c r="B18" i="6"/>
  <c r="A19" i="6"/>
  <c r="T19" i="6" s="1"/>
  <c r="B19" i="6"/>
  <c r="A20" i="6"/>
  <c r="T20" i="6" s="1"/>
  <c r="B20" i="6"/>
  <c r="A21" i="6"/>
  <c r="T21" i="6" s="1"/>
  <c r="B21" i="6"/>
  <c r="A22" i="6"/>
  <c r="T22" i="6" s="1"/>
  <c r="B22" i="6"/>
  <c r="A23" i="6"/>
  <c r="T23" i="6" s="1"/>
  <c r="B23" i="6"/>
  <c r="A24" i="6"/>
  <c r="T24" i="6" s="1"/>
  <c r="B24" i="6"/>
  <c r="A25" i="6"/>
  <c r="T25" i="6" s="1"/>
  <c r="B25" i="6"/>
  <c r="A26" i="6"/>
  <c r="T26" i="6" s="1"/>
  <c r="B26" i="6"/>
  <c r="A27" i="6"/>
  <c r="T27" i="6" s="1"/>
  <c r="B27" i="6"/>
  <c r="A28" i="6"/>
  <c r="T28" i="6" s="1"/>
  <c r="B28" i="6"/>
  <c r="A29" i="6"/>
  <c r="T29" i="6" s="1"/>
  <c r="B29" i="6"/>
  <c r="A30" i="6"/>
  <c r="T30" i="6" s="1"/>
  <c r="B30" i="6"/>
  <c r="A31" i="6"/>
  <c r="T31" i="6" s="1"/>
  <c r="B31" i="6"/>
  <c r="A32" i="6"/>
  <c r="T32" i="6" s="1"/>
  <c r="B32" i="6"/>
  <c r="A33" i="6"/>
  <c r="T33" i="6" s="1"/>
  <c r="B33" i="6"/>
  <c r="A34" i="6"/>
  <c r="T34" i="6" s="1"/>
  <c r="B34" i="6"/>
  <c r="A35" i="6"/>
  <c r="T35" i="6" s="1"/>
  <c r="B35" i="6"/>
  <c r="A36" i="6"/>
  <c r="T36" i="6" s="1"/>
  <c r="B36" i="6"/>
  <c r="A37" i="6"/>
  <c r="T37" i="6" s="1"/>
  <c r="B37" i="6"/>
  <c r="A38" i="6"/>
  <c r="T38" i="6" s="1"/>
  <c r="B38" i="6"/>
  <c r="A39" i="6"/>
  <c r="T39" i="6" s="1"/>
  <c r="B39" i="6"/>
  <c r="A40" i="6"/>
  <c r="T40" i="6" s="1"/>
  <c r="B40" i="6"/>
  <c r="A41" i="6"/>
  <c r="T41" i="6" s="1"/>
  <c r="B41" i="6"/>
  <c r="A42" i="6"/>
  <c r="T42" i="6" s="1"/>
  <c r="B42" i="6"/>
  <c r="A43" i="6"/>
  <c r="T43" i="6" s="1"/>
  <c r="B43" i="6"/>
  <c r="A44" i="6"/>
  <c r="T44" i="6" s="1"/>
  <c r="B44" i="6"/>
  <c r="A45" i="6"/>
  <c r="T45" i="6" s="1"/>
  <c r="B45" i="6"/>
  <c r="A46" i="6"/>
  <c r="T46" i="6" s="1"/>
  <c r="B46" i="6"/>
  <c r="A47" i="6"/>
  <c r="T47" i="6" s="1"/>
  <c r="B47" i="6"/>
  <c r="A48" i="6"/>
  <c r="T48" i="6" s="1"/>
  <c r="B48" i="6"/>
  <c r="A49" i="6"/>
  <c r="T49" i="6" s="1"/>
  <c r="B49" i="6"/>
  <c r="A50" i="6"/>
  <c r="T50" i="6" s="1"/>
  <c r="B50" i="6"/>
  <c r="A51" i="6"/>
  <c r="T51" i="6" s="1"/>
  <c r="B51" i="6"/>
  <c r="A52" i="6"/>
  <c r="T52" i="6" s="1"/>
  <c r="B52" i="6"/>
  <c r="A53" i="6"/>
  <c r="T53" i="6" s="1"/>
  <c r="B53" i="6"/>
  <c r="A54" i="6"/>
  <c r="T54" i="6" s="1"/>
  <c r="B54" i="6"/>
  <c r="A55" i="6"/>
  <c r="T55" i="6" s="1"/>
  <c r="B55" i="6"/>
  <c r="A56" i="6"/>
  <c r="T56" i="6" s="1"/>
  <c r="B56" i="6"/>
  <c r="A57" i="6"/>
  <c r="T57" i="6" s="1"/>
  <c r="B57" i="6"/>
  <c r="A58" i="6"/>
  <c r="T58" i="6" s="1"/>
  <c r="B58" i="6"/>
  <c r="A59" i="6"/>
  <c r="T59" i="6" s="1"/>
  <c r="B59" i="6"/>
  <c r="A60" i="6"/>
  <c r="T60" i="6" s="1"/>
  <c r="B60" i="6"/>
  <c r="A61" i="6"/>
  <c r="T61" i="6" s="1"/>
  <c r="B61" i="6"/>
  <c r="A62" i="6"/>
  <c r="T62" i="6" s="1"/>
  <c r="B62" i="6"/>
  <c r="A63" i="6"/>
  <c r="T63" i="6" s="1"/>
  <c r="B63" i="6"/>
  <c r="A64" i="6"/>
  <c r="T64" i="6" s="1"/>
  <c r="B64" i="6"/>
  <c r="A65" i="6"/>
  <c r="T65" i="6" s="1"/>
  <c r="B65" i="6"/>
  <c r="A66" i="6"/>
  <c r="T66" i="6" s="1"/>
  <c r="B66" i="6"/>
  <c r="A67" i="6"/>
  <c r="T67" i="6" s="1"/>
  <c r="B67" i="6"/>
  <c r="A68" i="6"/>
  <c r="T68" i="6" s="1"/>
  <c r="B68" i="6"/>
  <c r="A69" i="6"/>
  <c r="T69" i="6" s="1"/>
  <c r="B69" i="6"/>
  <c r="A70" i="6"/>
  <c r="T70" i="6" s="1"/>
  <c r="B70" i="6"/>
  <c r="A71" i="6"/>
  <c r="T71" i="6" s="1"/>
  <c r="B71" i="6"/>
  <c r="A72" i="6"/>
  <c r="T72" i="6" s="1"/>
  <c r="B72" i="6"/>
  <c r="A73" i="6"/>
  <c r="T73" i="6" s="1"/>
  <c r="B73" i="6"/>
  <c r="A74" i="6"/>
  <c r="T74" i="6" s="1"/>
  <c r="B74" i="6"/>
  <c r="A75" i="6"/>
  <c r="T75" i="6" s="1"/>
  <c r="B75" i="6"/>
  <c r="A76" i="6"/>
  <c r="T76" i="6" s="1"/>
  <c r="B76" i="6"/>
  <c r="A77" i="6"/>
  <c r="T77" i="6" s="1"/>
  <c r="B77" i="6"/>
  <c r="A78" i="6"/>
  <c r="T78" i="6" s="1"/>
  <c r="B78" i="6"/>
  <c r="A79" i="6"/>
  <c r="T79" i="6" s="1"/>
  <c r="B79" i="6"/>
  <c r="A80" i="6"/>
  <c r="T80" i="6" s="1"/>
  <c r="B80" i="6"/>
  <c r="A81" i="6"/>
  <c r="T81" i="6" s="1"/>
  <c r="B81" i="6"/>
  <c r="A82" i="6"/>
  <c r="T82" i="6" s="1"/>
  <c r="B82" i="6"/>
  <c r="A83" i="6"/>
  <c r="T83" i="6" s="1"/>
  <c r="B83" i="6"/>
  <c r="A84" i="6"/>
  <c r="T84" i="6" s="1"/>
  <c r="B84" i="6"/>
  <c r="A85" i="6"/>
  <c r="T85" i="6" s="1"/>
  <c r="B85" i="6"/>
  <c r="A86" i="6"/>
  <c r="T86" i="6" s="1"/>
  <c r="B86" i="6"/>
  <c r="A87" i="6"/>
  <c r="T87" i="6" s="1"/>
  <c r="B87" i="6"/>
  <c r="A88" i="6"/>
  <c r="T88" i="6" s="1"/>
  <c r="B88" i="6"/>
  <c r="A89" i="6"/>
  <c r="T89" i="6" s="1"/>
  <c r="B89" i="6"/>
  <c r="A90" i="6"/>
  <c r="T90" i="6" s="1"/>
  <c r="B90" i="6"/>
  <c r="A91" i="6"/>
  <c r="T91" i="6" s="1"/>
  <c r="B91" i="6"/>
  <c r="A92" i="6"/>
  <c r="T92" i="6" s="1"/>
  <c r="B92" i="6"/>
  <c r="A93" i="6"/>
  <c r="T93" i="6" s="1"/>
  <c r="B93" i="6"/>
  <c r="A94" i="6"/>
  <c r="T94" i="6" s="1"/>
  <c r="B94" i="6"/>
  <c r="A95" i="6"/>
  <c r="T95" i="6" s="1"/>
  <c r="B95" i="6"/>
  <c r="A96" i="6"/>
  <c r="T96" i="6" s="1"/>
  <c r="B96" i="6"/>
  <c r="A97" i="6"/>
  <c r="T97" i="6" s="1"/>
  <c r="B97" i="6"/>
  <c r="A98" i="6"/>
  <c r="T98" i="6" s="1"/>
  <c r="B98" i="6"/>
  <c r="A99" i="6"/>
  <c r="T99" i="6" s="1"/>
  <c r="B99" i="6"/>
  <c r="A100" i="6"/>
  <c r="T100" i="6" s="1"/>
  <c r="B100" i="6"/>
  <c r="A101" i="6"/>
  <c r="T101" i="6" s="1"/>
  <c r="B101" i="6"/>
  <c r="A102" i="6"/>
  <c r="T102" i="6" s="1"/>
  <c r="B102" i="6"/>
  <c r="A103" i="6"/>
  <c r="T103" i="6" s="1"/>
  <c r="B103" i="6"/>
  <c r="A104" i="6"/>
  <c r="T104" i="6" s="1"/>
  <c r="B104" i="6"/>
  <c r="A105" i="6"/>
  <c r="T105" i="6" s="1"/>
  <c r="B105" i="6"/>
  <c r="A106" i="6"/>
  <c r="T106" i="6" s="1"/>
  <c r="B106" i="6"/>
  <c r="A107" i="6"/>
  <c r="T107" i="6" s="1"/>
  <c r="B107" i="6"/>
  <c r="A108" i="6"/>
  <c r="T108" i="6" s="1"/>
  <c r="B108" i="6"/>
  <c r="A109" i="6"/>
  <c r="T109" i="6" s="1"/>
  <c r="B109" i="6"/>
  <c r="A110" i="6"/>
  <c r="T110" i="6" s="1"/>
  <c r="B110" i="6"/>
  <c r="A111" i="6"/>
  <c r="T111" i="6" s="1"/>
  <c r="B111" i="6"/>
  <c r="A112" i="6"/>
  <c r="T112" i="6" s="1"/>
  <c r="B112" i="6"/>
  <c r="A113" i="6"/>
  <c r="T113" i="6" s="1"/>
  <c r="B113" i="6"/>
  <c r="A114" i="6"/>
  <c r="T114" i="6" s="1"/>
  <c r="B114" i="6"/>
  <c r="A115" i="6"/>
  <c r="T115" i="6" s="1"/>
  <c r="B115" i="6"/>
  <c r="A116" i="6"/>
  <c r="T116" i="6" s="1"/>
  <c r="B116" i="6"/>
  <c r="A117" i="6"/>
  <c r="T117" i="6" s="1"/>
  <c r="B117" i="6"/>
  <c r="A118" i="6"/>
  <c r="T118" i="6" s="1"/>
  <c r="B118" i="6"/>
  <c r="A119" i="6"/>
  <c r="T119" i="6" s="1"/>
  <c r="B119" i="6"/>
  <c r="A120" i="6"/>
  <c r="T120" i="6" s="1"/>
  <c r="B120" i="6"/>
  <c r="A121" i="6"/>
  <c r="T121" i="6" s="1"/>
  <c r="B121" i="6"/>
  <c r="A122" i="6"/>
  <c r="T122" i="6" s="1"/>
  <c r="B122" i="6"/>
  <c r="A123" i="6"/>
  <c r="T123" i="6" s="1"/>
  <c r="B123" i="6"/>
  <c r="A124" i="6"/>
  <c r="T124" i="6" s="1"/>
  <c r="B124" i="6"/>
  <c r="A125" i="6"/>
  <c r="T125" i="6" s="1"/>
  <c r="B125" i="6"/>
  <c r="A126" i="6"/>
  <c r="T126" i="6" s="1"/>
  <c r="B126" i="6"/>
  <c r="A127" i="6"/>
  <c r="T127" i="6" s="1"/>
  <c r="B127" i="6"/>
  <c r="A128" i="6"/>
  <c r="T128" i="6" s="1"/>
  <c r="B128" i="6"/>
  <c r="A129" i="6"/>
  <c r="T129" i="6" s="1"/>
  <c r="B129" i="6"/>
  <c r="A130" i="6"/>
  <c r="T130" i="6" s="1"/>
  <c r="B130" i="6"/>
  <c r="A131" i="6"/>
  <c r="T131" i="6" s="1"/>
  <c r="B131" i="6"/>
  <c r="A132" i="6"/>
  <c r="T132" i="6" s="1"/>
  <c r="B132" i="6"/>
  <c r="A133" i="6"/>
  <c r="T133" i="6" s="1"/>
  <c r="B133" i="6"/>
  <c r="A134" i="6"/>
  <c r="T134" i="6" s="1"/>
  <c r="B134" i="6"/>
  <c r="A135" i="6"/>
  <c r="T135" i="6" s="1"/>
  <c r="B135" i="6"/>
  <c r="A136" i="6"/>
  <c r="T136" i="6" s="1"/>
  <c r="B136" i="6"/>
  <c r="A137" i="6"/>
  <c r="T137" i="6" s="1"/>
  <c r="B137" i="6"/>
  <c r="A138" i="6"/>
  <c r="T138" i="6" s="1"/>
  <c r="B138" i="6"/>
  <c r="A139" i="6"/>
  <c r="T139" i="6" s="1"/>
  <c r="B139" i="6"/>
  <c r="A140" i="6"/>
  <c r="T140" i="6" s="1"/>
  <c r="B140" i="6"/>
  <c r="A141" i="6"/>
  <c r="T141" i="6" s="1"/>
  <c r="B141" i="6"/>
  <c r="A142" i="6"/>
  <c r="T142" i="6" s="1"/>
  <c r="B142" i="6"/>
  <c r="A143" i="6"/>
  <c r="T143" i="6" s="1"/>
  <c r="B143" i="6"/>
  <c r="A144" i="6"/>
  <c r="T144" i="6" s="1"/>
  <c r="B144" i="6"/>
  <c r="A145" i="6"/>
  <c r="T145" i="6" s="1"/>
  <c r="B145" i="6"/>
  <c r="A146" i="6"/>
  <c r="T146" i="6" s="1"/>
  <c r="B146" i="6"/>
  <c r="A147" i="6"/>
  <c r="T147" i="6" s="1"/>
  <c r="B147" i="6"/>
  <c r="A148" i="6"/>
  <c r="T148" i="6" s="1"/>
  <c r="B148" i="6"/>
  <c r="A149" i="6"/>
  <c r="T149" i="6" s="1"/>
  <c r="B149" i="6"/>
  <c r="A150" i="6"/>
  <c r="T150" i="6" s="1"/>
  <c r="B150" i="6"/>
  <c r="A151" i="6"/>
  <c r="T151" i="6" s="1"/>
  <c r="B151" i="6"/>
  <c r="A152" i="6"/>
  <c r="T152" i="6" s="1"/>
  <c r="B152" i="6"/>
  <c r="A153" i="6"/>
  <c r="T153" i="6" s="1"/>
  <c r="B153" i="6"/>
  <c r="A154" i="6"/>
  <c r="T154" i="6" s="1"/>
  <c r="B154" i="6"/>
  <c r="A155" i="6"/>
  <c r="T155" i="6" s="1"/>
  <c r="B155" i="6"/>
  <c r="A156" i="6"/>
  <c r="T156" i="6" s="1"/>
  <c r="B156" i="6"/>
  <c r="A157" i="6"/>
  <c r="T157" i="6" s="1"/>
  <c r="B157" i="6"/>
  <c r="A158" i="6"/>
  <c r="T158" i="6" s="1"/>
  <c r="B158" i="6"/>
  <c r="A159" i="6"/>
  <c r="T159" i="6" s="1"/>
  <c r="B159" i="6"/>
  <c r="A160" i="6"/>
  <c r="T160" i="6" s="1"/>
  <c r="B160" i="6"/>
  <c r="A161" i="6"/>
  <c r="T161" i="6" s="1"/>
  <c r="B161" i="6"/>
  <c r="A162" i="6"/>
  <c r="T162" i="6" s="1"/>
  <c r="B162" i="6"/>
  <c r="A163" i="6"/>
  <c r="T163" i="6" s="1"/>
  <c r="B163" i="6"/>
  <c r="A164" i="6"/>
  <c r="T164" i="6" s="1"/>
  <c r="B164" i="6"/>
  <c r="A165" i="6"/>
  <c r="T165" i="6" s="1"/>
  <c r="B165" i="6"/>
  <c r="A166" i="6"/>
  <c r="T166" i="6" s="1"/>
  <c r="B166" i="6"/>
  <c r="A167" i="6"/>
  <c r="T167" i="6" s="1"/>
  <c r="B167" i="6"/>
  <c r="A168" i="6"/>
  <c r="T168" i="6" s="1"/>
  <c r="B168" i="6"/>
  <c r="A169" i="6"/>
  <c r="T169" i="6" s="1"/>
  <c r="B169" i="6"/>
  <c r="A170" i="6"/>
  <c r="T170" i="6" s="1"/>
  <c r="B170" i="6"/>
  <c r="A171" i="6"/>
  <c r="T171" i="6" s="1"/>
  <c r="B171" i="6"/>
  <c r="A172" i="6"/>
  <c r="T172" i="6" s="1"/>
  <c r="B172" i="6"/>
  <c r="A173" i="6"/>
  <c r="T173" i="6" s="1"/>
  <c r="B173" i="6"/>
  <c r="A174" i="6"/>
  <c r="T174" i="6" s="1"/>
  <c r="B174" i="6"/>
  <c r="A175" i="6"/>
  <c r="T175" i="6" s="1"/>
  <c r="B175" i="6"/>
  <c r="A176" i="6"/>
  <c r="T176" i="6" s="1"/>
  <c r="B176" i="6"/>
  <c r="A177" i="6"/>
  <c r="T177" i="6" s="1"/>
  <c r="B177" i="6"/>
  <c r="A178" i="6"/>
  <c r="T178" i="6" s="1"/>
  <c r="B178" i="6"/>
  <c r="A179" i="6"/>
  <c r="T179" i="6" s="1"/>
  <c r="B179" i="6"/>
  <c r="A180" i="6"/>
  <c r="T180" i="6" s="1"/>
  <c r="B180" i="6"/>
  <c r="A181" i="6"/>
  <c r="T181" i="6" s="1"/>
  <c r="B181" i="6"/>
  <c r="A182" i="6"/>
  <c r="T182" i="6" s="1"/>
  <c r="B182" i="6"/>
  <c r="A183" i="6"/>
  <c r="T183" i="6" s="1"/>
  <c r="B183" i="6"/>
  <c r="A184" i="6"/>
  <c r="T184" i="6" s="1"/>
  <c r="B184" i="6"/>
  <c r="A185" i="6"/>
  <c r="T185" i="6" s="1"/>
  <c r="B185" i="6"/>
  <c r="A186" i="6"/>
  <c r="T186" i="6" s="1"/>
  <c r="B186" i="6"/>
  <c r="A187" i="6"/>
  <c r="T187" i="6" s="1"/>
  <c r="B187" i="6"/>
  <c r="A188" i="6"/>
  <c r="T188" i="6" s="1"/>
  <c r="B188" i="6"/>
  <c r="A189" i="6"/>
  <c r="T189" i="6" s="1"/>
  <c r="B189" i="6"/>
  <c r="A190" i="6"/>
  <c r="T190" i="6" s="1"/>
  <c r="B190" i="6"/>
  <c r="A191" i="6"/>
  <c r="T191" i="6" s="1"/>
  <c r="B191" i="6"/>
  <c r="A192" i="6"/>
  <c r="T192" i="6" s="1"/>
  <c r="B192" i="6"/>
  <c r="A193" i="6"/>
  <c r="T193" i="6" s="1"/>
  <c r="B193" i="6"/>
  <c r="A194" i="6"/>
  <c r="T194" i="6" s="1"/>
  <c r="B194" i="6"/>
  <c r="A195" i="6"/>
  <c r="T195" i="6" s="1"/>
  <c r="B195" i="6"/>
  <c r="A196" i="6"/>
  <c r="T196" i="6" s="1"/>
  <c r="B196" i="6"/>
  <c r="A197" i="6"/>
  <c r="T197" i="6" s="1"/>
  <c r="B197" i="6"/>
  <c r="A198" i="6"/>
  <c r="T198" i="6" s="1"/>
  <c r="B198" i="6"/>
  <c r="A199" i="6"/>
  <c r="T199" i="6" s="1"/>
  <c r="B199" i="6"/>
  <c r="A200" i="6"/>
  <c r="T200" i="6" s="1"/>
  <c r="B200" i="6"/>
  <c r="A201" i="6"/>
  <c r="T201" i="6" s="1"/>
  <c r="B201" i="6"/>
  <c r="A202" i="6"/>
  <c r="T202" i="6" s="1"/>
  <c r="B202" i="6"/>
  <c r="A203" i="6"/>
  <c r="T203" i="6" s="1"/>
  <c r="B203" i="6"/>
  <c r="A204" i="6"/>
  <c r="T204" i="6" s="1"/>
  <c r="B204" i="6"/>
  <c r="A205" i="6"/>
  <c r="T205" i="6" s="1"/>
  <c r="B205" i="6"/>
  <c r="A206" i="6"/>
  <c r="T206" i="6" s="1"/>
  <c r="B206" i="6"/>
  <c r="A207" i="6"/>
  <c r="T207" i="6" s="1"/>
  <c r="B207" i="6"/>
  <c r="A208" i="6"/>
  <c r="T208" i="6" s="1"/>
  <c r="B208" i="6"/>
  <c r="A209" i="6"/>
  <c r="T209" i="6" s="1"/>
  <c r="B209" i="6"/>
  <c r="A210" i="6"/>
  <c r="T210" i="6" s="1"/>
  <c r="B210" i="6"/>
  <c r="A211" i="6"/>
  <c r="T211" i="6" s="1"/>
  <c r="B211" i="6"/>
  <c r="A212" i="6"/>
  <c r="T212" i="6" s="1"/>
  <c r="B212" i="6"/>
  <c r="A213" i="6"/>
  <c r="T213" i="6" s="1"/>
  <c r="B213" i="6"/>
  <c r="A214" i="6"/>
  <c r="T214" i="6" s="1"/>
  <c r="B214" i="6"/>
  <c r="A215" i="6"/>
  <c r="T215" i="6" s="1"/>
  <c r="B215" i="6"/>
  <c r="A216" i="6"/>
  <c r="T216" i="6" s="1"/>
  <c r="B216" i="6"/>
  <c r="A217" i="6"/>
  <c r="T217" i="6" s="1"/>
  <c r="B217" i="6"/>
  <c r="A218" i="6"/>
  <c r="T218" i="6" s="1"/>
  <c r="B218" i="6"/>
  <c r="A219" i="6"/>
  <c r="T219" i="6" s="1"/>
  <c r="B219" i="6"/>
  <c r="A220" i="6"/>
  <c r="T220" i="6" s="1"/>
  <c r="B220" i="6"/>
  <c r="A221" i="6"/>
  <c r="T221" i="6" s="1"/>
  <c r="B221" i="6"/>
  <c r="A222" i="6"/>
  <c r="T222" i="6" s="1"/>
  <c r="B222" i="6"/>
  <c r="A223" i="6"/>
  <c r="T223" i="6" s="1"/>
  <c r="B223" i="6"/>
  <c r="A224" i="6"/>
  <c r="T224" i="6" s="1"/>
  <c r="B224" i="6"/>
  <c r="A225" i="6"/>
  <c r="T225" i="6" s="1"/>
  <c r="B225" i="6"/>
  <c r="A226" i="6"/>
  <c r="T226" i="6" s="1"/>
  <c r="B226" i="6"/>
  <c r="A227" i="6"/>
  <c r="T227" i="6" s="1"/>
  <c r="B227" i="6"/>
  <c r="A228" i="6"/>
  <c r="T228" i="6" s="1"/>
  <c r="B228" i="6"/>
  <c r="A229" i="6"/>
  <c r="T229" i="6" s="1"/>
  <c r="B229" i="6"/>
  <c r="A230" i="6"/>
  <c r="T230" i="6" s="1"/>
  <c r="B230" i="6"/>
  <c r="A231" i="6"/>
  <c r="T231" i="6" s="1"/>
  <c r="B231" i="6"/>
  <c r="A232" i="6"/>
  <c r="T232" i="6" s="1"/>
  <c r="B232" i="6"/>
  <c r="A233" i="6"/>
  <c r="T233" i="6" s="1"/>
  <c r="B233" i="6"/>
  <c r="A234" i="6"/>
  <c r="T234" i="6" s="1"/>
  <c r="B234" i="6"/>
  <c r="A235" i="6"/>
  <c r="T235" i="6" s="1"/>
  <c r="B235" i="6"/>
  <c r="A236" i="6"/>
  <c r="T236" i="6" s="1"/>
  <c r="B236" i="6"/>
  <c r="A237" i="6"/>
  <c r="T237" i="6" s="1"/>
  <c r="B237" i="6"/>
  <c r="A238" i="6"/>
  <c r="T238" i="6" s="1"/>
  <c r="B238" i="6"/>
  <c r="A239" i="6"/>
  <c r="T239" i="6" s="1"/>
  <c r="B239" i="6"/>
  <c r="A240" i="6"/>
  <c r="T240" i="6" s="1"/>
  <c r="B240" i="6"/>
  <c r="A241" i="6"/>
  <c r="T241" i="6" s="1"/>
  <c r="B241" i="6"/>
  <c r="A242" i="6"/>
  <c r="T242" i="6" s="1"/>
  <c r="B242" i="6"/>
  <c r="A243" i="6"/>
  <c r="T243" i="6" s="1"/>
  <c r="B243" i="6"/>
  <c r="A244" i="6"/>
  <c r="T244" i="6" s="1"/>
  <c r="B244" i="6"/>
  <c r="A245" i="6"/>
  <c r="T245" i="6" s="1"/>
  <c r="B245" i="6"/>
  <c r="A246" i="6"/>
  <c r="T246" i="6" s="1"/>
  <c r="B246" i="6"/>
  <c r="A247" i="6"/>
  <c r="T247" i="6" s="1"/>
  <c r="B247" i="6"/>
  <c r="A248" i="6"/>
  <c r="T248" i="6" s="1"/>
  <c r="B248" i="6"/>
  <c r="A249" i="6"/>
  <c r="T249" i="6" s="1"/>
  <c r="B249" i="6"/>
  <c r="A250" i="6"/>
  <c r="T250" i="6" s="1"/>
  <c r="B250" i="6"/>
  <c r="A251" i="6"/>
  <c r="T251" i="6" s="1"/>
  <c r="B251" i="6"/>
  <c r="A252" i="6"/>
  <c r="T252" i="6" s="1"/>
  <c r="B252" i="6"/>
  <c r="A253" i="6"/>
  <c r="T253" i="6" s="1"/>
  <c r="B253" i="6"/>
  <c r="A254" i="6"/>
  <c r="T254" i="6" s="1"/>
  <c r="B254" i="6"/>
  <c r="A255" i="6"/>
  <c r="T255" i="6" s="1"/>
  <c r="B255" i="6"/>
  <c r="A256" i="6"/>
  <c r="T256" i="6" s="1"/>
  <c r="B256" i="6"/>
  <c r="A257" i="6"/>
  <c r="T257" i="6" s="1"/>
  <c r="B257" i="6"/>
  <c r="A258" i="6"/>
  <c r="T258" i="6" s="1"/>
  <c r="B258" i="6"/>
  <c r="A259" i="6"/>
  <c r="T259" i="6" s="1"/>
  <c r="B259" i="6"/>
  <c r="A260" i="6"/>
  <c r="T260" i="6" s="1"/>
  <c r="B260" i="6"/>
  <c r="A261" i="6"/>
  <c r="T261" i="6" s="1"/>
  <c r="B261" i="6"/>
  <c r="A262" i="6"/>
  <c r="T262" i="6" s="1"/>
  <c r="B262" i="6"/>
  <c r="A263" i="6"/>
  <c r="T263" i="6" s="1"/>
  <c r="B263" i="6"/>
  <c r="A264" i="6"/>
  <c r="T264" i="6" s="1"/>
  <c r="B264" i="6"/>
  <c r="A265" i="6"/>
  <c r="T265" i="6" s="1"/>
  <c r="B265" i="6"/>
  <c r="A266" i="6"/>
  <c r="T266" i="6" s="1"/>
  <c r="B266" i="6"/>
  <c r="A267" i="6"/>
  <c r="T267" i="6" s="1"/>
  <c r="B267" i="6"/>
  <c r="A268" i="6"/>
  <c r="T268" i="6" s="1"/>
  <c r="B268" i="6"/>
  <c r="A269" i="6"/>
  <c r="T269" i="6" s="1"/>
  <c r="B269" i="6"/>
  <c r="A270" i="6"/>
  <c r="T270" i="6" s="1"/>
  <c r="B270" i="6"/>
  <c r="A271" i="6"/>
  <c r="T271" i="6" s="1"/>
  <c r="B271" i="6"/>
  <c r="A272" i="6"/>
  <c r="T272" i="6" s="1"/>
  <c r="B272" i="6"/>
  <c r="A273" i="6"/>
  <c r="T273" i="6" s="1"/>
  <c r="B273" i="6"/>
  <c r="A274" i="6"/>
  <c r="T274" i="6" s="1"/>
  <c r="B274" i="6"/>
  <c r="A275" i="6"/>
  <c r="T275" i="6" s="1"/>
  <c r="B275" i="6"/>
  <c r="A276" i="6"/>
  <c r="T276" i="6" s="1"/>
  <c r="B276" i="6"/>
  <c r="A277" i="6"/>
  <c r="T277" i="6" s="1"/>
  <c r="B277" i="6"/>
  <c r="A278" i="6"/>
  <c r="T278" i="6" s="1"/>
  <c r="B278" i="6"/>
  <c r="A279" i="6"/>
  <c r="T279" i="6" s="1"/>
  <c r="B279" i="6"/>
  <c r="A280" i="6"/>
  <c r="T280" i="6" s="1"/>
  <c r="B280" i="6"/>
  <c r="A281" i="6"/>
  <c r="T281" i="6" s="1"/>
  <c r="B281" i="6"/>
  <c r="A282" i="6"/>
  <c r="T282" i="6" s="1"/>
  <c r="B282" i="6"/>
  <c r="A283" i="6"/>
  <c r="T283" i="6" s="1"/>
  <c r="B283" i="6"/>
  <c r="A284" i="6"/>
  <c r="T284" i="6" s="1"/>
  <c r="B284" i="6"/>
  <c r="A285" i="6"/>
  <c r="T285" i="6" s="1"/>
  <c r="B285" i="6"/>
  <c r="A286" i="6"/>
  <c r="T286" i="6" s="1"/>
  <c r="B286" i="6"/>
  <c r="A287" i="6"/>
  <c r="T287" i="6" s="1"/>
  <c r="B287" i="6"/>
  <c r="A288" i="6"/>
  <c r="T288" i="6" s="1"/>
  <c r="B288" i="6"/>
  <c r="A289" i="6"/>
  <c r="T289" i="6" s="1"/>
  <c r="B289" i="6"/>
  <c r="A290" i="6"/>
  <c r="T290" i="6" s="1"/>
  <c r="B290" i="6"/>
  <c r="A291" i="6"/>
  <c r="T291" i="6" s="1"/>
  <c r="B291" i="6"/>
  <c r="A292" i="6"/>
  <c r="T292" i="6" s="1"/>
  <c r="B292" i="6"/>
  <c r="A293" i="6"/>
  <c r="T293" i="6" s="1"/>
  <c r="B293" i="6"/>
  <c r="A294" i="6"/>
  <c r="T294" i="6" s="1"/>
  <c r="B294" i="6"/>
  <c r="A295" i="6"/>
  <c r="T295" i="6" s="1"/>
  <c r="B295" i="6"/>
  <c r="A296" i="6"/>
  <c r="T296" i="6" s="1"/>
  <c r="B296" i="6"/>
  <c r="A297" i="6"/>
  <c r="T297" i="6" s="1"/>
  <c r="B297" i="6"/>
  <c r="A298" i="6"/>
  <c r="T298" i="6" s="1"/>
  <c r="B298" i="6"/>
  <c r="A299" i="6"/>
  <c r="T299" i="6" s="1"/>
  <c r="B299" i="6"/>
  <c r="A300" i="6"/>
  <c r="T300" i="6" s="1"/>
  <c r="B300" i="6"/>
  <c r="A301" i="6"/>
  <c r="T301" i="6" s="1"/>
  <c r="B301" i="6"/>
  <c r="A302" i="6"/>
  <c r="T302" i="6" s="1"/>
  <c r="B302" i="6"/>
  <c r="A303" i="6"/>
  <c r="T303" i="6" s="1"/>
  <c r="B303" i="6"/>
  <c r="A304" i="6"/>
  <c r="T304" i="6" s="1"/>
  <c r="B304" i="6"/>
  <c r="A305" i="6"/>
  <c r="T305" i="6" s="1"/>
  <c r="B305" i="6"/>
  <c r="A306" i="6"/>
  <c r="T306" i="6" s="1"/>
  <c r="B306" i="6"/>
  <c r="A307" i="6"/>
  <c r="T307" i="6" s="1"/>
  <c r="B307" i="6"/>
  <c r="A308" i="6"/>
  <c r="T308" i="6" s="1"/>
  <c r="B308" i="6"/>
  <c r="A309" i="6"/>
  <c r="T309" i="6" s="1"/>
  <c r="B309" i="6"/>
  <c r="A310" i="6"/>
  <c r="T310" i="6" s="1"/>
  <c r="B310" i="6"/>
  <c r="A311" i="6"/>
  <c r="T311" i="6" s="1"/>
  <c r="B311" i="6"/>
  <c r="A312" i="6"/>
  <c r="T312" i="6" s="1"/>
  <c r="B312" i="6"/>
  <c r="A313" i="6"/>
  <c r="T313" i="6" s="1"/>
  <c r="B313" i="6"/>
  <c r="A314" i="6"/>
  <c r="T314" i="6" s="1"/>
  <c r="B314" i="6"/>
  <c r="A315" i="6"/>
  <c r="T315" i="6" s="1"/>
  <c r="B315" i="6"/>
  <c r="A316" i="6"/>
  <c r="T316" i="6" s="1"/>
  <c r="B316" i="6"/>
  <c r="A317" i="6"/>
  <c r="T317" i="6" s="1"/>
  <c r="B317" i="6"/>
  <c r="A318" i="6"/>
  <c r="T318" i="6" s="1"/>
  <c r="B318" i="6"/>
  <c r="A319" i="6"/>
  <c r="T319" i="6" s="1"/>
  <c r="B319" i="6"/>
  <c r="A320" i="6"/>
  <c r="T320" i="6" s="1"/>
  <c r="B320" i="6"/>
  <c r="A321" i="6"/>
  <c r="T321" i="6" s="1"/>
  <c r="B321" i="6"/>
  <c r="A322" i="6"/>
  <c r="T322" i="6" s="1"/>
  <c r="B322" i="6"/>
  <c r="A323" i="6"/>
  <c r="T323" i="6" s="1"/>
  <c r="B323" i="6"/>
  <c r="A324" i="6"/>
  <c r="T324" i="6" s="1"/>
  <c r="B324" i="6"/>
  <c r="A325" i="6"/>
  <c r="T325" i="6" s="1"/>
  <c r="B325" i="6"/>
  <c r="A326" i="6"/>
  <c r="T326" i="6" s="1"/>
  <c r="B326" i="6"/>
  <c r="A327" i="6"/>
  <c r="T327" i="6" s="1"/>
  <c r="B327" i="6"/>
  <c r="A328" i="6"/>
  <c r="T328" i="6" s="1"/>
  <c r="B328" i="6"/>
  <c r="A329" i="6"/>
  <c r="T329" i="6" s="1"/>
  <c r="B329" i="6"/>
  <c r="A330" i="6"/>
  <c r="T330" i="6" s="1"/>
  <c r="B330" i="6"/>
  <c r="A331" i="6"/>
  <c r="T331" i="6" s="1"/>
  <c r="B331" i="6"/>
  <c r="A332" i="6"/>
  <c r="T332" i="6" s="1"/>
  <c r="B332" i="6"/>
  <c r="A333" i="6"/>
  <c r="T333" i="6" s="1"/>
  <c r="B333" i="6"/>
  <c r="A334" i="6"/>
  <c r="T334" i="6" s="1"/>
  <c r="B334" i="6"/>
  <c r="A335" i="6"/>
  <c r="T335" i="6" s="1"/>
  <c r="B335" i="6"/>
  <c r="A336" i="6"/>
  <c r="T336" i="6" s="1"/>
  <c r="B336" i="6"/>
  <c r="A337" i="6"/>
  <c r="T337" i="6" s="1"/>
  <c r="B337" i="6"/>
  <c r="A338" i="6"/>
  <c r="T338" i="6" s="1"/>
  <c r="B338" i="6"/>
  <c r="A339" i="6"/>
  <c r="T339" i="6" s="1"/>
  <c r="B339" i="6"/>
  <c r="A340" i="6"/>
  <c r="T340" i="6" s="1"/>
  <c r="B340" i="6"/>
  <c r="A341" i="6"/>
  <c r="T341" i="6" s="1"/>
  <c r="B341" i="6"/>
  <c r="A342" i="6"/>
  <c r="T342" i="6" s="1"/>
  <c r="B342" i="6"/>
  <c r="A343" i="6"/>
  <c r="T343" i="6" s="1"/>
  <c r="B343" i="6"/>
  <c r="A344" i="6"/>
  <c r="T344" i="6" s="1"/>
  <c r="B344" i="6"/>
  <c r="A345" i="6"/>
  <c r="T345" i="6" s="1"/>
  <c r="B345" i="6"/>
  <c r="A346" i="6"/>
  <c r="T346" i="6" s="1"/>
  <c r="B346" i="6"/>
  <c r="A347" i="6"/>
  <c r="T347" i="6" s="1"/>
  <c r="B347" i="6"/>
  <c r="A348" i="6"/>
  <c r="T348" i="6" s="1"/>
  <c r="B348" i="6"/>
  <c r="A349" i="6"/>
  <c r="T349" i="6" s="1"/>
  <c r="B349" i="6"/>
  <c r="A350" i="6"/>
  <c r="T350" i="6" s="1"/>
  <c r="B350" i="6"/>
  <c r="A351" i="6"/>
  <c r="T351" i="6" s="1"/>
  <c r="B351" i="6"/>
  <c r="A352" i="6"/>
  <c r="T352" i="6" s="1"/>
  <c r="B352" i="6"/>
  <c r="A353" i="6"/>
  <c r="T353" i="6" s="1"/>
  <c r="B353" i="6"/>
  <c r="A354" i="6"/>
  <c r="T354" i="6" s="1"/>
  <c r="B354" i="6"/>
  <c r="A355" i="6"/>
  <c r="T355" i="6" s="1"/>
  <c r="B355" i="6"/>
  <c r="A356" i="6"/>
  <c r="T356" i="6" s="1"/>
  <c r="B356" i="6"/>
  <c r="A357" i="6"/>
  <c r="T357" i="6" s="1"/>
  <c r="B357" i="6"/>
  <c r="A358" i="6"/>
  <c r="T358" i="6" s="1"/>
  <c r="B358" i="6"/>
  <c r="A359" i="6"/>
  <c r="T359" i="6" s="1"/>
  <c r="B359" i="6"/>
  <c r="A360" i="6"/>
  <c r="T360" i="6" s="1"/>
  <c r="B360" i="6"/>
  <c r="A361" i="6"/>
  <c r="T361" i="6" s="1"/>
  <c r="B361" i="6"/>
  <c r="A362" i="6"/>
  <c r="T362" i="6" s="1"/>
  <c r="B362" i="6"/>
  <c r="A363" i="6"/>
  <c r="T363" i="6" s="1"/>
  <c r="B363" i="6"/>
  <c r="A364" i="6"/>
  <c r="T364" i="6" s="1"/>
  <c r="B364" i="6"/>
  <c r="A365" i="6"/>
  <c r="T365" i="6" s="1"/>
  <c r="B365" i="6"/>
  <c r="A366" i="6"/>
  <c r="T366" i="6" s="1"/>
  <c r="B366" i="6"/>
  <c r="A367" i="6"/>
  <c r="T367" i="6" s="1"/>
  <c r="B367" i="6"/>
  <c r="A368" i="6"/>
  <c r="T368" i="6" s="1"/>
  <c r="B368" i="6"/>
  <c r="A369" i="6"/>
  <c r="T369" i="6" s="1"/>
  <c r="B369" i="6"/>
  <c r="A370" i="6"/>
  <c r="T370" i="6" s="1"/>
  <c r="B370" i="6"/>
  <c r="A371" i="6"/>
  <c r="T371" i="6" s="1"/>
  <c r="B371" i="6"/>
  <c r="A372" i="6"/>
  <c r="T372" i="6" s="1"/>
  <c r="B372" i="6"/>
  <c r="A373" i="6"/>
  <c r="T373" i="6" s="1"/>
  <c r="B373" i="6"/>
  <c r="A374" i="6"/>
  <c r="T374" i="6" s="1"/>
  <c r="B374" i="6"/>
  <c r="A375" i="6"/>
  <c r="T375" i="6" s="1"/>
  <c r="B375" i="6"/>
  <c r="A376" i="6"/>
  <c r="T376" i="6" s="1"/>
  <c r="B376" i="6"/>
  <c r="A377" i="6"/>
  <c r="T377" i="6" s="1"/>
  <c r="B377" i="6"/>
  <c r="A378" i="6"/>
  <c r="T378" i="6" s="1"/>
  <c r="B378" i="6"/>
  <c r="A379" i="6"/>
  <c r="T379" i="6" s="1"/>
  <c r="B379" i="6"/>
  <c r="A380" i="6"/>
  <c r="T380" i="6" s="1"/>
  <c r="B380" i="6"/>
  <c r="A381" i="6"/>
  <c r="T381" i="6" s="1"/>
  <c r="B381" i="6"/>
  <c r="A382" i="6"/>
  <c r="T382" i="6" s="1"/>
  <c r="B382" i="6"/>
  <c r="A383" i="6"/>
  <c r="T383" i="6" s="1"/>
  <c r="B383" i="6"/>
  <c r="A384" i="6"/>
  <c r="T384" i="6" s="1"/>
  <c r="B384" i="6"/>
  <c r="A385" i="6"/>
  <c r="T385" i="6" s="1"/>
  <c r="B385" i="6"/>
  <c r="A386" i="6"/>
  <c r="T386" i="6" s="1"/>
  <c r="B386" i="6"/>
  <c r="A387" i="6"/>
  <c r="T387" i="6" s="1"/>
  <c r="B387" i="6"/>
  <c r="A388" i="6"/>
  <c r="T388" i="6" s="1"/>
  <c r="B388" i="6"/>
  <c r="A389" i="6"/>
  <c r="T389" i="6" s="1"/>
  <c r="B389" i="6"/>
  <c r="A390" i="6"/>
  <c r="T390" i="6" s="1"/>
  <c r="B390" i="6"/>
  <c r="A391" i="6"/>
  <c r="T391" i="6" s="1"/>
  <c r="B391" i="6"/>
  <c r="A392" i="6"/>
  <c r="T392" i="6" s="1"/>
  <c r="B392" i="6"/>
  <c r="A393" i="6"/>
  <c r="T393" i="6" s="1"/>
  <c r="B393" i="6"/>
  <c r="A394" i="6"/>
  <c r="T394" i="6" s="1"/>
  <c r="B394" i="6"/>
  <c r="A395" i="6"/>
  <c r="T395" i="6" s="1"/>
  <c r="B395" i="6"/>
  <c r="A396" i="6"/>
  <c r="T396" i="6" s="1"/>
  <c r="B396" i="6"/>
  <c r="A397" i="6"/>
  <c r="T397" i="6" s="1"/>
  <c r="B397" i="6"/>
  <c r="A398" i="6"/>
  <c r="T398" i="6" s="1"/>
  <c r="B398" i="6"/>
  <c r="A399" i="6"/>
  <c r="T399" i="6" s="1"/>
  <c r="B399" i="6"/>
  <c r="A400" i="6"/>
  <c r="T400" i="6" s="1"/>
  <c r="B400" i="6"/>
  <c r="A401" i="6"/>
  <c r="T401" i="6" s="1"/>
  <c r="B401" i="6"/>
  <c r="A402" i="6"/>
  <c r="T402" i="6" s="1"/>
  <c r="B402" i="6"/>
  <c r="A403" i="6"/>
  <c r="T403" i="6" s="1"/>
  <c r="B403" i="6"/>
  <c r="A404" i="6"/>
  <c r="T404" i="6" s="1"/>
  <c r="B404" i="6"/>
  <c r="A405" i="6"/>
  <c r="T405" i="6" s="1"/>
  <c r="B405" i="6"/>
  <c r="A406" i="6"/>
  <c r="T406" i="6" s="1"/>
  <c r="B406" i="6"/>
  <c r="A407" i="6"/>
  <c r="T407" i="6" s="1"/>
  <c r="B407" i="6"/>
  <c r="A408" i="6"/>
  <c r="T408" i="6" s="1"/>
  <c r="B408" i="6"/>
  <c r="A409" i="6"/>
  <c r="T409" i="6" s="1"/>
  <c r="B409" i="6"/>
  <c r="A410" i="6"/>
  <c r="T410" i="6" s="1"/>
  <c r="B410" i="6"/>
  <c r="A411" i="6"/>
  <c r="T411" i="6" s="1"/>
  <c r="B411" i="6"/>
  <c r="A412" i="6"/>
  <c r="T412" i="6" s="1"/>
  <c r="B412" i="6"/>
  <c r="A413" i="6"/>
  <c r="T413" i="6" s="1"/>
  <c r="B413" i="6"/>
  <c r="A414" i="6"/>
  <c r="T414" i="6" s="1"/>
  <c r="B414" i="6"/>
  <c r="A415" i="6"/>
  <c r="T415" i="6" s="1"/>
  <c r="B415" i="6"/>
  <c r="A416" i="6"/>
  <c r="T416" i="6" s="1"/>
  <c r="B416" i="6"/>
  <c r="A417" i="6"/>
  <c r="T417" i="6" s="1"/>
  <c r="B417" i="6"/>
  <c r="A418" i="6"/>
  <c r="T418" i="6" s="1"/>
  <c r="B418" i="6"/>
  <c r="A419" i="6"/>
  <c r="T419" i="6" s="1"/>
  <c r="B419" i="6"/>
  <c r="A420" i="6"/>
  <c r="T420" i="6" s="1"/>
  <c r="B420" i="6"/>
  <c r="A421" i="6"/>
  <c r="T421" i="6" s="1"/>
  <c r="B421" i="6"/>
  <c r="A422" i="6"/>
  <c r="T422" i="6" s="1"/>
  <c r="B422" i="6"/>
  <c r="A423" i="6"/>
  <c r="T423" i="6" s="1"/>
  <c r="B423" i="6"/>
  <c r="A424" i="6"/>
  <c r="T424" i="6" s="1"/>
  <c r="B424" i="6"/>
  <c r="A425" i="6"/>
  <c r="T425" i="6" s="1"/>
  <c r="B425" i="6"/>
  <c r="A426" i="6"/>
  <c r="T426" i="6" s="1"/>
  <c r="B426" i="6"/>
  <c r="A427" i="6"/>
  <c r="T427" i="6" s="1"/>
  <c r="B427" i="6"/>
  <c r="A428" i="6"/>
  <c r="T428" i="6" s="1"/>
  <c r="B428" i="6"/>
  <c r="A429" i="6"/>
  <c r="T429" i="6" s="1"/>
  <c r="B429" i="6"/>
  <c r="A430" i="6"/>
  <c r="T430" i="6" s="1"/>
  <c r="B430" i="6"/>
  <c r="A431" i="6"/>
  <c r="T431" i="6" s="1"/>
  <c r="B431" i="6"/>
  <c r="A432" i="6"/>
  <c r="T432" i="6" s="1"/>
  <c r="B432" i="6"/>
  <c r="A433" i="6"/>
  <c r="T433" i="6" s="1"/>
  <c r="B433" i="6"/>
  <c r="A434" i="6"/>
  <c r="T434" i="6" s="1"/>
  <c r="B434" i="6"/>
  <c r="A435" i="6"/>
  <c r="T435" i="6" s="1"/>
  <c r="B435" i="6"/>
  <c r="A436" i="6"/>
  <c r="T436" i="6" s="1"/>
  <c r="B436" i="6"/>
  <c r="A437" i="6"/>
  <c r="T437" i="6" s="1"/>
  <c r="B437" i="6"/>
  <c r="A438" i="6"/>
  <c r="T438" i="6" s="1"/>
  <c r="B438" i="6"/>
  <c r="A439" i="6"/>
  <c r="T439" i="6" s="1"/>
  <c r="B439" i="6"/>
  <c r="A440" i="6"/>
  <c r="T440" i="6" s="1"/>
  <c r="B440" i="6"/>
  <c r="A441" i="6"/>
  <c r="T441" i="6" s="1"/>
  <c r="B441" i="6"/>
  <c r="A442" i="6"/>
  <c r="T442" i="6" s="1"/>
  <c r="B442" i="6"/>
  <c r="A443" i="6"/>
  <c r="T443" i="6" s="1"/>
  <c r="B443" i="6"/>
  <c r="A444" i="6"/>
  <c r="T444" i="6" s="1"/>
  <c r="B444" i="6"/>
  <c r="A445" i="6"/>
  <c r="T445" i="6" s="1"/>
  <c r="B445" i="6"/>
  <c r="A446" i="6"/>
  <c r="T446" i="6" s="1"/>
  <c r="B446" i="6"/>
  <c r="A447" i="6"/>
  <c r="T447" i="6" s="1"/>
  <c r="B447" i="6"/>
  <c r="A448" i="6"/>
  <c r="T448" i="6" s="1"/>
  <c r="B448" i="6"/>
  <c r="A449" i="6"/>
  <c r="T449" i="6" s="1"/>
  <c r="B449" i="6"/>
  <c r="A450" i="6"/>
  <c r="T450" i="6" s="1"/>
  <c r="B450" i="6"/>
  <c r="A451" i="6"/>
  <c r="T451" i="6" s="1"/>
  <c r="B451" i="6"/>
  <c r="A452" i="6"/>
  <c r="T452" i="6" s="1"/>
  <c r="B452" i="6"/>
  <c r="A453" i="6"/>
  <c r="T453" i="6" s="1"/>
  <c r="B453" i="6"/>
  <c r="A454" i="6"/>
  <c r="T454" i="6" s="1"/>
  <c r="B454" i="6"/>
  <c r="A455" i="6"/>
  <c r="T455" i="6" s="1"/>
  <c r="B455" i="6"/>
  <c r="A456" i="6"/>
  <c r="T456" i="6" s="1"/>
  <c r="B456" i="6"/>
  <c r="A457" i="6"/>
  <c r="T457" i="6" s="1"/>
  <c r="B457" i="6"/>
  <c r="A458" i="6"/>
  <c r="T458" i="6" s="1"/>
  <c r="B458" i="6"/>
  <c r="A459" i="6"/>
  <c r="T459" i="6" s="1"/>
  <c r="B459" i="6"/>
  <c r="A460" i="6"/>
  <c r="T460" i="6" s="1"/>
  <c r="B460" i="6"/>
  <c r="A461" i="6"/>
  <c r="T461" i="6" s="1"/>
  <c r="B461" i="6"/>
  <c r="A462" i="6"/>
  <c r="T462" i="6" s="1"/>
  <c r="B462" i="6"/>
  <c r="A463" i="6"/>
  <c r="T463" i="6" s="1"/>
  <c r="B463" i="6"/>
  <c r="A464" i="6"/>
  <c r="T464" i="6" s="1"/>
  <c r="B464" i="6"/>
  <c r="A465" i="6"/>
  <c r="T465" i="6" s="1"/>
  <c r="B465" i="6"/>
  <c r="A466" i="6"/>
  <c r="T466" i="6" s="1"/>
  <c r="B466" i="6"/>
  <c r="A467" i="6"/>
  <c r="T467" i="6" s="1"/>
  <c r="B467" i="6"/>
  <c r="A468" i="6"/>
  <c r="T468" i="6" s="1"/>
  <c r="B468" i="6"/>
  <c r="A469" i="6"/>
  <c r="T469" i="6" s="1"/>
  <c r="B469" i="6"/>
  <c r="A470" i="6"/>
  <c r="T470" i="6" s="1"/>
  <c r="B470" i="6"/>
  <c r="A471" i="6"/>
  <c r="T471" i="6" s="1"/>
  <c r="B471" i="6"/>
  <c r="A472" i="6"/>
  <c r="T472" i="6" s="1"/>
  <c r="B472" i="6"/>
  <c r="A473" i="6"/>
  <c r="T473" i="6" s="1"/>
  <c r="B473" i="6"/>
  <c r="A474" i="6"/>
  <c r="T474" i="6" s="1"/>
  <c r="B474" i="6"/>
  <c r="A475" i="6"/>
  <c r="T475" i="6" s="1"/>
  <c r="B475" i="6"/>
  <c r="A476" i="6"/>
  <c r="T476" i="6" s="1"/>
  <c r="B476" i="6"/>
  <c r="A477" i="6"/>
  <c r="T477" i="6" s="1"/>
  <c r="B477" i="6"/>
  <c r="A478" i="6"/>
  <c r="T478" i="6" s="1"/>
  <c r="B478" i="6"/>
  <c r="A479" i="6"/>
  <c r="T479" i="6" s="1"/>
  <c r="B479" i="6"/>
  <c r="A480" i="6"/>
  <c r="T480" i="6" s="1"/>
  <c r="B480" i="6"/>
  <c r="A481" i="6"/>
  <c r="T481" i="6" s="1"/>
  <c r="B481" i="6"/>
  <c r="A482" i="6"/>
  <c r="T482" i="6" s="1"/>
  <c r="B482" i="6"/>
  <c r="A483" i="6"/>
  <c r="T483" i="6" s="1"/>
  <c r="B483" i="6"/>
  <c r="A484" i="6"/>
  <c r="T484" i="6" s="1"/>
  <c r="B484" i="6"/>
  <c r="A485" i="6"/>
  <c r="T485" i="6" s="1"/>
  <c r="B485" i="6"/>
  <c r="A486" i="6"/>
  <c r="T486" i="6" s="1"/>
  <c r="B486" i="6"/>
  <c r="A487" i="6"/>
  <c r="T487" i="6" s="1"/>
  <c r="B487" i="6"/>
  <c r="A488" i="6"/>
  <c r="T488" i="6" s="1"/>
  <c r="B488" i="6"/>
  <c r="A489" i="6"/>
  <c r="T489" i="6" s="1"/>
  <c r="B489" i="6"/>
  <c r="A490" i="6"/>
  <c r="T490" i="6" s="1"/>
  <c r="B490" i="6"/>
  <c r="A491" i="6"/>
  <c r="T491" i="6" s="1"/>
  <c r="B491" i="6"/>
  <c r="A492" i="6"/>
  <c r="T492" i="6" s="1"/>
  <c r="B492" i="6"/>
  <c r="A493" i="6"/>
  <c r="T493" i="6" s="1"/>
  <c r="B493" i="6"/>
  <c r="A494" i="6"/>
  <c r="T494" i="6" s="1"/>
  <c r="B494" i="6"/>
  <c r="A495" i="6"/>
  <c r="T495" i="6" s="1"/>
  <c r="B495" i="6"/>
  <c r="A496" i="6"/>
  <c r="T496" i="6" s="1"/>
  <c r="B496" i="6"/>
  <c r="A497" i="6"/>
  <c r="T497" i="6" s="1"/>
  <c r="B497" i="6"/>
  <c r="A498" i="6"/>
  <c r="T498" i="6" s="1"/>
  <c r="B498" i="6"/>
  <c r="A499" i="6"/>
  <c r="T499" i="6" s="1"/>
  <c r="B499" i="6"/>
  <c r="A500" i="6"/>
  <c r="T500" i="6" s="1"/>
  <c r="B500" i="6"/>
  <c r="A501" i="6"/>
  <c r="T501" i="6" s="1"/>
  <c r="B501" i="6"/>
  <c r="A502" i="6"/>
  <c r="T502" i="6" s="1"/>
  <c r="B502" i="6"/>
  <c r="A503" i="6"/>
  <c r="T503" i="6" s="1"/>
  <c r="B503" i="6"/>
  <c r="A504" i="6"/>
  <c r="T504" i="6" s="1"/>
  <c r="B504" i="6"/>
  <c r="A505" i="6"/>
  <c r="T505" i="6" s="1"/>
  <c r="B505" i="6"/>
  <c r="A506" i="6"/>
  <c r="T506" i="6" s="1"/>
  <c r="B506" i="6"/>
  <c r="A507" i="6"/>
  <c r="T507" i="6" s="1"/>
  <c r="B507" i="6"/>
  <c r="A508" i="6"/>
  <c r="T508" i="6" s="1"/>
  <c r="B508" i="6"/>
  <c r="A509" i="6"/>
  <c r="T509" i="6" s="1"/>
  <c r="B509" i="6"/>
  <c r="A510" i="6"/>
  <c r="T510" i="6" s="1"/>
  <c r="B510" i="6"/>
  <c r="A511" i="6"/>
  <c r="T511" i="6" s="1"/>
  <c r="B511" i="6"/>
  <c r="A512" i="6"/>
  <c r="T512" i="6" s="1"/>
  <c r="B512" i="6"/>
  <c r="A513" i="6"/>
  <c r="T513" i="6" s="1"/>
  <c r="B513" i="6"/>
  <c r="A514" i="6"/>
  <c r="T514" i="6" s="1"/>
  <c r="B514" i="6"/>
  <c r="A515" i="6"/>
  <c r="T515" i="6" s="1"/>
  <c r="B515" i="6"/>
  <c r="A516" i="6"/>
  <c r="T516" i="6" s="1"/>
  <c r="B516" i="6"/>
  <c r="A517" i="6"/>
  <c r="T517" i="6" s="1"/>
  <c r="B517" i="6"/>
  <c r="A518" i="6"/>
  <c r="T518" i="6" s="1"/>
  <c r="B518" i="6"/>
  <c r="A519" i="6"/>
  <c r="T519" i="6" s="1"/>
  <c r="B519" i="6"/>
  <c r="A520" i="6"/>
  <c r="T520" i="6" s="1"/>
  <c r="B520" i="6"/>
  <c r="A521" i="6"/>
  <c r="T521" i="6" s="1"/>
  <c r="B521" i="6"/>
  <c r="A522" i="6"/>
  <c r="T522" i="6" s="1"/>
  <c r="B522" i="6"/>
  <c r="A523" i="6"/>
  <c r="T523" i="6" s="1"/>
  <c r="B523" i="6"/>
  <c r="A524" i="6"/>
  <c r="T524" i="6" s="1"/>
  <c r="B524" i="6"/>
  <c r="A525" i="6"/>
  <c r="T525" i="6" s="1"/>
  <c r="B525" i="6"/>
  <c r="A526" i="6"/>
  <c r="T526" i="6" s="1"/>
  <c r="B526" i="6"/>
  <c r="A527" i="6"/>
  <c r="T527" i="6" s="1"/>
  <c r="B527" i="6"/>
  <c r="A528" i="6"/>
  <c r="T528" i="6" s="1"/>
  <c r="B528" i="6"/>
  <c r="A529" i="6"/>
  <c r="T529" i="6" s="1"/>
  <c r="B529" i="6"/>
  <c r="A530" i="6"/>
  <c r="T530" i="6" s="1"/>
  <c r="B530" i="6"/>
  <c r="A531" i="6"/>
  <c r="T531" i="6" s="1"/>
  <c r="B531" i="6"/>
  <c r="A532" i="6"/>
  <c r="T532" i="6" s="1"/>
  <c r="B532" i="6"/>
  <c r="A533" i="6"/>
  <c r="T533" i="6" s="1"/>
  <c r="B533" i="6"/>
  <c r="A534" i="6"/>
  <c r="T534" i="6" s="1"/>
  <c r="B534" i="6"/>
  <c r="A535" i="6"/>
  <c r="T535" i="6" s="1"/>
  <c r="B535" i="6"/>
  <c r="A536" i="6"/>
  <c r="T536" i="6" s="1"/>
  <c r="B536" i="6"/>
  <c r="A537" i="6"/>
  <c r="T537" i="6" s="1"/>
  <c r="B537" i="6"/>
  <c r="A538" i="6"/>
  <c r="T538" i="6" s="1"/>
  <c r="B538" i="6"/>
  <c r="A539" i="6"/>
  <c r="T539" i="6" s="1"/>
  <c r="B539" i="6"/>
  <c r="A540" i="6"/>
  <c r="T540" i="6" s="1"/>
  <c r="B540" i="6"/>
  <c r="A541" i="6"/>
  <c r="T541" i="6" s="1"/>
  <c r="B541" i="6"/>
  <c r="A542" i="6"/>
  <c r="T542" i="6" s="1"/>
  <c r="B542" i="6"/>
  <c r="A543" i="6"/>
  <c r="T543" i="6" s="1"/>
  <c r="B543" i="6"/>
  <c r="A544" i="6"/>
  <c r="T544" i="6" s="1"/>
  <c r="B544" i="6"/>
  <c r="A545" i="6"/>
  <c r="T545" i="6" s="1"/>
  <c r="B545" i="6"/>
  <c r="A546" i="6"/>
  <c r="T546" i="6" s="1"/>
  <c r="B546" i="6"/>
  <c r="A547" i="6"/>
  <c r="T547" i="6" s="1"/>
  <c r="B547" i="6"/>
  <c r="A548" i="6"/>
  <c r="T548" i="6" s="1"/>
  <c r="B548" i="6"/>
  <c r="A549" i="6"/>
  <c r="T549" i="6" s="1"/>
  <c r="B549" i="6"/>
  <c r="A550" i="6"/>
  <c r="T550" i="6" s="1"/>
  <c r="B550" i="6"/>
  <c r="A551" i="6"/>
  <c r="T551" i="6" s="1"/>
  <c r="B551" i="6"/>
  <c r="A552" i="6"/>
  <c r="T552" i="6" s="1"/>
  <c r="B552" i="6"/>
  <c r="A553" i="6"/>
  <c r="T553" i="6" s="1"/>
  <c r="B553" i="6"/>
  <c r="A554" i="6"/>
  <c r="T554" i="6" s="1"/>
  <c r="B554" i="6"/>
  <c r="A555" i="6"/>
  <c r="T555" i="6" s="1"/>
  <c r="B555" i="6"/>
  <c r="A556" i="6"/>
  <c r="T556" i="6" s="1"/>
  <c r="B556" i="6"/>
  <c r="A557" i="6"/>
  <c r="T557" i="6" s="1"/>
  <c r="B557" i="6"/>
  <c r="A558" i="6"/>
  <c r="T558" i="6" s="1"/>
  <c r="B558" i="6"/>
  <c r="A559" i="6"/>
  <c r="T559" i="6" s="1"/>
  <c r="B559" i="6"/>
  <c r="A560" i="6"/>
  <c r="T560" i="6" s="1"/>
  <c r="B560" i="6"/>
  <c r="A561" i="6"/>
  <c r="T561" i="6" s="1"/>
  <c r="B561" i="6"/>
  <c r="A562" i="6"/>
  <c r="T562" i="6" s="1"/>
  <c r="B562" i="6"/>
  <c r="A563" i="6"/>
  <c r="T563" i="6" s="1"/>
  <c r="B563" i="6"/>
  <c r="A564" i="6"/>
  <c r="T564" i="6" s="1"/>
  <c r="B564" i="6"/>
  <c r="A565" i="6"/>
  <c r="T565" i="6" s="1"/>
  <c r="B565" i="6"/>
  <c r="A566" i="6"/>
  <c r="T566" i="6" s="1"/>
  <c r="B566" i="6"/>
  <c r="A567" i="6"/>
  <c r="T567" i="6" s="1"/>
  <c r="B567" i="6"/>
  <c r="A568" i="6"/>
  <c r="T568" i="6" s="1"/>
  <c r="B568" i="6"/>
  <c r="A569" i="6"/>
  <c r="T569" i="6" s="1"/>
  <c r="B569" i="6"/>
  <c r="A570" i="6"/>
  <c r="T570" i="6" s="1"/>
  <c r="B570" i="6"/>
  <c r="A571" i="6"/>
  <c r="T571" i="6" s="1"/>
  <c r="B571" i="6"/>
  <c r="A572" i="6"/>
  <c r="T572" i="6" s="1"/>
  <c r="B572" i="6"/>
  <c r="A573" i="6"/>
  <c r="T573" i="6" s="1"/>
  <c r="B573" i="6"/>
  <c r="A574" i="6"/>
  <c r="T574" i="6" s="1"/>
  <c r="B574" i="6"/>
  <c r="A575" i="6"/>
  <c r="T575" i="6" s="1"/>
  <c r="B575" i="6"/>
  <c r="A576" i="6"/>
  <c r="T576" i="6" s="1"/>
  <c r="B576" i="6"/>
  <c r="A577" i="6"/>
  <c r="T577" i="6" s="1"/>
  <c r="B577" i="6"/>
  <c r="A578" i="6"/>
  <c r="T578" i="6" s="1"/>
  <c r="B578" i="6"/>
  <c r="A579" i="6"/>
  <c r="T579" i="6" s="1"/>
  <c r="B579" i="6"/>
  <c r="A580" i="6"/>
  <c r="T580" i="6" s="1"/>
  <c r="B580" i="6"/>
  <c r="A581" i="6"/>
  <c r="T581" i="6" s="1"/>
  <c r="B581" i="6"/>
  <c r="A582" i="6"/>
  <c r="T582" i="6" s="1"/>
  <c r="B582" i="6"/>
  <c r="A583" i="6"/>
  <c r="T583" i="6" s="1"/>
  <c r="B583" i="6"/>
  <c r="A584" i="6"/>
  <c r="T584" i="6" s="1"/>
  <c r="B584" i="6"/>
  <c r="A585" i="6"/>
  <c r="T585" i="6" s="1"/>
  <c r="B585" i="6"/>
  <c r="A586" i="6"/>
  <c r="T586" i="6" s="1"/>
  <c r="B586" i="6"/>
  <c r="A587" i="6"/>
  <c r="T587" i="6" s="1"/>
  <c r="B587" i="6"/>
  <c r="A588" i="6"/>
  <c r="T588" i="6" s="1"/>
  <c r="B588" i="6"/>
  <c r="A589" i="6"/>
  <c r="T589" i="6" s="1"/>
  <c r="B589" i="6"/>
  <c r="A590" i="6"/>
  <c r="T590" i="6" s="1"/>
  <c r="B590" i="6"/>
  <c r="A591" i="6"/>
  <c r="T591" i="6" s="1"/>
  <c r="B591" i="6"/>
  <c r="A592" i="6"/>
  <c r="T592" i="6" s="1"/>
  <c r="B592" i="6"/>
  <c r="A593" i="6"/>
  <c r="T593" i="6" s="1"/>
  <c r="B593" i="6"/>
  <c r="A594" i="6"/>
  <c r="T594" i="6" s="1"/>
  <c r="B594" i="6"/>
  <c r="A595" i="6"/>
  <c r="T595" i="6" s="1"/>
  <c r="B595" i="6"/>
  <c r="A596" i="6"/>
  <c r="T596" i="6" s="1"/>
  <c r="B596" i="6"/>
  <c r="A597" i="6"/>
  <c r="T597" i="6" s="1"/>
  <c r="B597" i="6"/>
  <c r="A598" i="6"/>
  <c r="T598" i="6" s="1"/>
  <c r="B598" i="6"/>
  <c r="A599" i="6"/>
  <c r="T599" i="6" s="1"/>
  <c r="B599" i="6"/>
  <c r="A600" i="6"/>
  <c r="T600" i="6" s="1"/>
  <c r="B600" i="6"/>
  <c r="A601" i="6"/>
  <c r="T601" i="6" s="1"/>
  <c r="B601" i="6"/>
  <c r="A602" i="6"/>
  <c r="T602" i="6" s="1"/>
  <c r="B602" i="6"/>
  <c r="A603" i="6"/>
  <c r="T603" i="6" s="1"/>
  <c r="B603" i="6"/>
  <c r="A604" i="6"/>
  <c r="T604" i="6" s="1"/>
  <c r="B604" i="6"/>
  <c r="A605" i="6"/>
  <c r="T605" i="6" s="1"/>
  <c r="B605" i="6"/>
  <c r="A606" i="6"/>
  <c r="T606" i="6" s="1"/>
  <c r="B606" i="6"/>
  <c r="A607" i="6"/>
  <c r="T607" i="6" s="1"/>
  <c r="B607" i="6"/>
  <c r="A608" i="6"/>
  <c r="T608" i="6" s="1"/>
  <c r="B608" i="6"/>
  <c r="A609" i="6"/>
  <c r="T609" i="6" s="1"/>
  <c r="B609" i="6"/>
  <c r="A610" i="6"/>
  <c r="T610" i="6" s="1"/>
  <c r="B610" i="6"/>
  <c r="A611" i="6"/>
  <c r="T611" i="6" s="1"/>
  <c r="B611" i="6"/>
  <c r="A612" i="6"/>
  <c r="T612" i="6" s="1"/>
  <c r="B612" i="6"/>
  <c r="A613" i="6"/>
  <c r="T613" i="6" s="1"/>
  <c r="B613" i="6"/>
  <c r="A614" i="6"/>
  <c r="T614" i="6" s="1"/>
  <c r="B614" i="6"/>
  <c r="A615" i="6"/>
  <c r="T615" i="6" s="1"/>
  <c r="B615" i="6"/>
  <c r="A616" i="6"/>
  <c r="T616" i="6" s="1"/>
  <c r="B616" i="6"/>
  <c r="A617" i="6"/>
  <c r="T617" i="6" s="1"/>
  <c r="B617" i="6"/>
  <c r="A618" i="6"/>
  <c r="T618" i="6" s="1"/>
  <c r="B618" i="6"/>
  <c r="A619" i="6"/>
  <c r="T619" i="6" s="1"/>
  <c r="B619" i="6"/>
  <c r="A620" i="6"/>
  <c r="T620" i="6" s="1"/>
  <c r="B620" i="6"/>
  <c r="A621" i="6"/>
  <c r="T621" i="6" s="1"/>
  <c r="B621" i="6"/>
  <c r="A622" i="6"/>
  <c r="T622" i="6" s="1"/>
  <c r="B622" i="6"/>
  <c r="A623" i="6"/>
  <c r="T623" i="6" s="1"/>
  <c r="B623" i="6"/>
  <c r="A624" i="6"/>
  <c r="T624" i="6" s="1"/>
  <c r="B624" i="6"/>
  <c r="A625" i="6"/>
  <c r="T625" i="6" s="1"/>
  <c r="B625" i="6"/>
  <c r="A626" i="6"/>
  <c r="T626" i="6" s="1"/>
  <c r="B626" i="6"/>
  <c r="A627" i="6"/>
  <c r="T627" i="6" s="1"/>
  <c r="B627" i="6"/>
  <c r="A628" i="6"/>
  <c r="T628" i="6" s="1"/>
  <c r="B628" i="6"/>
  <c r="A629" i="6"/>
  <c r="T629" i="6" s="1"/>
  <c r="B629" i="6"/>
  <c r="A630" i="6"/>
  <c r="T630" i="6" s="1"/>
  <c r="B630" i="6"/>
  <c r="A631" i="6"/>
  <c r="T631" i="6" s="1"/>
  <c r="B631" i="6"/>
  <c r="A632" i="6"/>
  <c r="T632" i="6" s="1"/>
  <c r="B632" i="6"/>
  <c r="A633" i="6"/>
  <c r="T633" i="6" s="1"/>
  <c r="B633" i="6"/>
  <c r="A634" i="6"/>
  <c r="T634" i="6" s="1"/>
  <c r="B634" i="6"/>
  <c r="A635" i="6"/>
  <c r="T635" i="6" s="1"/>
  <c r="B635" i="6"/>
  <c r="A636" i="6"/>
  <c r="T636" i="6" s="1"/>
  <c r="B636" i="6"/>
  <c r="A637" i="6"/>
  <c r="T637" i="6" s="1"/>
  <c r="B637" i="6"/>
  <c r="A638" i="6"/>
  <c r="T638" i="6" s="1"/>
  <c r="B638" i="6"/>
  <c r="A639" i="6"/>
  <c r="T639" i="6" s="1"/>
  <c r="B639" i="6"/>
  <c r="A640" i="6"/>
  <c r="T640" i="6" s="1"/>
  <c r="B640" i="6"/>
  <c r="A641" i="6"/>
  <c r="T641" i="6" s="1"/>
  <c r="B641" i="6"/>
  <c r="A642" i="6"/>
  <c r="T642" i="6" s="1"/>
  <c r="B642" i="6"/>
  <c r="A643" i="6"/>
  <c r="T643" i="6" s="1"/>
  <c r="B643" i="6"/>
  <c r="A644" i="6"/>
  <c r="T644" i="6" s="1"/>
  <c r="B644" i="6"/>
  <c r="A645" i="6"/>
  <c r="T645" i="6" s="1"/>
  <c r="B645" i="6"/>
  <c r="A646" i="6"/>
  <c r="T646" i="6" s="1"/>
  <c r="B646" i="6"/>
  <c r="A647" i="6"/>
  <c r="T647" i="6" s="1"/>
  <c r="B647" i="6"/>
  <c r="A648" i="6"/>
  <c r="T648" i="6" s="1"/>
  <c r="B648" i="6"/>
  <c r="A649" i="6"/>
  <c r="T649" i="6" s="1"/>
  <c r="B649" i="6"/>
  <c r="A650" i="6"/>
  <c r="T650" i="6" s="1"/>
  <c r="B650" i="6"/>
  <c r="A651" i="6"/>
  <c r="T651" i="6" s="1"/>
  <c r="B651" i="6"/>
  <c r="A652" i="6"/>
  <c r="T652" i="6" s="1"/>
  <c r="B652" i="6"/>
  <c r="A653" i="6"/>
  <c r="T653" i="6" s="1"/>
  <c r="B653" i="6"/>
  <c r="A654" i="6"/>
  <c r="T654" i="6" s="1"/>
  <c r="B654" i="6"/>
  <c r="A655" i="6"/>
  <c r="T655" i="6" s="1"/>
  <c r="B655" i="6"/>
  <c r="A656" i="6"/>
  <c r="T656" i="6" s="1"/>
  <c r="B656" i="6"/>
  <c r="A657" i="6"/>
  <c r="T657" i="6" s="1"/>
  <c r="B657" i="6"/>
  <c r="A658" i="6"/>
  <c r="T658" i="6" s="1"/>
  <c r="B658" i="6"/>
  <c r="A659" i="6"/>
  <c r="T659" i="6" s="1"/>
  <c r="B659" i="6"/>
  <c r="A660" i="6"/>
  <c r="T660" i="6" s="1"/>
  <c r="B660" i="6"/>
  <c r="A661" i="6"/>
  <c r="T661" i="6" s="1"/>
  <c r="B661" i="6"/>
  <c r="A662" i="6"/>
  <c r="T662" i="6" s="1"/>
  <c r="B662" i="6"/>
  <c r="A663" i="6"/>
  <c r="T663" i="6" s="1"/>
  <c r="B663" i="6"/>
  <c r="A664" i="6"/>
  <c r="T664" i="6" s="1"/>
  <c r="B664" i="6"/>
  <c r="A665" i="6"/>
  <c r="T665" i="6" s="1"/>
  <c r="B665" i="6"/>
  <c r="A666" i="6"/>
  <c r="T666" i="6" s="1"/>
  <c r="B666" i="6"/>
  <c r="A667" i="6"/>
  <c r="T667" i="6" s="1"/>
  <c r="B667" i="6"/>
  <c r="A668" i="6"/>
  <c r="T668" i="6" s="1"/>
  <c r="B668" i="6"/>
  <c r="A669" i="6"/>
  <c r="T669" i="6" s="1"/>
  <c r="B669" i="6"/>
  <c r="A670" i="6"/>
  <c r="T670" i="6" s="1"/>
  <c r="B670" i="6"/>
  <c r="A671" i="6"/>
  <c r="T671" i="6" s="1"/>
  <c r="B671" i="6"/>
  <c r="A672" i="6"/>
  <c r="T672" i="6" s="1"/>
  <c r="B672" i="6"/>
  <c r="A673" i="6"/>
  <c r="T673" i="6" s="1"/>
  <c r="B673" i="6"/>
  <c r="A674" i="6"/>
  <c r="T674" i="6" s="1"/>
  <c r="B674" i="6"/>
  <c r="A675" i="6"/>
  <c r="T675" i="6" s="1"/>
  <c r="B675" i="6"/>
  <c r="A676" i="6"/>
  <c r="T676" i="6" s="1"/>
  <c r="B676" i="6"/>
  <c r="A677" i="6"/>
  <c r="T677" i="6" s="1"/>
  <c r="B677" i="6"/>
  <c r="A678" i="6"/>
  <c r="T678" i="6" s="1"/>
  <c r="B678" i="6"/>
  <c r="A679" i="6"/>
  <c r="T679" i="6" s="1"/>
  <c r="B679" i="6"/>
  <c r="A680" i="6"/>
  <c r="T680" i="6" s="1"/>
  <c r="B680" i="6"/>
  <c r="A681" i="6"/>
  <c r="T681" i="6" s="1"/>
  <c r="B681" i="6"/>
  <c r="A682" i="6"/>
  <c r="T682" i="6" s="1"/>
  <c r="B682" i="6"/>
  <c r="A683" i="6"/>
  <c r="T683" i="6" s="1"/>
  <c r="B683" i="6"/>
  <c r="A684" i="6"/>
  <c r="T684" i="6" s="1"/>
  <c r="B684" i="6"/>
  <c r="A685" i="6"/>
  <c r="T685" i="6" s="1"/>
  <c r="B685" i="6"/>
  <c r="A686" i="6"/>
  <c r="T686" i="6" s="1"/>
  <c r="B686" i="6"/>
  <c r="A687" i="6"/>
  <c r="T687" i="6" s="1"/>
  <c r="B687" i="6"/>
  <c r="A688" i="6"/>
  <c r="T688" i="6" s="1"/>
  <c r="B688" i="6"/>
  <c r="A689" i="6"/>
  <c r="T689" i="6" s="1"/>
  <c r="B689" i="6"/>
  <c r="A690" i="6"/>
  <c r="T690" i="6" s="1"/>
  <c r="B690" i="6"/>
  <c r="A691" i="6"/>
  <c r="T691" i="6" s="1"/>
  <c r="B691" i="6"/>
  <c r="A692" i="6"/>
  <c r="T692" i="6" s="1"/>
  <c r="B692" i="6"/>
  <c r="A693" i="6"/>
  <c r="T693" i="6" s="1"/>
  <c r="B693" i="6"/>
  <c r="A694" i="6"/>
  <c r="T694" i="6" s="1"/>
  <c r="B694" i="6"/>
  <c r="A695" i="6"/>
  <c r="T695" i="6" s="1"/>
  <c r="B695" i="6"/>
  <c r="A696" i="6"/>
  <c r="T696" i="6" s="1"/>
  <c r="B696" i="6"/>
  <c r="A697" i="6"/>
  <c r="T697" i="6" s="1"/>
  <c r="B697" i="6"/>
  <c r="A698" i="6"/>
  <c r="T698" i="6" s="1"/>
  <c r="B698" i="6"/>
  <c r="A699" i="6"/>
  <c r="T699" i="6" s="1"/>
  <c r="B699" i="6"/>
  <c r="A700" i="6"/>
  <c r="T700" i="6" s="1"/>
  <c r="B700" i="6"/>
  <c r="A701" i="6"/>
  <c r="T701" i="6" s="1"/>
  <c r="B701" i="6"/>
  <c r="A702" i="6"/>
  <c r="T702" i="6" s="1"/>
  <c r="B702" i="6"/>
  <c r="A703" i="6"/>
  <c r="T703" i="6" s="1"/>
  <c r="B703" i="6"/>
  <c r="A704" i="6"/>
  <c r="T704" i="6" s="1"/>
  <c r="B704" i="6"/>
  <c r="A705" i="6"/>
  <c r="T705" i="6" s="1"/>
  <c r="B705" i="6"/>
  <c r="A706" i="6"/>
  <c r="T706" i="6" s="1"/>
  <c r="B706" i="6"/>
  <c r="A707" i="6"/>
  <c r="T707" i="6" s="1"/>
  <c r="B707" i="6"/>
  <c r="A708" i="6"/>
  <c r="T708" i="6" s="1"/>
  <c r="B708" i="6"/>
  <c r="A709" i="6"/>
  <c r="T709" i="6" s="1"/>
  <c r="B709" i="6"/>
  <c r="A710" i="6"/>
  <c r="T710" i="6" s="1"/>
  <c r="B710" i="6"/>
  <c r="A711" i="6"/>
  <c r="T711" i="6" s="1"/>
  <c r="B711" i="6"/>
  <c r="A712" i="6"/>
  <c r="T712" i="6" s="1"/>
  <c r="B712" i="6"/>
  <c r="A713" i="6"/>
  <c r="T713" i="6" s="1"/>
  <c r="B713" i="6"/>
  <c r="A714" i="6"/>
  <c r="T714" i="6" s="1"/>
  <c r="B714" i="6"/>
  <c r="A715" i="6"/>
  <c r="T715" i="6" s="1"/>
  <c r="B715" i="6"/>
  <c r="A716" i="6"/>
  <c r="T716" i="6" s="1"/>
  <c r="B716" i="6"/>
  <c r="A717" i="6"/>
  <c r="T717" i="6" s="1"/>
  <c r="B717" i="6"/>
  <c r="A718" i="6"/>
  <c r="T718" i="6" s="1"/>
  <c r="B718" i="6"/>
  <c r="A719" i="6"/>
  <c r="T719" i="6" s="1"/>
  <c r="B719" i="6"/>
  <c r="A720" i="6"/>
  <c r="T720" i="6" s="1"/>
  <c r="B720" i="6"/>
  <c r="A721" i="6"/>
  <c r="T721" i="6" s="1"/>
  <c r="B721" i="6"/>
  <c r="A722" i="6"/>
  <c r="T722" i="6" s="1"/>
  <c r="B722" i="6"/>
  <c r="A723" i="6"/>
  <c r="T723" i="6" s="1"/>
  <c r="B723" i="6"/>
  <c r="A724" i="6"/>
  <c r="T724" i="6" s="1"/>
  <c r="B724" i="6"/>
  <c r="A725" i="6"/>
  <c r="T725" i="6" s="1"/>
  <c r="B725" i="6"/>
  <c r="A726" i="6"/>
  <c r="T726" i="6" s="1"/>
  <c r="B726" i="6"/>
  <c r="A727" i="6"/>
  <c r="T727" i="6" s="1"/>
  <c r="B727" i="6"/>
  <c r="A728" i="6"/>
  <c r="T728" i="6" s="1"/>
  <c r="B728" i="6"/>
  <c r="A729" i="6"/>
  <c r="T729" i="6" s="1"/>
  <c r="B729" i="6"/>
  <c r="A730" i="6"/>
  <c r="T730" i="6" s="1"/>
  <c r="B730" i="6"/>
  <c r="A731" i="6"/>
  <c r="T731" i="6" s="1"/>
  <c r="B731" i="6"/>
  <c r="A732" i="6"/>
  <c r="T732" i="6" s="1"/>
  <c r="B732" i="6"/>
  <c r="A733" i="6"/>
  <c r="T733" i="6" s="1"/>
  <c r="B733" i="6"/>
  <c r="A734" i="6"/>
  <c r="T734" i="6" s="1"/>
  <c r="B734" i="6"/>
  <c r="A735" i="6"/>
  <c r="T735" i="6" s="1"/>
  <c r="B735" i="6"/>
  <c r="A736" i="6"/>
  <c r="T736" i="6" s="1"/>
  <c r="B736" i="6"/>
  <c r="A737" i="6"/>
  <c r="T737" i="6" s="1"/>
  <c r="B737" i="6"/>
  <c r="A738" i="6"/>
  <c r="T738" i="6" s="1"/>
  <c r="B738" i="6"/>
  <c r="A739" i="6"/>
  <c r="T739" i="6" s="1"/>
  <c r="B739" i="6"/>
  <c r="A740" i="6"/>
  <c r="T740" i="6" s="1"/>
  <c r="B740" i="6"/>
  <c r="A741" i="6"/>
  <c r="T741" i="6" s="1"/>
  <c r="B741" i="6"/>
  <c r="A742" i="6"/>
  <c r="T742" i="6" s="1"/>
  <c r="B742" i="6"/>
  <c r="A743" i="6"/>
  <c r="T743" i="6" s="1"/>
  <c r="B743" i="6"/>
  <c r="A744" i="6"/>
  <c r="T744" i="6" s="1"/>
  <c r="B744" i="6"/>
  <c r="A745" i="6"/>
  <c r="T745" i="6" s="1"/>
  <c r="B745" i="6"/>
  <c r="A746" i="6"/>
  <c r="T746" i="6" s="1"/>
  <c r="B746" i="6"/>
  <c r="A747" i="6"/>
  <c r="T747" i="6" s="1"/>
  <c r="B747" i="6"/>
  <c r="A748" i="6"/>
  <c r="T748" i="6" s="1"/>
  <c r="B748" i="6"/>
  <c r="A749" i="6"/>
  <c r="T749" i="6" s="1"/>
  <c r="B749" i="6"/>
  <c r="A750" i="6"/>
  <c r="T750" i="6" s="1"/>
  <c r="B750" i="6"/>
  <c r="A751" i="6"/>
  <c r="T751" i="6" s="1"/>
  <c r="B751" i="6"/>
  <c r="A752" i="6"/>
  <c r="T752" i="6" s="1"/>
  <c r="B752" i="6"/>
  <c r="A753" i="6"/>
  <c r="T753" i="6" s="1"/>
  <c r="B753" i="6"/>
  <c r="A754" i="6"/>
  <c r="T754" i="6" s="1"/>
  <c r="B754" i="6"/>
  <c r="A755" i="6"/>
  <c r="T755" i="6" s="1"/>
  <c r="B755" i="6"/>
  <c r="A756" i="6"/>
  <c r="T756" i="6" s="1"/>
  <c r="B756" i="6"/>
  <c r="A757" i="6"/>
  <c r="T757" i="6" s="1"/>
  <c r="B757" i="6"/>
  <c r="A758" i="6"/>
  <c r="T758" i="6" s="1"/>
  <c r="B758" i="6"/>
  <c r="A759" i="6"/>
  <c r="T759" i="6" s="1"/>
  <c r="B759" i="6"/>
  <c r="A760" i="6"/>
  <c r="T760" i="6" s="1"/>
  <c r="B760" i="6"/>
  <c r="A761" i="6"/>
  <c r="T761" i="6" s="1"/>
  <c r="B761" i="6"/>
  <c r="A762" i="6"/>
  <c r="T762" i="6" s="1"/>
  <c r="B762" i="6"/>
  <c r="A763" i="6"/>
  <c r="T763" i="6" s="1"/>
  <c r="B763" i="6"/>
  <c r="A764" i="6"/>
  <c r="T764" i="6" s="1"/>
  <c r="B764" i="6"/>
  <c r="A765" i="6"/>
  <c r="T765" i="6" s="1"/>
  <c r="B765" i="6"/>
  <c r="A766" i="6"/>
  <c r="T766" i="6" s="1"/>
  <c r="B766" i="6"/>
  <c r="A767" i="6"/>
  <c r="T767" i="6" s="1"/>
  <c r="B767" i="6"/>
  <c r="A768" i="6"/>
  <c r="T768" i="6" s="1"/>
  <c r="B768" i="6"/>
  <c r="A769" i="6"/>
  <c r="T769" i="6" s="1"/>
  <c r="B769" i="6"/>
  <c r="A770" i="6"/>
  <c r="T770" i="6" s="1"/>
  <c r="B770" i="6"/>
  <c r="A771" i="6"/>
  <c r="T771" i="6" s="1"/>
  <c r="B771" i="6"/>
  <c r="A772" i="6"/>
  <c r="T772" i="6" s="1"/>
  <c r="B772" i="6"/>
  <c r="A773" i="6"/>
  <c r="T773" i="6" s="1"/>
  <c r="B773" i="6"/>
  <c r="A774" i="6"/>
  <c r="T774" i="6" s="1"/>
  <c r="B774" i="6"/>
  <c r="A775" i="6"/>
  <c r="T775" i="6" s="1"/>
  <c r="B775" i="6"/>
  <c r="A776" i="6"/>
  <c r="T776" i="6" s="1"/>
  <c r="B776" i="6"/>
  <c r="A777" i="6"/>
  <c r="T777" i="6" s="1"/>
  <c r="B777" i="6"/>
  <c r="A778" i="6"/>
  <c r="T778" i="6" s="1"/>
  <c r="B778" i="6"/>
  <c r="A779" i="6"/>
  <c r="T779" i="6" s="1"/>
  <c r="B779" i="6"/>
  <c r="A780" i="6"/>
  <c r="T780" i="6" s="1"/>
  <c r="B780" i="6"/>
  <c r="A781" i="6"/>
  <c r="T781" i="6" s="1"/>
  <c r="B781" i="6"/>
  <c r="A782" i="6"/>
  <c r="T782" i="6" s="1"/>
  <c r="B782" i="6"/>
  <c r="A783" i="6"/>
  <c r="T783" i="6" s="1"/>
  <c r="B783" i="6"/>
  <c r="A784" i="6"/>
  <c r="T784" i="6" s="1"/>
  <c r="B784" i="6"/>
  <c r="A785" i="6"/>
  <c r="T785" i="6" s="1"/>
  <c r="B785" i="6"/>
  <c r="A786" i="6"/>
  <c r="T786" i="6" s="1"/>
  <c r="B786" i="6"/>
  <c r="A787" i="6"/>
  <c r="T787" i="6" s="1"/>
  <c r="B787" i="6"/>
  <c r="A788" i="6"/>
  <c r="T788" i="6" s="1"/>
  <c r="B788" i="6"/>
  <c r="A789" i="6"/>
  <c r="T789" i="6" s="1"/>
  <c r="B789" i="6"/>
  <c r="A790" i="6"/>
  <c r="T790" i="6" s="1"/>
  <c r="B790" i="6"/>
  <c r="A791" i="6"/>
  <c r="T791" i="6" s="1"/>
  <c r="B791" i="6"/>
  <c r="A792" i="6"/>
  <c r="T792" i="6" s="1"/>
  <c r="B792" i="6"/>
  <c r="A793" i="6"/>
  <c r="T793" i="6" s="1"/>
  <c r="B793" i="6"/>
  <c r="A794" i="6"/>
  <c r="T794" i="6" s="1"/>
  <c r="B794" i="6"/>
  <c r="A795" i="6"/>
  <c r="T795" i="6" s="1"/>
  <c r="B795" i="6"/>
  <c r="A796" i="6"/>
  <c r="T796" i="6" s="1"/>
  <c r="B796" i="6"/>
  <c r="A797" i="6"/>
  <c r="T797" i="6" s="1"/>
  <c r="B797" i="6"/>
  <c r="A798" i="6"/>
  <c r="T798" i="6" s="1"/>
  <c r="B798" i="6"/>
  <c r="A799" i="6"/>
  <c r="T799" i="6" s="1"/>
  <c r="B799" i="6"/>
  <c r="A800" i="6"/>
  <c r="T800" i="6" s="1"/>
  <c r="B800" i="6"/>
  <c r="A801" i="6"/>
  <c r="T801" i="6" s="1"/>
  <c r="B801" i="6"/>
  <c r="A802" i="6"/>
  <c r="T802" i="6" s="1"/>
  <c r="B802" i="6"/>
  <c r="A803" i="6"/>
  <c r="T803" i="6" s="1"/>
  <c r="B803" i="6"/>
  <c r="A804" i="6"/>
  <c r="T804" i="6" s="1"/>
  <c r="B804" i="6"/>
  <c r="A805" i="6"/>
  <c r="T805" i="6" s="1"/>
  <c r="B805" i="6"/>
  <c r="A806" i="6"/>
  <c r="T806" i="6" s="1"/>
  <c r="B806" i="6"/>
  <c r="A807" i="6"/>
  <c r="T807" i="6" s="1"/>
  <c r="B807" i="6"/>
  <c r="A808" i="6"/>
  <c r="T808" i="6" s="1"/>
  <c r="B808" i="6"/>
  <c r="A809" i="6"/>
  <c r="T809" i="6" s="1"/>
  <c r="B809" i="6"/>
  <c r="A810" i="6"/>
  <c r="T810" i="6" s="1"/>
  <c r="B810" i="6"/>
  <c r="A811" i="6"/>
  <c r="T811" i="6" s="1"/>
  <c r="B811" i="6"/>
  <c r="A812" i="6"/>
  <c r="T812" i="6" s="1"/>
  <c r="B812" i="6"/>
  <c r="A813" i="6"/>
  <c r="T813" i="6" s="1"/>
  <c r="B813" i="6"/>
  <c r="A814" i="6"/>
  <c r="T814" i="6" s="1"/>
  <c r="B814" i="6"/>
  <c r="A815" i="6"/>
  <c r="T815" i="6" s="1"/>
  <c r="B815" i="6"/>
  <c r="A816" i="6"/>
  <c r="T816" i="6" s="1"/>
  <c r="B816" i="6"/>
  <c r="A817" i="6"/>
  <c r="T817" i="6" s="1"/>
  <c r="B817" i="6"/>
  <c r="A818" i="6"/>
  <c r="T818" i="6" s="1"/>
  <c r="B818" i="6"/>
  <c r="A819" i="6"/>
  <c r="T819" i="6" s="1"/>
  <c r="B819" i="6"/>
  <c r="A820" i="6"/>
  <c r="T820" i="6" s="1"/>
  <c r="B820" i="6"/>
  <c r="A821" i="6"/>
  <c r="T821" i="6" s="1"/>
  <c r="B821" i="6"/>
  <c r="A822" i="6"/>
  <c r="T822" i="6" s="1"/>
  <c r="B822" i="6"/>
  <c r="A823" i="6"/>
  <c r="T823" i="6" s="1"/>
  <c r="B823" i="6"/>
  <c r="A824" i="6"/>
  <c r="T824" i="6" s="1"/>
  <c r="B824" i="6"/>
  <c r="A825" i="6"/>
  <c r="T825" i="6" s="1"/>
  <c r="B825" i="6"/>
  <c r="A826" i="6"/>
  <c r="T826" i="6" s="1"/>
  <c r="B826" i="6"/>
  <c r="A827" i="6"/>
  <c r="T827" i="6" s="1"/>
  <c r="B827" i="6"/>
  <c r="A828" i="6"/>
  <c r="T828" i="6" s="1"/>
  <c r="B828" i="6"/>
  <c r="A829" i="6"/>
  <c r="T829" i="6" s="1"/>
  <c r="B829" i="6"/>
  <c r="A830" i="6"/>
  <c r="T830" i="6" s="1"/>
  <c r="B830" i="6"/>
  <c r="A831" i="6"/>
  <c r="T831" i="6" s="1"/>
  <c r="B831" i="6"/>
  <c r="A832" i="6"/>
  <c r="T832" i="6" s="1"/>
  <c r="B832" i="6"/>
  <c r="A833" i="6"/>
  <c r="T833" i="6" s="1"/>
  <c r="B833" i="6"/>
  <c r="A834" i="6"/>
  <c r="T834" i="6" s="1"/>
  <c r="B834" i="6"/>
  <c r="A835" i="6"/>
  <c r="T835" i="6" s="1"/>
  <c r="B835" i="6"/>
  <c r="A836" i="6"/>
  <c r="T836" i="6" s="1"/>
  <c r="B836" i="6"/>
  <c r="A837" i="6"/>
  <c r="T837" i="6" s="1"/>
  <c r="B837" i="6"/>
  <c r="A838" i="6"/>
  <c r="T838" i="6" s="1"/>
  <c r="B838" i="6"/>
  <c r="A839" i="6"/>
  <c r="T839" i="6" s="1"/>
  <c r="B839" i="6"/>
  <c r="A840" i="6"/>
  <c r="T840" i="6" s="1"/>
  <c r="B840" i="6"/>
  <c r="A841" i="6"/>
  <c r="T841" i="6" s="1"/>
  <c r="B841" i="6"/>
  <c r="A842" i="6"/>
  <c r="T842" i="6" s="1"/>
  <c r="B842" i="6"/>
  <c r="A843" i="6"/>
  <c r="T843" i="6" s="1"/>
  <c r="B843" i="6"/>
  <c r="A844" i="6"/>
  <c r="T844" i="6" s="1"/>
  <c r="B844" i="6"/>
  <c r="A845" i="6"/>
  <c r="T845" i="6" s="1"/>
  <c r="B845" i="6"/>
  <c r="A846" i="6"/>
  <c r="T846" i="6" s="1"/>
  <c r="B846" i="6"/>
  <c r="A847" i="6"/>
  <c r="T847" i="6" s="1"/>
  <c r="B847" i="6"/>
  <c r="A848" i="6"/>
  <c r="T848" i="6" s="1"/>
  <c r="B848" i="6"/>
  <c r="A849" i="6"/>
  <c r="T849" i="6" s="1"/>
  <c r="B849" i="6"/>
  <c r="A850" i="6"/>
  <c r="T850" i="6" s="1"/>
  <c r="B850" i="6"/>
  <c r="A851" i="6"/>
  <c r="T851" i="6" s="1"/>
  <c r="B851" i="6"/>
  <c r="A852" i="6"/>
  <c r="T852" i="6" s="1"/>
  <c r="B852" i="6"/>
  <c r="A853" i="6"/>
  <c r="T853" i="6" s="1"/>
  <c r="B853" i="6"/>
  <c r="A854" i="6"/>
  <c r="T854" i="6" s="1"/>
  <c r="B854" i="6"/>
  <c r="A855" i="6"/>
  <c r="T855" i="6" s="1"/>
  <c r="B855" i="6"/>
  <c r="A856" i="6"/>
  <c r="T856" i="6" s="1"/>
  <c r="B856" i="6"/>
  <c r="A857" i="6"/>
  <c r="T857" i="6" s="1"/>
  <c r="B857" i="6"/>
  <c r="A858" i="6"/>
  <c r="T858" i="6" s="1"/>
  <c r="B858" i="6"/>
  <c r="A859" i="6"/>
  <c r="T859" i="6" s="1"/>
  <c r="B859" i="6"/>
  <c r="A860" i="6"/>
  <c r="T860" i="6" s="1"/>
  <c r="B860" i="6"/>
  <c r="A861" i="6"/>
  <c r="T861" i="6" s="1"/>
  <c r="B861" i="6"/>
  <c r="A862" i="6"/>
  <c r="T862" i="6" s="1"/>
  <c r="B862" i="6"/>
  <c r="A863" i="6"/>
  <c r="T863" i="6" s="1"/>
  <c r="B863" i="6"/>
  <c r="A864" i="6"/>
  <c r="T864" i="6" s="1"/>
  <c r="B864" i="6"/>
  <c r="A865" i="6"/>
  <c r="T865" i="6" s="1"/>
  <c r="B865" i="6"/>
  <c r="A866" i="6"/>
  <c r="T866" i="6" s="1"/>
  <c r="B866" i="6"/>
  <c r="A867" i="6"/>
  <c r="T867" i="6" s="1"/>
  <c r="B867" i="6"/>
  <c r="A868" i="6"/>
  <c r="T868" i="6" s="1"/>
  <c r="B868" i="6"/>
  <c r="A869" i="6"/>
  <c r="T869" i="6" s="1"/>
  <c r="B869" i="6"/>
  <c r="A870" i="6"/>
  <c r="T870" i="6" s="1"/>
  <c r="B870" i="6"/>
  <c r="A871" i="6"/>
  <c r="T871" i="6" s="1"/>
  <c r="B871" i="6"/>
  <c r="A872" i="6"/>
  <c r="T872" i="6" s="1"/>
  <c r="B872" i="6"/>
  <c r="A873" i="6"/>
  <c r="T873" i="6" s="1"/>
  <c r="B873" i="6"/>
  <c r="A874" i="6"/>
  <c r="T874" i="6" s="1"/>
  <c r="B874" i="6"/>
  <c r="A875" i="6"/>
  <c r="T875" i="6" s="1"/>
  <c r="B875" i="6"/>
  <c r="A876" i="6"/>
  <c r="T876" i="6" s="1"/>
  <c r="B876" i="6"/>
  <c r="A877" i="6"/>
  <c r="T877" i="6" s="1"/>
  <c r="B877" i="6"/>
  <c r="A878" i="6"/>
  <c r="T878" i="6" s="1"/>
  <c r="B878" i="6"/>
  <c r="A879" i="6"/>
  <c r="T879" i="6" s="1"/>
  <c r="B879" i="6"/>
  <c r="A880" i="6"/>
  <c r="T880" i="6" s="1"/>
  <c r="B880" i="6"/>
  <c r="A881" i="6"/>
  <c r="T881" i="6" s="1"/>
  <c r="B881" i="6"/>
  <c r="A882" i="6"/>
  <c r="T882" i="6" s="1"/>
  <c r="B882" i="6"/>
  <c r="A883" i="6"/>
  <c r="T883" i="6" s="1"/>
  <c r="B883" i="6"/>
  <c r="A884" i="6"/>
  <c r="T884" i="6" s="1"/>
  <c r="B884" i="6"/>
  <c r="A885" i="6"/>
  <c r="T885" i="6" s="1"/>
  <c r="B885" i="6"/>
  <c r="A886" i="6"/>
  <c r="T886" i="6" s="1"/>
  <c r="B886" i="6"/>
  <c r="A887" i="6"/>
  <c r="T887" i="6" s="1"/>
  <c r="B887" i="6"/>
  <c r="A888" i="6"/>
  <c r="T888" i="6" s="1"/>
  <c r="B888" i="6"/>
  <c r="A889" i="6"/>
  <c r="T889" i="6" s="1"/>
  <c r="B889" i="6"/>
  <c r="A890" i="6"/>
  <c r="T890" i="6" s="1"/>
  <c r="B890" i="6"/>
  <c r="A891" i="6"/>
  <c r="T891" i="6" s="1"/>
  <c r="B891" i="6"/>
  <c r="A892" i="6"/>
  <c r="T892" i="6" s="1"/>
  <c r="B892" i="6"/>
  <c r="A893" i="6"/>
  <c r="T893" i="6" s="1"/>
  <c r="B893" i="6"/>
  <c r="A894" i="6"/>
  <c r="T894" i="6" s="1"/>
  <c r="B894" i="6"/>
  <c r="A895" i="6"/>
  <c r="T895" i="6" s="1"/>
  <c r="B895" i="6"/>
  <c r="A896" i="6"/>
  <c r="T896" i="6" s="1"/>
  <c r="B896" i="6"/>
  <c r="A897" i="6"/>
  <c r="T897" i="6" s="1"/>
  <c r="B897" i="6"/>
  <c r="A898" i="6"/>
  <c r="T898" i="6" s="1"/>
  <c r="B898" i="6"/>
  <c r="A899" i="6"/>
  <c r="T899" i="6" s="1"/>
  <c r="B899" i="6"/>
  <c r="A900" i="6"/>
  <c r="T900" i="6" s="1"/>
  <c r="B900" i="6"/>
  <c r="A901" i="6"/>
  <c r="T901" i="6" s="1"/>
  <c r="B901" i="6"/>
  <c r="A902" i="6"/>
  <c r="T902" i="6" s="1"/>
  <c r="B902" i="6"/>
  <c r="A903" i="6"/>
  <c r="T903" i="6" s="1"/>
  <c r="B903" i="6"/>
  <c r="A904" i="6"/>
  <c r="T904" i="6" s="1"/>
  <c r="B904" i="6"/>
  <c r="A905" i="6"/>
  <c r="T905" i="6" s="1"/>
  <c r="B905" i="6"/>
  <c r="A906" i="6"/>
  <c r="T906" i="6" s="1"/>
  <c r="B906" i="6"/>
  <c r="A907" i="6"/>
  <c r="T907" i="6" s="1"/>
  <c r="B907" i="6"/>
  <c r="A908" i="6"/>
  <c r="T908" i="6" s="1"/>
  <c r="B908" i="6"/>
  <c r="A909" i="6"/>
  <c r="T909" i="6" s="1"/>
  <c r="B909" i="6"/>
  <c r="A910" i="6"/>
  <c r="T910" i="6" s="1"/>
  <c r="B910" i="6"/>
  <c r="A911" i="6"/>
  <c r="T911" i="6" s="1"/>
  <c r="B911" i="6"/>
  <c r="A912" i="6"/>
  <c r="T912" i="6" s="1"/>
  <c r="B912" i="6"/>
  <c r="A913" i="6"/>
  <c r="T913" i="6" s="1"/>
  <c r="B913" i="6"/>
  <c r="A914" i="6"/>
  <c r="T914" i="6" s="1"/>
  <c r="B914" i="6"/>
  <c r="A915" i="6"/>
  <c r="T915" i="6" s="1"/>
  <c r="B915" i="6"/>
  <c r="A916" i="6"/>
  <c r="T916" i="6" s="1"/>
  <c r="B916" i="6"/>
  <c r="A917" i="6"/>
  <c r="T917" i="6" s="1"/>
  <c r="B917" i="6"/>
  <c r="A918" i="6"/>
  <c r="T918" i="6" s="1"/>
  <c r="B918" i="6"/>
  <c r="A919" i="6"/>
  <c r="T919" i="6" s="1"/>
  <c r="B919" i="6"/>
  <c r="A920" i="6"/>
  <c r="T920" i="6" s="1"/>
  <c r="B920" i="6"/>
  <c r="A921" i="6"/>
  <c r="T921" i="6" s="1"/>
  <c r="B921" i="6"/>
  <c r="A922" i="6"/>
  <c r="T922" i="6" s="1"/>
  <c r="B922" i="6"/>
  <c r="A923" i="6"/>
  <c r="T923" i="6" s="1"/>
  <c r="B923" i="6"/>
  <c r="A924" i="6"/>
  <c r="T924" i="6" s="1"/>
  <c r="B924" i="6"/>
  <c r="A925" i="6"/>
  <c r="T925" i="6" s="1"/>
  <c r="B925" i="6"/>
  <c r="A926" i="6"/>
  <c r="T926" i="6" s="1"/>
  <c r="B926" i="6"/>
  <c r="A927" i="6"/>
  <c r="T927" i="6" s="1"/>
  <c r="B927" i="6"/>
  <c r="A928" i="6"/>
  <c r="T928" i="6" s="1"/>
  <c r="B928" i="6"/>
  <c r="A929" i="6"/>
  <c r="T929" i="6" s="1"/>
  <c r="B929" i="6"/>
  <c r="A930" i="6"/>
  <c r="T930" i="6" s="1"/>
  <c r="B930" i="6"/>
  <c r="A931" i="6"/>
  <c r="T931" i="6" s="1"/>
  <c r="B931" i="6"/>
  <c r="A932" i="6"/>
  <c r="T932" i="6" s="1"/>
  <c r="B932" i="6"/>
  <c r="A933" i="6"/>
  <c r="T933" i="6" s="1"/>
  <c r="B933" i="6"/>
  <c r="A934" i="6"/>
  <c r="T934" i="6" s="1"/>
  <c r="B934" i="6"/>
  <c r="A935" i="6"/>
  <c r="T935" i="6" s="1"/>
  <c r="B935" i="6"/>
  <c r="A936" i="6"/>
  <c r="T936" i="6" s="1"/>
  <c r="B936" i="6"/>
  <c r="A937" i="6"/>
  <c r="T937" i="6" s="1"/>
  <c r="B937" i="6"/>
  <c r="A938" i="6"/>
  <c r="T938" i="6" s="1"/>
  <c r="B938" i="6"/>
  <c r="A939" i="6"/>
  <c r="T939" i="6" s="1"/>
  <c r="B939" i="6"/>
  <c r="A940" i="6"/>
  <c r="T940" i="6" s="1"/>
  <c r="B940" i="6"/>
  <c r="A941" i="6"/>
  <c r="T941" i="6" s="1"/>
  <c r="B941" i="6"/>
  <c r="A942" i="6"/>
  <c r="T942" i="6" s="1"/>
  <c r="B942" i="6"/>
  <c r="A943" i="6"/>
  <c r="T943" i="6" s="1"/>
  <c r="B943" i="6"/>
  <c r="A944" i="6"/>
  <c r="T944" i="6" s="1"/>
  <c r="B944" i="6"/>
  <c r="A945" i="6"/>
  <c r="T945" i="6" s="1"/>
  <c r="B945" i="6"/>
  <c r="A946" i="6"/>
  <c r="T946" i="6" s="1"/>
  <c r="B946" i="6"/>
  <c r="A947" i="6"/>
  <c r="T947" i="6" s="1"/>
  <c r="B947" i="6"/>
  <c r="A948" i="6"/>
  <c r="T948" i="6" s="1"/>
  <c r="B948" i="6"/>
  <c r="A949" i="6"/>
  <c r="T949" i="6" s="1"/>
  <c r="B949" i="6"/>
  <c r="A950" i="6"/>
  <c r="T950" i="6" s="1"/>
  <c r="B950" i="6"/>
  <c r="A951" i="6"/>
  <c r="T951" i="6" s="1"/>
  <c r="B951" i="6"/>
  <c r="A952" i="6"/>
  <c r="T952" i="6" s="1"/>
  <c r="B952" i="6"/>
  <c r="A953" i="6"/>
  <c r="T953" i="6" s="1"/>
  <c r="B953" i="6"/>
  <c r="A954" i="6"/>
  <c r="T954" i="6" s="1"/>
  <c r="B954" i="6"/>
  <c r="A955" i="6"/>
  <c r="T955" i="6" s="1"/>
  <c r="B955" i="6"/>
  <c r="A956" i="6"/>
  <c r="T956" i="6" s="1"/>
  <c r="B956" i="6"/>
  <c r="A957" i="6"/>
  <c r="T957" i="6" s="1"/>
  <c r="B957" i="6"/>
  <c r="A958" i="6"/>
  <c r="T958" i="6" s="1"/>
  <c r="B958" i="6"/>
  <c r="A959" i="6"/>
  <c r="T959" i="6" s="1"/>
  <c r="B959" i="6"/>
  <c r="A960" i="6"/>
  <c r="T960" i="6" s="1"/>
  <c r="B960" i="6"/>
  <c r="A961" i="6"/>
  <c r="T961" i="6" s="1"/>
  <c r="B961" i="6"/>
  <c r="A962" i="6"/>
  <c r="T962" i="6" s="1"/>
  <c r="B962" i="6"/>
  <c r="A963" i="6"/>
  <c r="T963" i="6" s="1"/>
  <c r="B963" i="6"/>
  <c r="A964" i="6"/>
  <c r="T964" i="6" s="1"/>
  <c r="B964" i="6"/>
  <c r="A965" i="6"/>
  <c r="T965" i="6" s="1"/>
  <c r="B965" i="6"/>
  <c r="A966" i="6"/>
  <c r="T966" i="6" s="1"/>
  <c r="B966" i="6"/>
  <c r="A967" i="6"/>
  <c r="T967" i="6" s="1"/>
  <c r="B967" i="6"/>
  <c r="A968" i="6"/>
  <c r="T968" i="6" s="1"/>
  <c r="B968" i="6"/>
  <c r="A969" i="6"/>
  <c r="T969" i="6" s="1"/>
  <c r="B969" i="6"/>
  <c r="A970" i="6"/>
  <c r="T970" i="6" s="1"/>
  <c r="B970" i="6"/>
  <c r="A971" i="6"/>
  <c r="T971" i="6" s="1"/>
  <c r="B971" i="6"/>
  <c r="A972" i="6"/>
  <c r="T972" i="6" s="1"/>
  <c r="B972" i="6"/>
  <c r="A973" i="6"/>
  <c r="T973" i="6" s="1"/>
  <c r="B973" i="6"/>
  <c r="A974" i="6"/>
  <c r="T974" i="6" s="1"/>
  <c r="B974" i="6"/>
  <c r="A975" i="6"/>
  <c r="T975" i="6" s="1"/>
  <c r="B975" i="6"/>
  <c r="A976" i="6"/>
  <c r="T976" i="6" s="1"/>
  <c r="B976" i="6"/>
  <c r="A977" i="6"/>
  <c r="T977" i="6" s="1"/>
  <c r="B977" i="6"/>
  <c r="A978" i="6"/>
  <c r="T978" i="6" s="1"/>
  <c r="B978" i="6"/>
  <c r="A979" i="6"/>
  <c r="T979" i="6" s="1"/>
  <c r="B979" i="6"/>
  <c r="A980" i="6"/>
  <c r="T980" i="6" s="1"/>
  <c r="B980" i="6"/>
  <c r="A981" i="6"/>
  <c r="T981" i="6" s="1"/>
  <c r="B981" i="6"/>
  <c r="A982" i="6"/>
  <c r="T982" i="6" s="1"/>
  <c r="B982" i="6"/>
  <c r="A983" i="6"/>
  <c r="T983" i="6" s="1"/>
  <c r="B983" i="6"/>
  <c r="A984" i="6"/>
  <c r="T984" i="6" s="1"/>
  <c r="B984" i="6"/>
  <c r="A985" i="6"/>
  <c r="T985" i="6" s="1"/>
  <c r="B985" i="6"/>
  <c r="A986" i="6"/>
  <c r="T986" i="6" s="1"/>
  <c r="B986" i="6"/>
  <c r="A987" i="6"/>
  <c r="T987" i="6" s="1"/>
  <c r="B987" i="6"/>
  <c r="A988" i="6"/>
  <c r="T988" i="6" s="1"/>
  <c r="B988" i="6"/>
  <c r="A989" i="6"/>
  <c r="T989" i="6" s="1"/>
  <c r="B989" i="6"/>
  <c r="A990" i="6"/>
  <c r="T990" i="6" s="1"/>
  <c r="B990" i="6"/>
  <c r="A991" i="6"/>
  <c r="T991" i="6" s="1"/>
  <c r="B991" i="6"/>
  <c r="A992" i="6"/>
  <c r="T992" i="6" s="1"/>
  <c r="B992" i="6"/>
  <c r="A993" i="6"/>
  <c r="T993" i="6" s="1"/>
  <c r="B993" i="6"/>
  <c r="A994" i="6"/>
  <c r="T994" i="6" s="1"/>
  <c r="B994" i="6"/>
  <c r="A995" i="6"/>
  <c r="T995" i="6" s="1"/>
  <c r="B995" i="6"/>
  <c r="A996" i="6"/>
  <c r="T996" i="6" s="1"/>
  <c r="B996" i="6"/>
  <c r="A997" i="6"/>
  <c r="T997" i="6" s="1"/>
  <c r="B997" i="6"/>
  <c r="A998" i="6"/>
  <c r="T998" i="6" s="1"/>
  <c r="B998" i="6"/>
  <c r="A999" i="6"/>
  <c r="T999" i="6" s="1"/>
  <c r="B999" i="6"/>
  <c r="A1000" i="6"/>
  <c r="T1000" i="6" s="1"/>
  <c r="B1000" i="6"/>
  <c r="A1001" i="6"/>
  <c r="T1001" i="6" s="1"/>
  <c r="B1001" i="6"/>
  <c r="A1002" i="6"/>
  <c r="T1002" i="6" s="1"/>
  <c r="B1002" i="6"/>
  <c r="A1003" i="6"/>
  <c r="T1003" i="6" s="1"/>
  <c r="B1003" i="6"/>
  <c r="A1004" i="6"/>
  <c r="T1004" i="6" s="1"/>
  <c r="B1004" i="6"/>
  <c r="A1005" i="6"/>
  <c r="T1005" i="6" s="1"/>
  <c r="B1005" i="6"/>
  <c r="A1006" i="6"/>
  <c r="T1006" i="6" s="1"/>
  <c r="B1006" i="6"/>
  <c r="A1007" i="6"/>
  <c r="T1007" i="6" s="1"/>
  <c r="B1007" i="6"/>
  <c r="A1008" i="6"/>
  <c r="T1008" i="6" s="1"/>
  <c r="B1008" i="6"/>
  <c r="A1009" i="6"/>
  <c r="T1009" i="6" s="1"/>
  <c r="B1009" i="6"/>
  <c r="A1010" i="6"/>
  <c r="T1010" i="6" s="1"/>
  <c r="B1010" i="6"/>
  <c r="A1011" i="6"/>
  <c r="T1011" i="6" s="1"/>
  <c r="B1011" i="6"/>
  <c r="A1012" i="6"/>
  <c r="T1012" i="6" s="1"/>
  <c r="B1012" i="6"/>
  <c r="A1013" i="6"/>
  <c r="T1013" i="6" s="1"/>
  <c r="B1013" i="6"/>
  <c r="A1014" i="6"/>
  <c r="T1014" i="6" s="1"/>
  <c r="B1014" i="6"/>
  <c r="A1015" i="6"/>
  <c r="T1015" i="6" s="1"/>
  <c r="B1015" i="6"/>
  <c r="A1016" i="6"/>
  <c r="T1016" i="6" s="1"/>
  <c r="B1016" i="6"/>
  <c r="A1017" i="6"/>
  <c r="T1017" i="6" s="1"/>
  <c r="B1017" i="6"/>
  <c r="A1018" i="6"/>
  <c r="T1018" i="6" s="1"/>
  <c r="B1018" i="6"/>
  <c r="A1019" i="6"/>
  <c r="T1019" i="6" s="1"/>
  <c r="B1019" i="6"/>
  <c r="A1020" i="6"/>
  <c r="T1020" i="6" s="1"/>
  <c r="B1020" i="6"/>
  <c r="A1021" i="6"/>
  <c r="T1021" i="6" s="1"/>
  <c r="B1021" i="6"/>
  <c r="A1022" i="6"/>
  <c r="T1022" i="6" s="1"/>
  <c r="B1022" i="6"/>
  <c r="A1023" i="6"/>
  <c r="T1023" i="6" s="1"/>
  <c r="B1023" i="6"/>
  <c r="A1024" i="6"/>
  <c r="T1024" i="6" s="1"/>
  <c r="B1024" i="6"/>
  <c r="A1025" i="6"/>
  <c r="T1025" i="6" s="1"/>
  <c r="B1025" i="6"/>
  <c r="A1026" i="6"/>
  <c r="T1026" i="6" s="1"/>
  <c r="B1026" i="6"/>
  <c r="A1027" i="6"/>
  <c r="T1027" i="6" s="1"/>
  <c r="B1027" i="6"/>
  <c r="A1028" i="6"/>
  <c r="T1028" i="6" s="1"/>
  <c r="B1028" i="6"/>
  <c r="A1029" i="6"/>
  <c r="T1029" i="6" s="1"/>
  <c r="B1029" i="6"/>
  <c r="A1030" i="6"/>
  <c r="T1030" i="6" s="1"/>
  <c r="B1030" i="6"/>
  <c r="A1031" i="6"/>
  <c r="T1031" i="6" s="1"/>
  <c r="B1031" i="6"/>
  <c r="A1032" i="6"/>
  <c r="T1032" i="6" s="1"/>
  <c r="B1032" i="6"/>
  <c r="A1033" i="6"/>
  <c r="T1033" i="6" s="1"/>
  <c r="B1033" i="6"/>
  <c r="A1034" i="6"/>
  <c r="T1034" i="6" s="1"/>
  <c r="B1034" i="6"/>
  <c r="A1035" i="6"/>
  <c r="T1035" i="6" s="1"/>
  <c r="B1035" i="6"/>
  <c r="A1036" i="6"/>
  <c r="T1036" i="6" s="1"/>
  <c r="B1036" i="6"/>
  <c r="A1037" i="6"/>
  <c r="T1037" i="6" s="1"/>
  <c r="B1037" i="6"/>
  <c r="A1038" i="6"/>
  <c r="T1038" i="6" s="1"/>
  <c r="B1038" i="6"/>
  <c r="A1039" i="6"/>
  <c r="T1039" i="6" s="1"/>
  <c r="B1039" i="6"/>
  <c r="A1040" i="6"/>
  <c r="T1040" i="6" s="1"/>
  <c r="B1040" i="6"/>
  <c r="A1041" i="6"/>
  <c r="T1041" i="6" s="1"/>
  <c r="B1041" i="6"/>
  <c r="A1042" i="6"/>
  <c r="T1042" i="6" s="1"/>
  <c r="B1042" i="6"/>
  <c r="A1043" i="6"/>
  <c r="T1043" i="6" s="1"/>
  <c r="B1043" i="6"/>
  <c r="A1044" i="6"/>
  <c r="T1044" i="6" s="1"/>
  <c r="B1044" i="6"/>
  <c r="A1045" i="6"/>
  <c r="T1045" i="6" s="1"/>
  <c r="B1045" i="6"/>
  <c r="A1046" i="6"/>
  <c r="T1046" i="6" s="1"/>
  <c r="B1046" i="6"/>
  <c r="A1047" i="6"/>
  <c r="T1047" i="6" s="1"/>
  <c r="B1047" i="6"/>
  <c r="A1048" i="6"/>
  <c r="T1048" i="6" s="1"/>
  <c r="B1048" i="6"/>
  <c r="A1049" i="6"/>
  <c r="T1049" i="6" s="1"/>
  <c r="B1049" i="6"/>
  <c r="A1050" i="6"/>
  <c r="T1050" i="6" s="1"/>
  <c r="B1050" i="6"/>
  <c r="A1051" i="6"/>
  <c r="T1051" i="6" s="1"/>
  <c r="B1051" i="6"/>
  <c r="B1" i="6"/>
  <c r="A1" i="6"/>
  <c r="I6" i="5"/>
  <c r="E8" i="6"/>
  <c r="E10" i="6"/>
  <c r="E5" i="6"/>
  <c r="E4" i="6"/>
  <c r="E3" i="6"/>
  <c r="E11" i="6"/>
  <c r="E9" i="6"/>
  <c r="E6" i="6"/>
  <c r="E7" i="6"/>
  <c r="K79" i="6" l="1"/>
  <c r="X80" i="7" s="1"/>
  <c r="BN79" i="7"/>
  <c r="AH79" i="7"/>
  <c r="AX79" i="7"/>
  <c r="F79" i="6"/>
  <c r="S80" i="7" s="1"/>
  <c r="O79" i="6"/>
  <c r="AB80" i="7" s="1"/>
  <c r="H79" i="6"/>
  <c r="U80" i="7" s="1"/>
  <c r="L79" i="6"/>
  <c r="Y80" i="7" s="1"/>
  <c r="R79" i="6"/>
  <c r="AE80" i="7" s="1"/>
  <c r="M79" i="6"/>
  <c r="Z80" i="7" s="1"/>
  <c r="S79" i="6"/>
  <c r="AF80" i="7" s="1"/>
  <c r="P79" i="6"/>
  <c r="AC80" i="7" s="1"/>
  <c r="G79" i="6"/>
  <c r="T80" i="7" s="1"/>
  <c r="N79" i="6"/>
  <c r="AA80" i="7" s="1"/>
  <c r="Q79" i="6"/>
  <c r="AD80" i="7" s="1"/>
  <c r="I79" i="6"/>
  <c r="V80" i="7" s="1"/>
  <c r="J79" i="6"/>
  <c r="W80" i="7" s="1"/>
  <c r="R78" i="6"/>
  <c r="AE79" i="7" s="1"/>
  <c r="H78" i="6"/>
  <c r="U79" i="7" s="1"/>
  <c r="G78" i="6"/>
  <c r="T79" i="7" s="1"/>
  <c r="P78" i="6"/>
  <c r="AC79" i="7" s="1"/>
  <c r="S78" i="6"/>
  <c r="AF79" i="7" s="1"/>
  <c r="CB79" i="7" s="1"/>
  <c r="M78" i="6"/>
  <c r="Z79" i="7" s="1"/>
  <c r="N78" i="6"/>
  <c r="AA79" i="7" s="1"/>
  <c r="BW79" i="7" s="1"/>
  <c r="K78" i="6"/>
  <c r="X79" i="7" s="1"/>
  <c r="BT79" i="7" s="1"/>
  <c r="Q78" i="6"/>
  <c r="AD79" i="7" s="1"/>
  <c r="BZ79" i="7" s="1"/>
  <c r="J78" i="6"/>
  <c r="W79" i="7" s="1"/>
  <c r="BS79" i="7" s="1"/>
  <c r="O78" i="6"/>
  <c r="AB79" i="7" s="1"/>
  <c r="BX79" i="7" s="1"/>
  <c r="I78" i="6"/>
  <c r="V79" i="7" s="1"/>
  <c r="BR79" i="7" s="1"/>
  <c r="L78" i="6"/>
  <c r="Y79" i="7" s="1"/>
  <c r="BU79" i="7" s="1"/>
  <c r="F78" i="6"/>
  <c r="S79" i="7" s="1"/>
  <c r="BO79" i="7" s="1"/>
  <c r="AH78" i="7"/>
  <c r="AX78" i="7"/>
  <c r="B12" i="7"/>
  <c r="B11" i="7"/>
  <c r="B10" i="7"/>
  <c r="B9" i="7"/>
  <c r="B8" i="7"/>
  <c r="B7" i="7"/>
  <c r="B6" i="7"/>
  <c r="B5" i="7"/>
  <c r="B4" i="7"/>
  <c r="R77" i="6"/>
  <c r="AE78" i="7" s="1"/>
  <c r="BK79" i="7" s="1"/>
  <c r="BR80" i="7" l="1"/>
  <c r="BB80" i="7"/>
  <c r="BG80" i="7"/>
  <c r="BW80" i="7"/>
  <c r="BI80" i="7"/>
  <c r="BY80" i="7"/>
  <c r="BV80" i="7"/>
  <c r="BF80" i="7"/>
  <c r="BE80" i="7"/>
  <c r="BU80" i="7"/>
  <c r="BX80" i="7"/>
  <c r="BH80" i="7"/>
  <c r="BC80" i="7"/>
  <c r="BS80" i="7"/>
  <c r="BJ80" i="7"/>
  <c r="BZ80" i="7"/>
  <c r="BP80" i="7"/>
  <c r="AZ80" i="7"/>
  <c r="CB80" i="7"/>
  <c r="BL80" i="7"/>
  <c r="BK80" i="7"/>
  <c r="CA80" i="7"/>
  <c r="BA80" i="7"/>
  <c r="BQ80" i="7"/>
  <c r="AY80" i="7"/>
  <c r="BO80" i="7"/>
  <c r="BT80" i="7"/>
  <c r="BD80" i="7"/>
  <c r="BV79" i="7"/>
  <c r="BY79" i="7"/>
  <c r="BQ79" i="7"/>
  <c r="BP79" i="7"/>
  <c r="CA79" i="7"/>
  <c r="R8" i="7"/>
  <c r="BN8" i="7" s="1"/>
  <c r="R9" i="7"/>
  <c r="BN9" i="7" s="1"/>
  <c r="R11" i="7"/>
  <c r="BN11" i="7" s="1"/>
  <c r="R12" i="7"/>
  <c r="BN12" i="7" s="1"/>
  <c r="R10" i="7"/>
  <c r="BN10" i="7" s="1"/>
  <c r="R6" i="7"/>
  <c r="BN6" i="7" s="1"/>
  <c r="R5" i="7"/>
  <c r="BN5" i="7" s="1"/>
  <c r="R7" i="7"/>
  <c r="BN7" i="7" s="1"/>
  <c r="R4" i="7"/>
  <c r="BN4" i="7" s="1"/>
  <c r="AH7" i="7" l="1"/>
  <c r="AX7" i="7"/>
  <c r="AH12" i="7"/>
  <c r="AX12" i="7"/>
  <c r="AH4" i="7"/>
  <c r="AX4" i="7"/>
  <c r="AH5" i="7"/>
  <c r="AX5" i="7"/>
  <c r="AH6" i="7"/>
  <c r="AX6" i="7"/>
  <c r="AH10" i="7"/>
  <c r="AX10" i="7"/>
  <c r="AH11" i="7"/>
  <c r="AX11" i="7"/>
  <c r="AH9" i="7"/>
  <c r="AX9" i="7"/>
  <c r="AH8" i="7"/>
  <c r="AX8" i="7"/>
  <c r="G77" i="6" l="1"/>
  <c r="T78" i="7" s="1"/>
  <c r="F77" i="6"/>
  <c r="S78" i="7" s="1"/>
  <c r="AZ79" i="7" l="1"/>
  <c r="AY79" i="7"/>
  <c r="C84" i="6"/>
  <c r="C239" i="6"/>
  <c r="E63" i="6"/>
  <c r="C250" i="6"/>
  <c r="C179" i="6"/>
  <c r="C34" i="6"/>
  <c r="C361" i="6"/>
  <c r="C507" i="6"/>
  <c r="C175" i="6"/>
  <c r="C443" i="6"/>
  <c r="C596" i="6"/>
  <c r="C289" i="6"/>
  <c r="C850" i="6"/>
  <c r="C22" i="6"/>
  <c r="C278" i="6"/>
  <c r="C40" i="6"/>
  <c r="C525" i="6"/>
  <c r="C144" i="6"/>
  <c r="C496" i="6"/>
  <c r="C455" i="6"/>
  <c r="C331" i="6"/>
  <c r="E41" i="6"/>
  <c r="C281" i="6"/>
  <c r="C561" i="6"/>
  <c r="C607" i="6"/>
  <c r="C980" i="6"/>
  <c r="C406" i="6"/>
  <c r="C302" i="6"/>
  <c r="C645" i="6"/>
  <c r="C785" i="6"/>
  <c r="C312" i="6"/>
  <c r="C574" i="6"/>
  <c r="C119" i="6"/>
  <c r="C368" i="6"/>
  <c r="C958" i="6"/>
  <c r="C305" i="6"/>
  <c r="E13" i="6"/>
  <c r="C204" i="6"/>
  <c r="C167" i="6"/>
  <c r="C426" i="6"/>
  <c r="C190" i="6"/>
  <c r="C425" i="6"/>
  <c r="C477" i="6"/>
  <c r="C72" i="6"/>
  <c r="C492" i="6"/>
  <c r="C124" i="6"/>
  <c r="C709" i="6"/>
  <c r="C118" i="6"/>
  <c r="C832" i="6"/>
  <c r="C514" i="6"/>
  <c r="C550" i="6"/>
  <c r="C896" i="6"/>
  <c r="C165" i="6"/>
  <c r="C542" i="6"/>
  <c r="C94" i="6"/>
  <c r="C41" i="6"/>
  <c r="C318" i="6"/>
  <c r="C624" i="6"/>
  <c r="C592" i="6"/>
  <c r="C662" i="6"/>
  <c r="C159" i="6"/>
  <c r="C990" i="6"/>
  <c r="C465" i="6"/>
  <c r="C538" i="6"/>
  <c r="C648" i="6"/>
  <c r="C57" i="6"/>
  <c r="E20" i="6"/>
  <c r="C661" i="6"/>
  <c r="C352" i="6"/>
  <c r="E60" i="6"/>
  <c r="C500" i="6"/>
  <c r="C174" i="6"/>
  <c r="C487" i="6"/>
  <c r="C839" i="6"/>
  <c r="C247" i="6"/>
  <c r="C61" i="6"/>
  <c r="C445" i="6"/>
  <c r="C12" i="6"/>
  <c r="C116" i="6"/>
  <c r="C11" i="6"/>
  <c r="C904" i="6"/>
  <c r="C914" i="6"/>
  <c r="C781" i="6"/>
  <c r="C618" i="6"/>
  <c r="C170" i="6"/>
  <c r="C751" i="6"/>
  <c r="C920" i="6"/>
  <c r="C207" i="6"/>
  <c r="C107" i="6"/>
  <c r="C66" i="6"/>
  <c r="C752" i="6"/>
  <c r="C812" i="6"/>
  <c r="C809" i="6"/>
  <c r="C1031" i="6"/>
  <c r="C909" i="6"/>
  <c r="C38" i="6"/>
  <c r="C35" i="6"/>
  <c r="E53" i="6"/>
  <c r="C1016" i="6"/>
  <c r="E23" i="6"/>
  <c r="E75" i="6"/>
  <c r="E67" i="6"/>
  <c r="C339" i="6"/>
  <c r="C55" i="6"/>
  <c r="C49" i="6"/>
  <c r="C970" i="6"/>
  <c r="C112" i="6"/>
  <c r="C983" i="6"/>
  <c r="C64" i="6"/>
  <c r="C47" i="6"/>
  <c r="C270" i="6"/>
  <c r="C410" i="6"/>
  <c r="E35" i="6"/>
  <c r="C14" i="6"/>
  <c r="C309" i="6"/>
  <c r="C744" i="6"/>
  <c r="C166" i="6"/>
  <c r="E2" i="6"/>
  <c r="C226" i="6"/>
  <c r="C557" i="6"/>
  <c r="C898" i="6"/>
  <c r="C876" i="6"/>
  <c r="C605" i="6"/>
  <c r="C603" i="6"/>
  <c r="C575" i="6"/>
  <c r="C30" i="6"/>
  <c r="C803" i="6"/>
  <c r="C222" i="6"/>
  <c r="C1042" i="6"/>
  <c r="C417" i="6"/>
  <c r="C6" i="6"/>
  <c r="C36" i="6"/>
  <c r="E27" i="6"/>
  <c r="E14" i="6"/>
  <c r="C17" i="6"/>
  <c r="C51" i="6"/>
  <c r="C67" i="6"/>
  <c r="E38" i="6"/>
  <c r="C276" i="6"/>
  <c r="C109" i="6"/>
  <c r="C135" i="6"/>
  <c r="C387" i="6"/>
  <c r="C348" i="6"/>
  <c r="C393" i="6"/>
  <c r="E55" i="6"/>
  <c r="C872" i="6"/>
  <c r="C199" i="6"/>
  <c r="C111" i="6"/>
  <c r="C625" i="6"/>
  <c r="E32" i="6"/>
  <c r="C234" i="6"/>
  <c r="C985" i="6"/>
  <c r="C407" i="6"/>
  <c r="C664" i="6"/>
  <c r="C105" i="6"/>
  <c r="C779" i="6"/>
  <c r="C206" i="6"/>
  <c r="C20" i="6"/>
  <c r="C39" i="6"/>
  <c r="C155" i="6"/>
  <c r="C404" i="6"/>
  <c r="C722" i="6"/>
  <c r="C1008" i="6"/>
  <c r="C910" i="6"/>
  <c r="C560" i="6"/>
  <c r="C108" i="6"/>
  <c r="C364" i="6"/>
  <c r="E16" i="6"/>
  <c r="C70" i="6"/>
  <c r="C380" i="6"/>
  <c r="C419" i="6"/>
  <c r="C123" i="6"/>
  <c r="C285" i="6"/>
  <c r="C44" i="6"/>
  <c r="C436" i="6"/>
  <c r="C637" i="6"/>
  <c r="C976" i="6"/>
  <c r="C163" i="6"/>
  <c r="C449" i="6"/>
  <c r="C601" i="6"/>
  <c r="C80" i="6"/>
  <c r="C284" i="6"/>
  <c r="C820" i="6"/>
  <c r="C982" i="6"/>
  <c r="C629" i="6"/>
  <c r="C641" i="6"/>
  <c r="C140" i="6"/>
  <c r="C651" i="6"/>
  <c r="C805" i="6"/>
  <c r="C476" i="6"/>
  <c r="C125" i="6"/>
  <c r="C60" i="6"/>
  <c r="C993" i="6"/>
  <c r="C1000" i="6"/>
  <c r="C960" i="6"/>
  <c r="C79" i="6"/>
  <c r="C451" i="6"/>
  <c r="C608" i="6"/>
  <c r="E71" i="6"/>
  <c r="C43" i="6"/>
  <c r="C458" i="6"/>
  <c r="C343" i="6"/>
  <c r="C415" i="6"/>
  <c r="C727" i="6"/>
  <c r="E61" i="6"/>
  <c r="C48" i="6"/>
  <c r="C1020" i="6"/>
  <c r="E44" i="6"/>
  <c r="C304" i="6"/>
  <c r="E76" i="6"/>
  <c r="C69" i="6"/>
  <c r="C738" i="6"/>
  <c r="C448" i="6"/>
  <c r="C652" i="6"/>
  <c r="C640" i="6"/>
  <c r="C554" i="6"/>
  <c r="C301" i="6"/>
  <c r="C713" i="6"/>
  <c r="C999" i="6"/>
  <c r="C634" i="6"/>
  <c r="C471" i="6"/>
  <c r="C536" i="6"/>
  <c r="C590" i="6"/>
  <c r="E52" i="6"/>
  <c r="C418" i="6"/>
  <c r="C1035" i="6"/>
  <c r="E62" i="6"/>
  <c r="C88" i="6"/>
  <c r="C798" i="6"/>
  <c r="C68" i="6"/>
  <c r="C587" i="6"/>
  <c r="C19" i="6"/>
  <c r="E18" i="6"/>
  <c r="C243" i="6"/>
  <c r="C720" i="6"/>
  <c r="C240" i="6"/>
  <c r="C28" i="6"/>
  <c r="C372" i="6"/>
  <c r="C18" i="6"/>
  <c r="C377" i="6"/>
  <c r="C75" i="6"/>
  <c r="C366" i="6"/>
  <c r="C1023" i="6"/>
  <c r="C15" i="6"/>
  <c r="C819" i="6"/>
  <c r="C903" i="6"/>
  <c r="C71" i="6"/>
  <c r="C687" i="6"/>
  <c r="C849" i="6"/>
  <c r="C194" i="6"/>
  <c r="C765" i="6"/>
  <c r="C987" i="6"/>
  <c r="C628" i="6"/>
  <c r="C316" i="6"/>
  <c r="C996" i="6"/>
  <c r="C307" i="6"/>
  <c r="C482" i="6"/>
  <c r="C633" i="6"/>
  <c r="C483" i="6"/>
  <c r="C402" i="6"/>
  <c r="C147" i="6"/>
  <c r="C58" i="6"/>
  <c r="C132" i="6"/>
  <c r="C142" i="6"/>
  <c r="C358" i="6"/>
  <c r="C134" i="6"/>
  <c r="C9" i="6"/>
  <c r="C757" i="6"/>
  <c r="C971" i="6"/>
  <c r="C868" i="6"/>
  <c r="C1022" i="6"/>
  <c r="C1006" i="6"/>
  <c r="C224" i="6"/>
  <c r="C952" i="6"/>
  <c r="C227" i="6"/>
  <c r="C272" i="6"/>
  <c r="C91" i="6"/>
  <c r="C796" i="6"/>
  <c r="C821" i="6"/>
  <c r="C653" i="6"/>
  <c r="E37" i="6"/>
  <c r="C894" i="6"/>
  <c r="C1050" i="6"/>
  <c r="C808" i="6"/>
  <c r="C870" i="6"/>
  <c r="C350" i="6"/>
  <c r="C887" i="6"/>
  <c r="C588" i="6"/>
  <c r="C299" i="6"/>
  <c r="C964" i="6"/>
  <c r="C642" i="6"/>
  <c r="C865" i="6"/>
  <c r="C924" i="6"/>
  <c r="C202" i="6"/>
  <c r="C297" i="6"/>
  <c r="C761" i="6"/>
  <c r="C541" i="6"/>
  <c r="C918" i="6"/>
  <c r="C899" i="6"/>
  <c r="C740" i="6"/>
  <c r="C579" i="6"/>
  <c r="C755" i="6"/>
  <c r="C670" i="6"/>
  <c r="C539" i="6"/>
  <c r="C946" i="6"/>
  <c r="C941" i="6"/>
  <c r="C203" i="6"/>
  <c r="C120" i="6"/>
  <c r="C884" i="6"/>
  <c r="C509" i="6"/>
  <c r="C585" i="6"/>
  <c r="C401" i="6"/>
  <c r="C391" i="6"/>
  <c r="C814" i="6"/>
  <c r="C595" i="6"/>
  <c r="C92" i="6"/>
  <c r="C241" i="6"/>
  <c r="C447" i="6"/>
  <c r="C210" i="6"/>
  <c r="C432" i="6"/>
  <c r="C617" i="6"/>
  <c r="C933" i="6"/>
  <c r="C10" i="6"/>
  <c r="C1046" i="6"/>
  <c r="C799" i="6"/>
  <c r="E56" i="6"/>
  <c r="C399" i="6"/>
  <c r="C411" i="6"/>
  <c r="E26" i="6"/>
  <c r="C515" i="6"/>
  <c r="C381" i="6"/>
  <c r="C315" i="6"/>
  <c r="C357" i="6"/>
  <c r="C558" i="6"/>
  <c r="C897" i="6"/>
  <c r="C613" i="6"/>
  <c r="E43" i="6"/>
  <c r="C627" i="6"/>
  <c r="C329" i="6"/>
  <c r="C520" i="6"/>
  <c r="C581" i="6"/>
  <c r="C777" i="6"/>
  <c r="C545" i="6"/>
  <c r="C501" i="6"/>
  <c r="C719" i="6"/>
  <c r="C957" i="6"/>
  <c r="C441" i="6"/>
  <c r="C786" i="6"/>
  <c r="C857" i="6"/>
  <c r="C635" i="6"/>
  <c r="C611" i="6"/>
  <c r="C198" i="6"/>
  <c r="C547" i="6"/>
  <c r="C74" i="6"/>
  <c r="E47" i="6"/>
  <c r="C988" i="6"/>
  <c r="C50" i="6"/>
  <c r="C937" i="6"/>
  <c r="C900" i="6"/>
  <c r="C902" i="6"/>
  <c r="C961" i="6"/>
  <c r="C852" i="6"/>
  <c r="C602" i="6"/>
  <c r="C271" i="6"/>
  <c r="E51" i="6"/>
  <c r="C836" i="6"/>
  <c r="C630" i="6"/>
  <c r="C1026" i="6"/>
  <c r="C336" i="6"/>
  <c r="C775" i="6"/>
  <c r="C143" i="6"/>
  <c r="C704" i="6"/>
  <c r="C149" i="6"/>
  <c r="C56" i="6"/>
  <c r="C232" i="6"/>
  <c r="C935" i="6"/>
  <c r="C804" i="6"/>
  <c r="C200" i="6"/>
  <c r="C180" i="6"/>
  <c r="C583" i="6"/>
  <c r="C168" i="6"/>
  <c r="C156" i="6"/>
  <c r="C816" i="6"/>
  <c r="C286" i="6"/>
  <c r="C725" i="6"/>
  <c r="C577" i="6"/>
  <c r="C4" i="6"/>
  <c r="C235" i="6"/>
  <c r="C178" i="6"/>
  <c r="C208" i="6"/>
  <c r="C431" i="6"/>
  <c r="C460" i="6"/>
  <c r="C688" i="6"/>
  <c r="C535" i="6"/>
  <c r="C703" i="6"/>
  <c r="C724" i="6"/>
  <c r="C114" i="6"/>
  <c r="C228" i="6"/>
  <c r="C770" i="6"/>
  <c r="C822" i="6"/>
  <c r="C1049" i="6"/>
  <c r="C593" i="6"/>
  <c r="C696" i="6"/>
  <c r="E70" i="6"/>
  <c r="C73" i="6"/>
  <c r="C893" i="6"/>
  <c r="C867" i="6"/>
  <c r="C362" i="6"/>
  <c r="C258" i="6"/>
  <c r="C580" i="6"/>
  <c r="C254" i="6"/>
  <c r="C800" i="6"/>
  <c r="C660" i="6"/>
  <c r="C1043" i="6"/>
  <c r="C616" i="6"/>
  <c r="E50" i="6"/>
  <c r="C564" i="6"/>
  <c r="C1039" i="6"/>
  <c r="C572" i="6"/>
  <c r="C354" i="6"/>
  <c r="C992" i="6"/>
  <c r="C32" i="6"/>
  <c r="C626" i="6"/>
  <c r="C995" i="6"/>
  <c r="C249" i="6"/>
  <c r="C705" i="6"/>
  <c r="C13" i="6"/>
  <c r="C338" i="6"/>
  <c r="C712" i="6"/>
  <c r="C944" i="6"/>
  <c r="C666" i="6"/>
  <c r="C939" i="6"/>
  <c r="C186" i="6"/>
  <c r="C33" i="6"/>
  <c r="C1034" i="6"/>
  <c r="C667" i="6"/>
  <c r="C710" i="6"/>
  <c r="C256" i="6"/>
  <c r="C669" i="6"/>
  <c r="C934" i="6"/>
  <c r="C871" i="6"/>
  <c r="C129" i="6"/>
  <c r="C1" i="6"/>
  <c r="C382" i="6"/>
  <c r="C230" i="6"/>
  <c r="C136" i="6"/>
  <c r="C886" i="6"/>
  <c r="C763" i="6"/>
  <c r="C701" i="6"/>
  <c r="C444" i="6"/>
  <c r="C337" i="6"/>
  <c r="C137" i="6"/>
  <c r="C420" i="6"/>
  <c r="C221" i="6"/>
  <c r="C486" i="6"/>
  <c r="C678" i="6"/>
  <c r="C279" i="6"/>
  <c r="C333" i="6"/>
  <c r="C287" i="6"/>
  <c r="C252" i="6"/>
  <c r="C998" i="6"/>
  <c r="C741" i="6"/>
  <c r="C589" i="6"/>
  <c r="C1005" i="6"/>
  <c r="E74" i="6"/>
  <c r="C1003" i="6"/>
  <c r="C213" i="6"/>
  <c r="C428" i="6"/>
  <c r="C295" i="6"/>
  <c r="C674" i="6"/>
  <c r="C731" i="6"/>
  <c r="C684" i="6"/>
  <c r="E30" i="6"/>
  <c r="C656" i="6"/>
  <c r="C205" i="6"/>
  <c r="C237" i="6"/>
  <c r="C414" i="6"/>
  <c r="C390" i="6"/>
  <c r="C429" i="6"/>
  <c r="C831" i="6"/>
  <c r="C392" i="6"/>
  <c r="C974" i="6"/>
  <c r="C745" i="6"/>
  <c r="C510" i="6"/>
  <c r="C830" i="6"/>
  <c r="C838" i="6"/>
  <c r="C466" i="6"/>
  <c r="C846" i="6"/>
  <c r="C978" i="6"/>
  <c r="C150" i="6"/>
  <c r="C193" i="6"/>
  <c r="C26" i="6"/>
  <c r="C490" i="6"/>
  <c r="C979" i="6"/>
  <c r="C59" i="6"/>
  <c r="C524" i="6"/>
  <c r="C834" i="6"/>
  <c r="C456" i="6"/>
  <c r="C949" i="6"/>
  <c r="C342" i="6"/>
  <c r="C327" i="6"/>
  <c r="C182" i="6"/>
  <c r="C122" i="6"/>
  <c r="C576" i="6"/>
  <c r="C768" i="6"/>
  <c r="C468" i="6"/>
  <c r="C817" i="6"/>
  <c r="C128" i="6"/>
  <c r="C529" i="6"/>
  <c r="C185" i="6"/>
  <c r="C209" i="6"/>
  <c r="C438" i="6"/>
  <c r="C673" i="6"/>
  <c r="C676" i="6"/>
  <c r="C308" i="6"/>
  <c r="C8" i="6"/>
  <c r="E39" i="6"/>
  <c r="C346" i="6"/>
  <c r="C412" i="6"/>
  <c r="C152" i="6"/>
  <c r="C479" i="6"/>
  <c r="C161" i="6"/>
  <c r="C191" i="6"/>
  <c r="C353" i="6"/>
  <c r="C326" i="6"/>
  <c r="C282" i="6"/>
  <c r="C154" i="6"/>
  <c r="C764" i="6"/>
  <c r="C1004" i="6"/>
  <c r="C747" i="6"/>
  <c r="C931" i="6"/>
  <c r="C363" i="6"/>
  <c r="C478" i="6"/>
  <c r="C594" i="6"/>
  <c r="C172" i="6"/>
  <c r="C702" i="6"/>
  <c r="C714" i="6"/>
  <c r="E34" i="6"/>
  <c r="C570" i="6"/>
  <c r="C753" i="6"/>
  <c r="C986" i="6"/>
  <c r="C1010" i="6"/>
  <c r="C912" i="6"/>
  <c r="C842" i="6"/>
  <c r="C891" i="6"/>
  <c r="C1019" i="6"/>
  <c r="C103" i="6"/>
  <c r="C322" i="6"/>
  <c r="C889" i="6"/>
  <c r="C778" i="6"/>
  <c r="C395" i="6"/>
  <c r="C861" i="6"/>
  <c r="C806" i="6"/>
  <c r="C913" i="6"/>
  <c r="C400" i="6"/>
  <c r="C139" i="6"/>
  <c r="C298" i="6"/>
  <c r="C760" i="6"/>
  <c r="C398" i="6"/>
  <c r="E17" i="6"/>
  <c r="C683" i="6"/>
  <c r="C1018" i="6"/>
  <c r="C113" i="6"/>
  <c r="C138" i="6"/>
  <c r="C244" i="6"/>
  <c r="C989" i="6"/>
  <c r="C728" i="6"/>
  <c r="C919" i="6"/>
  <c r="C521" i="6"/>
  <c r="C27" i="6"/>
  <c r="C968" i="6"/>
  <c r="E21" i="6"/>
  <c r="C335" i="6"/>
  <c r="C23" i="6"/>
  <c r="C569" i="6"/>
  <c r="E33" i="6"/>
  <c r="C584" i="6"/>
  <c r="C389" i="6"/>
  <c r="C905" i="6"/>
  <c r="C930" i="6"/>
  <c r="C106" i="6"/>
  <c r="C813" i="6"/>
  <c r="C623" i="6"/>
  <c r="C1036" i="6"/>
  <c r="C233" i="6"/>
  <c r="C789" i="6"/>
  <c r="C882" i="6"/>
  <c r="C853" i="6"/>
  <c r="C375" i="6"/>
  <c r="C600" i="6"/>
  <c r="C349" i="6"/>
  <c r="C508" i="6"/>
  <c r="C908" i="6"/>
  <c r="C906" i="6"/>
  <c r="C734" i="6"/>
  <c r="C699" i="6"/>
  <c r="C267" i="6"/>
  <c r="C647" i="6"/>
  <c r="C689" i="6"/>
  <c r="C565" i="6"/>
  <c r="C225" i="6"/>
  <c r="C677" i="6"/>
  <c r="C434" i="6"/>
  <c r="C344" i="6"/>
  <c r="C472" i="6"/>
  <c r="C693" i="6"/>
  <c r="C403" i="6"/>
  <c r="C268" i="6"/>
  <c r="C866" i="6"/>
  <c r="C277" i="6"/>
  <c r="C997" i="6"/>
  <c r="C851" i="6"/>
  <c r="C1011" i="6"/>
  <c r="C1032" i="6"/>
  <c r="C499" i="6"/>
  <c r="C433" i="6"/>
  <c r="C481" i="6"/>
  <c r="C469" i="6"/>
  <c r="C93" i="6"/>
  <c r="C917" i="6"/>
  <c r="C756" i="6"/>
  <c r="C772" i="6"/>
  <c r="C503" i="6"/>
  <c r="C1013" i="6"/>
  <c r="C567" i="6"/>
  <c r="C873" i="6"/>
  <c r="C927" i="6"/>
  <c r="C512" i="6"/>
  <c r="C807" i="6"/>
  <c r="C100" i="6"/>
  <c r="C416" i="6"/>
  <c r="C54" i="6"/>
  <c r="E64" i="6"/>
  <c r="C409" i="6"/>
  <c r="C53" i="6"/>
  <c r="E22" i="6"/>
  <c r="C544" i="6"/>
  <c r="C928" i="6"/>
  <c r="C454" i="6"/>
  <c r="C223" i="6"/>
  <c r="C311" i="6"/>
  <c r="C81" i="6"/>
  <c r="E59" i="6"/>
  <c r="C157" i="6"/>
  <c r="E49" i="6"/>
  <c r="C82" i="6"/>
  <c r="C183" i="6"/>
  <c r="C685" i="6"/>
  <c r="C259" i="6"/>
  <c r="E36" i="6"/>
  <c r="C552" i="6"/>
  <c r="C90" i="6"/>
  <c r="C632" i="6"/>
  <c r="C892" i="6"/>
  <c r="C379" i="6"/>
  <c r="E15" i="6"/>
  <c r="C862" i="6"/>
  <c r="C848" i="6"/>
  <c r="C654" i="6"/>
  <c r="C341" i="6"/>
  <c r="C749" i="6"/>
  <c r="C733" i="6"/>
  <c r="C527" i="6"/>
  <c r="C462" i="6"/>
  <c r="C825" i="6"/>
  <c r="C211" i="6"/>
  <c r="C1038" i="6"/>
  <c r="C824" i="6"/>
  <c r="C638" i="6"/>
  <c r="C497" i="6"/>
  <c r="C969" i="6"/>
  <c r="C715" i="6"/>
  <c r="C192" i="6"/>
  <c r="C847" i="6"/>
  <c r="C262" i="6"/>
  <c r="C981" i="6"/>
  <c r="C217" i="6"/>
  <c r="C461" i="6"/>
  <c r="C540" i="6"/>
  <c r="C707" i="6"/>
  <c r="C742" i="6"/>
  <c r="C294" i="6"/>
  <c r="C791" i="6"/>
  <c r="C518" i="6"/>
  <c r="C131" i="6"/>
  <c r="C586" i="6"/>
  <c r="C943" i="6"/>
  <c r="C236" i="6"/>
  <c r="C945" i="6"/>
  <c r="C110" i="6"/>
  <c r="C505" i="6"/>
  <c r="C911" i="6"/>
  <c r="C844" i="6"/>
  <c r="C1044" i="6"/>
  <c r="C242" i="6"/>
  <c r="C89" i="6"/>
  <c r="C553" i="6"/>
  <c r="C238" i="6"/>
  <c r="C672" i="6"/>
  <c r="C840" i="6"/>
  <c r="C384" i="6"/>
  <c r="C85" i="6"/>
  <c r="C25" i="6"/>
  <c r="C77" i="6"/>
  <c r="C7" i="6"/>
  <c r="C841" i="6"/>
  <c r="C494" i="6"/>
  <c r="C141" i="6"/>
  <c r="C164" i="6"/>
  <c r="C360" i="6"/>
  <c r="C706" i="6"/>
  <c r="C972" i="6"/>
  <c r="C1015" i="6"/>
  <c r="C526" i="6"/>
  <c r="E48" i="6"/>
  <c r="C604" i="6"/>
  <c r="E73" i="6"/>
  <c r="C598" i="6"/>
  <c r="C187" i="6"/>
  <c r="C78" i="6"/>
  <c r="C559" i="6"/>
  <c r="C2" i="6"/>
  <c r="C303" i="6"/>
  <c r="C783" i="6"/>
  <c r="C160" i="6"/>
  <c r="C856" i="6"/>
  <c r="C356" i="6"/>
  <c r="C1033" i="6"/>
  <c r="C668" i="6"/>
  <c r="C440" i="6"/>
  <c r="C716" i="6"/>
  <c r="C774" i="6"/>
  <c r="C197" i="6"/>
  <c r="C795" i="6"/>
  <c r="E40" i="6"/>
  <c r="C374" i="6"/>
  <c r="C148" i="6"/>
  <c r="C901" i="6"/>
  <c r="C324" i="6"/>
  <c r="C248" i="6"/>
  <c r="C802" i="6"/>
  <c r="C245" i="6"/>
  <c r="C45" i="6"/>
  <c r="C173" i="6"/>
  <c r="C845" i="6"/>
  <c r="C266" i="6"/>
  <c r="C388" i="6"/>
  <c r="C790" i="6"/>
  <c r="C860" i="6"/>
  <c r="C62" i="6"/>
  <c r="C730" i="6"/>
  <c r="C371" i="6"/>
  <c r="C261" i="6"/>
  <c r="C394" i="6"/>
  <c r="C370" i="6"/>
  <c r="E24" i="6"/>
  <c r="C218" i="6"/>
  <c r="C52" i="6"/>
  <c r="C810" i="6"/>
  <c r="C502" i="6"/>
  <c r="C158" i="6"/>
  <c r="C922" i="6"/>
  <c r="C310" i="6"/>
  <c r="C86" i="6"/>
  <c r="C359" i="6"/>
  <c r="C130" i="6"/>
  <c r="C682" i="6"/>
  <c r="C571" i="6"/>
  <c r="C288" i="6"/>
  <c r="C292" i="6"/>
  <c r="C835" i="6"/>
  <c r="C275" i="6"/>
  <c r="C264" i="6"/>
  <c r="C829" i="6"/>
  <c r="C597" i="6"/>
  <c r="C675" i="6"/>
  <c r="C963" i="6"/>
  <c r="C99" i="6"/>
  <c r="C1041" i="6"/>
  <c r="C533" i="6"/>
  <c r="C792" i="6"/>
  <c r="C291" i="6"/>
  <c r="C330" i="6"/>
  <c r="C95" i="6"/>
  <c r="C171" i="6"/>
  <c r="C940" i="6"/>
  <c r="C797" i="6"/>
  <c r="C493" i="6"/>
  <c r="C691" i="6"/>
  <c r="C690" i="6"/>
  <c r="C826" i="6"/>
  <c r="C251" i="6"/>
  <c r="C215" i="6"/>
  <c r="C915" i="6"/>
  <c r="C787" i="6"/>
  <c r="C556" i="6"/>
  <c r="E42" i="6"/>
  <c r="C877" i="6"/>
  <c r="C347" i="6"/>
  <c r="C925" i="6"/>
  <c r="C885" i="6"/>
  <c r="C737" i="6"/>
  <c r="C837" i="6"/>
  <c r="C421" i="6"/>
  <c r="C743" i="6"/>
  <c r="C732" i="6"/>
  <c r="C332" i="6"/>
  <c r="E57" i="6"/>
  <c r="C367" i="6"/>
  <c r="C780" i="6"/>
  <c r="C485" i="6"/>
  <c r="C921" i="6"/>
  <c r="C257" i="6"/>
  <c r="C827" i="6"/>
  <c r="C506" i="6"/>
  <c r="C424" i="6"/>
  <c r="C793" i="6"/>
  <c r="C408" i="6"/>
  <c r="C948" i="6"/>
  <c r="C453" i="6"/>
  <c r="C739" i="6"/>
  <c r="C991" i="6"/>
  <c r="C293" i="6"/>
  <c r="C101" i="6"/>
  <c r="C121" i="6"/>
  <c r="C746" i="6"/>
  <c r="C942" i="6"/>
  <c r="C620" i="6"/>
  <c r="C801" i="6"/>
  <c r="C519" i="6"/>
  <c r="C365" i="6"/>
  <c r="C698" i="6"/>
  <c r="C606" i="6"/>
  <c r="C758" i="6"/>
  <c r="H3" i="5"/>
  <c r="C950" i="6"/>
  <c r="C1040" i="6"/>
  <c r="E19" i="6"/>
  <c r="E65" i="6"/>
  <c r="C475" i="6"/>
  <c r="E12" i="6"/>
  <c r="C488" i="6"/>
  <c r="C1051" i="6"/>
  <c r="C373" i="6"/>
  <c r="C522" i="6"/>
  <c r="E68" i="6"/>
  <c r="C385" i="6"/>
  <c r="C711" i="6"/>
  <c r="C212" i="6"/>
  <c r="C655" i="6"/>
  <c r="C37" i="6"/>
  <c r="C956" i="6"/>
  <c r="C531" i="6"/>
  <c r="C975" i="6"/>
  <c r="C396" i="6"/>
  <c r="C815" i="6"/>
  <c r="C181" i="6"/>
  <c r="C858" i="6"/>
  <c r="C773" i="6"/>
  <c r="C459" i="6"/>
  <c r="E54" i="6"/>
  <c r="C369" i="6"/>
  <c r="E29" i="6"/>
  <c r="C29" i="6"/>
  <c r="C3" i="6"/>
  <c r="C854" i="6"/>
  <c r="C188" i="6"/>
  <c r="C42" i="6"/>
  <c r="C555" i="6"/>
  <c r="C994" i="6"/>
  <c r="C681" i="6"/>
  <c r="C413" i="6"/>
  <c r="C532" i="6"/>
  <c r="C551" i="6"/>
  <c r="C31" i="6"/>
  <c r="C145" i="6"/>
  <c r="C582" i="6"/>
  <c r="C435" i="6"/>
  <c r="C63" i="6"/>
  <c r="E58" i="6"/>
  <c r="C828" i="6"/>
  <c r="C609" i="6"/>
  <c r="C548" i="6"/>
  <c r="C878" i="6"/>
  <c r="C383" i="6"/>
  <c r="C1009" i="6"/>
  <c r="C859" i="6"/>
  <c r="C875" i="6"/>
  <c r="C1045" i="6"/>
  <c r="C769" i="6"/>
  <c r="C967" i="6"/>
  <c r="C965" i="6"/>
  <c r="C528" i="6"/>
  <c r="C811" i="6"/>
  <c r="C151" i="6"/>
  <c r="E66" i="6"/>
  <c r="C340" i="6"/>
  <c r="C1027" i="6"/>
  <c r="C196" i="6"/>
  <c r="C219" i="6"/>
  <c r="C612" i="6"/>
  <c r="C1048" i="6"/>
  <c r="C748" i="6"/>
  <c r="C1029" i="6"/>
  <c r="C1012" i="6"/>
  <c r="C694" i="6"/>
  <c r="C320" i="6"/>
  <c r="C87" i="6"/>
  <c r="C513" i="6"/>
  <c r="C126" i="6"/>
  <c r="C98" i="6"/>
  <c r="C313" i="6"/>
  <c r="C953" i="6"/>
  <c r="C439" i="6"/>
  <c r="C736" i="6"/>
  <c r="C162" i="6"/>
  <c r="C323" i="6"/>
  <c r="C464" i="6"/>
  <c r="C189" i="6"/>
  <c r="C735" i="6"/>
  <c r="C1037" i="6"/>
  <c r="C21" i="6"/>
  <c r="C24" i="6"/>
  <c r="C888" i="6"/>
  <c r="C639" i="6"/>
  <c r="C695" i="6"/>
  <c r="C306" i="6"/>
  <c r="C951" i="6"/>
  <c r="C504" i="6"/>
  <c r="C776" i="6"/>
  <c r="C283" i="6"/>
  <c r="E72" i="6"/>
  <c r="C938" i="6"/>
  <c r="C220" i="6"/>
  <c r="C422" i="6"/>
  <c r="C619" i="6"/>
  <c r="C16" i="6"/>
  <c r="C697" i="6"/>
  <c r="C962" i="6"/>
  <c r="E46" i="6"/>
  <c r="C726" i="6"/>
  <c r="C317" i="6"/>
  <c r="C566" i="6"/>
  <c r="C229" i="6"/>
  <c r="C457" i="6"/>
  <c r="C973" i="6"/>
  <c r="C423" i="6"/>
  <c r="C568" i="6"/>
  <c r="C1002" i="6"/>
  <c r="C516" i="6"/>
  <c r="C83" i="6"/>
  <c r="C246" i="6"/>
  <c r="C1017" i="6"/>
  <c r="C766" i="6"/>
  <c r="C321" i="6"/>
  <c r="C818" i="6"/>
  <c r="C631" i="6"/>
  <c r="C615" i="6"/>
  <c r="C610" i="6"/>
  <c r="C907" i="6"/>
  <c r="C762" i="6"/>
  <c r="C636" i="6"/>
  <c r="C102" i="6"/>
  <c r="C954" i="6"/>
  <c r="C355" i="6"/>
  <c r="C65" i="6"/>
  <c r="C498" i="6"/>
  <c r="C874" i="6"/>
  <c r="C511" i="6"/>
  <c r="C463" i="6"/>
  <c r="C767" i="6"/>
  <c r="C879" i="6"/>
  <c r="C146" i="6"/>
  <c r="C936" i="6"/>
  <c r="C977" i="6"/>
  <c r="C700" i="6"/>
  <c r="C823" i="6"/>
  <c r="C378" i="6"/>
  <c r="C562" i="6"/>
  <c r="C782" i="6"/>
  <c r="C265" i="6"/>
  <c r="C214" i="6"/>
  <c r="C97" i="6"/>
  <c r="C397" i="6"/>
  <c r="C345" i="6"/>
  <c r="C984" i="6"/>
  <c r="C708" i="6"/>
  <c r="C169" i="6"/>
  <c r="C255" i="6"/>
  <c r="C115" i="6"/>
  <c r="C621" i="6"/>
  <c r="C201" i="6"/>
  <c r="C926" i="6"/>
  <c r="E31" i="6"/>
  <c r="C880" i="6"/>
  <c r="C452" i="6"/>
  <c r="C578" i="6"/>
  <c r="C430" i="6"/>
  <c r="C646" i="6"/>
  <c r="C881" i="6"/>
  <c r="C450" i="6"/>
  <c r="C376" i="6"/>
  <c r="C153" i="6"/>
  <c r="C117" i="6"/>
  <c r="C833" i="6"/>
  <c r="C869" i="6"/>
  <c r="C718" i="6"/>
  <c r="C437" i="6"/>
  <c r="C955" i="6"/>
  <c r="C658" i="6"/>
  <c r="C176" i="6"/>
  <c r="C679" i="6"/>
  <c r="C480" i="6"/>
  <c r="C537" i="6"/>
  <c r="C127" i="6"/>
  <c r="C929" i="6"/>
  <c r="C771" i="6"/>
  <c r="C195" i="6"/>
  <c r="C591" i="6"/>
  <c r="C784" i="6"/>
  <c r="C546" i="6"/>
  <c r="C442" i="6"/>
  <c r="C495" i="6"/>
  <c r="C517" i="6"/>
  <c r="C686" i="6"/>
  <c r="E45" i="6"/>
  <c r="C923" i="6"/>
  <c r="C269" i="6"/>
  <c r="C759" i="6"/>
  <c r="C543" i="6"/>
  <c r="C76" i="6"/>
  <c r="C1024" i="6"/>
  <c r="C274" i="6"/>
  <c r="C659" i="6"/>
  <c r="C216" i="6"/>
  <c r="C563" i="6"/>
  <c r="C491" i="6"/>
  <c r="C263" i="6"/>
  <c r="C895" i="6"/>
  <c r="C1014" i="6"/>
  <c r="C947" i="6"/>
  <c r="C729" i="6"/>
  <c r="C883" i="6"/>
  <c r="C473" i="6"/>
  <c r="C622" i="6"/>
  <c r="C665" i="6"/>
  <c r="C1001" i="6"/>
  <c r="C427" i="6"/>
  <c r="C614" i="6"/>
  <c r="C671" i="6"/>
  <c r="E28" i="6"/>
  <c r="C314" i="6"/>
  <c r="C723" i="6"/>
  <c r="C319" i="6"/>
  <c r="C290" i="6"/>
  <c r="C231" i="6"/>
  <c r="C573" i="6"/>
  <c r="C484" i="6"/>
  <c r="C46" i="6"/>
  <c r="C680" i="6"/>
  <c r="C177" i="6"/>
  <c r="C351" i="6"/>
  <c r="C549" i="6"/>
  <c r="C932" i="6"/>
  <c r="C788" i="6"/>
  <c r="C663" i="6"/>
  <c r="C280" i="6"/>
  <c r="C959" i="6"/>
  <c r="C325" i="6"/>
  <c r="C260" i="6"/>
  <c r="C864" i="6"/>
  <c r="C5" i="6"/>
  <c r="E69" i="6"/>
  <c r="C467" i="6"/>
  <c r="C474" i="6"/>
  <c r="C296" i="6"/>
  <c r="C966" i="6"/>
  <c r="C253" i="6"/>
  <c r="C643" i="6"/>
  <c r="C649" i="6"/>
  <c r="C184" i="6"/>
  <c r="C916" i="6"/>
  <c r="C650" i="6"/>
  <c r="C754" i="6"/>
  <c r="E25" i="6"/>
  <c r="C1007" i="6"/>
  <c r="C721" i="6"/>
  <c r="C334" i="6"/>
  <c r="C717" i="6"/>
  <c r="C470" i="6"/>
  <c r="C657" i="6"/>
  <c r="C692" i="6"/>
  <c r="C794" i="6"/>
  <c r="C96" i="6"/>
  <c r="C1025" i="6"/>
  <c r="C1030" i="6"/>
  <c r="C489" i="6"/>
  <c r="C104" i="6"/>
  <c r="C750" i="6"/>
  <c r="C1047" i="6"/>
  <c r="C530" i="6"/>
  <c r="C133" i="6"/>
  <c r="C386" i="6"/>
  <c r="C300" i="6"/>
  <c r="C843" i="6"/>
  <c r="C863" i="6"/>
  <c r="C523" i="6"/>
  <c r="C328" i="6"/>
  <c r="C599" i="6"/>
  <c r="C1021" i="6"/>
  <c r="C1028" i="6"/>
  <c r="C534" i="6"/>
  <c r="C446" i="6"/>
  <c r="C405" i="6"/>
  <c r="C890" i="6"/>
  <c r="C644" i="6"/>
  <c r="C273" i="6"/>
  <c r="C855" i="6"/>
  <c r="U855" i="6" l="1"/>
  <c r="R62" i="6" s="1"/>
  <c r="AE63" i="7" s="1"/>
  <c r="U273" i="6"/>
  <c r="U644" i="6"/>
  <c r="U890" i="6"/>
  <c r="U405" i="6"/>
  <c r="U446" i="6"/>
  <c r="U534" i="6"/>
  <c r="U1028" i="6"/>
  <c r="U1021" i="6"/>
  <c r="P74" i="6" s="1"/>
  <c r="AC75" i="7" s="1"/>
  <c r="U599" i="6"/>
  <c r="U328" i="6"/>
  <c r="J25" i="6" s="1"/>
  <c r="W26" i="7" s="1"/>
  <c r="U523" i="6"/>
  <c r="U863" i="6"/>
  <c r="U843" i="6"/>
  <c r="U300" i="6"/>
  <c r="J23" i="6" s="1"/>
  <c r="W24" i="7" s="1"/>
  <c r="U386" i="6"/>
  <c r="U133" i="6"/>
  <c r="S11" i="6" s="1"/>
  <c r="AF12" i="7" s="1"/>
  <c r="U530" i="6"/>
  <c r="U1047" i="6"/>
  <c r="N76" i="6" s="1"/>
  <c r="AA77" i="7" s="1"/>
  <c r="U750" i="6"/>
  <c r="K55" i="6" s="1"/>
  <c r="X56" i="7" s="1"/>
  <c r="U104" i="6"/>
  <c r="J9" i="6" s="1"/>
  <c r="W10" i="7" s="1"/>
  <c r="U489" i="6"/>
  <c r="U1030" i="6"/>
  <c r="U1025" i="6"/>
  <c r="U96" i="6"/>
  <c r="O8" i="6" s="1"/>
  <c r="AB9" i="7" s="1"/>
  <c r="U794" i="6"/>
  <c r="M58" i="6" s="1"/>
  <c r="Z59" i="7" s="1"/>
  <c r="U692" i="6"/>
  <c r="J51" i="6" s="1"/>
  <c r="W52" i="7" s="1"/>
  <c r="U657" i="6"/>
  <c r="U470" i="6"/>
  <c r="U717" i="6"/>
  <c r="U334" i="6"/>
  <c r="O25" i="6" s="1"/>
  <c r="AB26" i="7" s="1"/>
  <c r="U721" i="6"/>
  <c r="U1007" i="6"/>
  <c r="P73" i="6" s="1"/>
  <c r="AC74" i="7" s="1"/>
  <c r="B26" i="7"/>
  <c r="R26" i="7"/>
  <c r="U754" i="6"/>
  <c r="U650" i="6"/>
  <c r="J48" i="6" s="1"/>
  <c r="W49" i="7" s="1"/>
  <c r="U916" i="6"/>
  <c r="U184" i="6"/>
  <c r="U649" i="6"/>
  <c r="I48" i="6" s="1"/>
  <c r="V49" i="7" s="1"/>
  <c r="U643" i="6"/>
  <c r="P47" i="6" s="1"/>
  <c r="AC48" i="7" s="1"/>
  <c r="U253" i="6"/>
  <c r="R19" i="6" s="1"/>
  <c r="AE20" i="7" s="1"/>
  <c r="U966" i="6"/>
  <c r="Q70" i="6" s="1"/>
  <c r="AD71" i="7" s="1"/>
  <c r="U296" i="6"/>
  <c r="F23" i="6" s="1"/>
  <c r="S24" i="7" s="1"/>
  <c r="U474" i="6"/>
  <c r="O35" i="6" s="1"/>
  <c r="AB36" i="7" s="1"/>
  <c r="U467" i="6"/>
  <c r="B70" i="7"/>
  <c r="R70" i="7"/>
  <c r="U5" i="6"/>
  <c r="I2" i="6" s="1"/>
  <c r="V3" i="7" s="1"/>
  <c r="U864" i="6"/>
  <c r="M63" i="6" s="1"/>
  <c r="Z64" i="7" s="1"/>
  <c r="U260" i="6"/>
  <c r="K20" i="6" s="1"/>
  <c r="X21" i="7" s="1"/>
  <c r="U325" i="6"/>
  <c r="G25" i="6" s="1"/>
  <c r="T26" i="7" s="1"/>
  <c r="U959" i="6"/>
  <c r="U280" i="6"/>
  <c r="U663" i="6"/>
  <c r="U788" i="6"/>
  <c r="H58" i="6" s="1"/>
  <c r="U59" i="7" s="1"/>
  <c r="U932" i="6"/>
  <c r="U549" i="6"/>
  <c r="U351" i="6"/>
  <c r="U177" i="6"/>
  <c r="U680" i="6"/>
  <c r="U46" i="6"/>
  <c r="H5" i="6" s="1"/>
  <c r="U6" i="7" s="1"/>
  <c r="U484" i="6"/>
  <c r="U573" i="6"/>
  <c r="P42" i="6" s="1"/>
  <c r="AC43" i="7" s="1"/>
  <c r="U231" i="6"/>
  <c r="U290" i="6"/>
  <c r="U319" i="6"/>
  <c r="N24" i="6" s="1"/>
  <c r="AA25" i="7" s="1"/>
  <c r="U723" i="6"/>
  <c r="U314" i="6"/>
  <c r="R29" i="7"/>
  <c r="B29" i="7"/>
  <c r="U671" i="6"/>
  <c r="U614" i="6"/>
  <c r="O45" i="6" s="1"/>
  <c r="AB46" i="7" s="1"/>
  <c r="U427" i="6"/>
  <c r="U1001" i="6"/>
  <c r="U665" i="6"/>
  <c r="U622" i="6"/>
  <c r="J46" i="6" s="1"/>
  <c r="W47" i="7" s="1"/>
  <c r="U473" i="6"/>
  <c r="N35" i="6" s="1"/>
  <c r="AA36" i="7" s="1"/>
  <c r="U883" i="6"/>
  <c r="R64" i="6" s="1"/>
  <c r="AE65" i="7" s="1"/>
  <c r="U729" i="6"/>
  <c r="U947" i="6"/>
  <c r="L69" i="6" s="1"/>
  <c r="Y70" i="7" s="1"/>
  <c r="U1014" i="6"/>
  <c r="J74" i="6" s="1"/>
  <c r="W75" i="7" s="1"/>
  <c r="U895" i="6"/>
  <c r="P65" i="6" s="1"/>
  <c r="AC66" i="7" s="1"/>
  <c r="U263" i="6"/>
  <c r="N20" i="6" s="1"/>
  <c r="AA21" i="7" s="1"/>
  <c r="U491" i="6"/>
  <c r="R36" i="6" s="1"/>
  <c r="AE37" i="7" s="1"/>
  <c r="U563" i="6"/>
  <c r="G42" i="6" s="1"/>
  <c r="T43" i="7" s="1"/>
  <c r="U216" i="6"/>
  <c r="U659" i="6"/>
  <c r="R48" i="6" s="1"/>
  <c r="AE49" i="7" s="1"/>
  <c r="U274" i="6"/>
  <c r="U1024" i="6"/>
  <c r="U76" i="6"/>
  <c r="J7" i="6" s="1"/>
  <c r="W8" i="7" s="1"/>
  <c r="U543" i="6"/>
  <c r="U759" i="6"/>
  <c r="U269" i="6"/>
  <c r="U923" i="6"/>
  <c r="R46" i="7"/>
  <c r="B46" i="7"/>
  <c r="U686" i="6"/>
  <c r="U517" i="6"/>
  <c r="U495" i="6"/>
  <c r="U442" i="6"/>
  <c r="U546" i="6"/>
  <c r="U784" i="6"/>
  <c r="U591" i="6"/>
  <c r="U195" i="6"/>
  <c r="U771" i="6"/>
  <c r="R56" i="6" s="1"/>
  <c r="AE57" i="7" s="1"/>
  <c r="U929" i="6"/>
  <c r="U127" i="6"/>
  <c r="U537" i="6"/>
  <c r="I40" i="6" s="1"/>
  <c r="V41" i="7" s="1"/>
  <c r="U480" i="6"/>
  <c r="U679" i="6"/>
  <c r="S50" i="6" s="1"/>
  <c r="AF51" i="7" s="1"/>
  <c r="U176" i="6"/>
  <c r="U658" i="6"/>
  <c r="U955" i="6"/>
  <c r="U437" i="6"/>
  <c r="U718" i="6"/>
  <c r="U869" i="6"/>
  <c r="R63" i="6" s="1"/>
  <c r="AE64" i="7" s="1"/>
  <c r="U833" i="6"/>
  <c r="U117" i="6"/>
  <c r="U153" i="6"/>
  <c r="P12" i="6" s="1"/>
  <c r="AC13" i="7" s="1"/>
  <c r="U376" i="6"/>
  <c r="O28" i="6" s="1"/>
  <c r="AB29" i="7" s="1"/>
  <c r="U450" i="6"/>
  <c r="U881" i="6"/>
  <c r="U646" i="6"/>
  <c r="U430" i="6"/>
  <c r="M32" i="6" s="1"/>
  <c r="Z33" i="7" s="1"/>
  <c r="U578" i="6"/>
  <c r="H43" i="6" s="1"/>
  <c r="U44" i="7" s="1"/>
  <c r="U452" i="6"/>
  <c r="H34" i="6" s="1"/>
  <c r="U35" i="7" s="1"/>
  <c r="U880" i="6"/>
  <c r="O64" i="6" s="1"/>
  <c r="AB65" i="7" s="1"/>
  <c r="B32" i="7"/>
  <c r="R32" i="7"/>
  <c r="U926" i="6"/>
  <c r="F68" i="6" s="1"/>
  <c r="S69" i="7" s="1"/>
  <c r="U201" i="6"/>
  <c r="U621" i="6"/>
  <c r="I46" i="6" s="1"/>
  <c r="V47" i="7" s="1"/>
  <c r="U115" i="6"/>
  <c r="G10" i="6" s="1"/>
  <c r="T11" i="7" s="1"/>
  <c r="U255" i="6"/>
  <c r="G20" i="6" s="1"/>
  <c r="T21" i="7" s="1"/>
  <c r="U169" i="6"/>
  <c r="R13" i="6" s="1"/>
  <c r="AE14" i="7" s="1"/>
  <c r="U708" i="6"/>
  <c r="K52" i="6" s="1"/>
  <c r="X53" i="7" s="1"/>
  <c r="U984" i="6"/>
  <c r="H72" i="6" s="1"/>
  <c r="U73" i="7" s="1"/>
  <c r="U345" i="6"/>
  <c r="L26" i="6" s="1"/>
  <c r="Y27" i="7" s="1"/>
  <c r="U397" i="6"/>
  <c r="I30" i="6" s="1"/>
  <c r="V31" i="7" s="1"/>
  <c r="U97" i="6"/>
  <c r="P8" i="6" s="1"/>
  <c r="AC9" i="7" s="1"/>
  <c r="U214" i="6"/>
  <c r="H17" i="6" s="1"/>
  <c r="U18" i="7" s="1"/>
  <c r="U265" i="6"/>
  <c r="U782" i="6"/>
  <c r="O57" i="6" s="1"/>
  <c r="AB58" i="7" s="1"/>
  <c r="U562" i="6"/>
  <c r="F42" i="6" s="1"/>
  <c r="S43" i="7" s="1"/>
  <c r="U378" i="6"/>
  <c r="U823" i="6"/>
  <c r="N60" i="6" s="1"/>
  <c r="AA61" i="7" s="1"/>
  <c r="U700" i="6"/>
  <c r="Q51" i="6" s="1"/>
  <c r="AD52" i="7" s="1"/>
  <c r="U977" i="6"/>
  <c r="U936" i="6"/>
  <c r="O68" i="6" s="1"/>
  <c r="AB69" i="7" s="1"/>
  <c r="U146" i="6"/>
  <c r="J12" i="6" s="1"/>
  <c r="W13" i="7" s="1"/>
  <c r="U879" i="6"/>
  <c r="U767" i="6"/>
  <c r="N56" i="6" s="1"/>
  <c r="AA57" i="7" s="1"/>
  <c r="U463" i="6"/>
  <c r="R34" i="6" s="1"/>
  <c r="AE35" i="7" s="1"/>
  <c r="U511" i="6"/>
  <c r="S38" i="6" s="1"/>
  <c r="AF39" i="7" s="1"/>
  <c r="U874" i="6"/>
  <c r="U498" i="6"/>
  <c r="U65" i="6"/>
  <c r="U355" i="6"/>
  <c r="U954" i="6"/>
  <c r="U102" i="6"/>
  <c r="H9" i="6" s="1"/>
  <c r="U10" i="7" s="1"/>
  <c r="U636" i="6"/>
  <c r="J47" i="6" s="1"/>
  <c r="W48" i="7" s="1"/>
  <c r="U762" i="6"/>
  <c r="U907" i="6"/>
  <c r="N66" i="6" s="1"/>
  <c r="AA67" i="7" s="1"/>
  <c r="U610" i="6"/>
  <c r="K45" i="6" s="1"/>
  <c r="X46" i="7" s="1"/>
  <c r="U615" i="6"/>
  <c r="P45" i="6" s="1"/>
  <c r="AC46" i="7" s="1"/>
  <c r="U631" i="6"/>
  <c r="R46" i="6" s="1"/>
  <c r="AE47" i="7" s="1"/>
  <c r="U818" i="6"/>
  <c r="O77" i="6" s="1"/>
  <c r="AB78" i="7" s="1"/>
  <c r="U321" i="6"/>
  <c r="U766" i="6"/>
  <c r="U1017" i="6"/>
  <c r="L74" i="6" s="1"/>
  <c r="Y75" i="7" s="1"/>
  <c r="U246" i="6"/>
  <c r="K19" i="6" s="1"/>
  <c r="X20" i="7" s="1"/>
  <c r="U83" i="6"/>
  <c r="P7" i="6" s="1"/>
  <c r="AC8" i="7" s="1"/>
  <c r="U516" i="6"/>
  <c r="O38" i="6" s="1"/>
  <c r="AB39" i="7" s="1"/>
  <c r="U1002" i="6"/>
  <c r="Q40" i="6" s="1"/>
  <c r="AD41" i="7" s="1"/>
  <c r="U568" i="6"/>
  <c r="K42" i="6" s="1"/>
  <c r="X43" i="7" s="1"/>
  <c r="U423" i="6"/>
  <c r="G32" i="6" s="1"/>
  <c r="T33" i="7" s="1"/>
  <c r="U973" i="6"/>
  <c r="S71" i="6" s="1"/>
  <c r="AF72" i="7" s="1"/>
  <c r="U457" i="6"/>
  <c r="L34" i="6" s="1"/>
  <c r="Y35" i="7" s="1"/>
  <c r="U229" i="6"/>
  <c r="U566" i="6"/>
  <c r="J42" i="6" s="1"/>
  <c r="W43" i="7" s="1"/>
  <c r="U317" i="6"/>
  <c r="U726" i="6"/>
  <c r="R47" i="7"/>
  <c r="B47" i="7"/>
  <c r="U962" i="6"/>
  <c r="U697" i="6"/>
  <c r="U16" i="6"/>
  <c r="F3" i="6" s="1"/>
  <c r="S4" i="7" s="1"/>
  <c r="U619" i="6"/>
  <c r="G46" i="6" s="1"/>
  <c r="T47" i="7" s="1"/>
  <c r="U422" i="6"/>
  <c r="F32" i="6" s="1"/>
  <c r="S33" i="7" s="1"/>
  <c r="U220" i="6"/>
  <c r="U938" i="6"/>
  <c r="Q68" i="6" s="1"/>
  <c r="AD69" i="7" s="1"/>
  <c r="R73" i="7"/>
  <c r="B73" i="7"/>
  <c r="U283" i="6"/>
  <c r="U776" i="6"/>
  <c r="U504" i="6"/>
  <c r="U951" i="6"/>
  <c r="P69" i="6" s="1"/>
  <c r="AC70" i="7" s="1"/>
  <c r="U306" i="6"/>
  <c r="O23" i="6" s="1"/>
  <c r="AB24" i="7" s="1"/>
  <c r="U695" i="6"/>
  <c r="L51" i="6" s="1"/>
  <c r="Y52" i="7" s="1"/>
  <c r="U639" i="6"/>
  <c r="L47" i="6" s="1"/>
  <c r="Y48" i="7" s="1"/>
  <c r="U888" i="6"/>
  <c r="J65" i="6" s="1"/>
  <c r="W66" i="7" s="1"/>
  <c r="U24" i="6"/>
  <c r="M3" i="6" s="1"/>
  <c r="Z4" i="7" s="1"/>
  <c r="U21" i="6"/>
  <c r="S3" i="6" s="1"/>
  <c r="AF4" i="7" s="1"/>
  <c r="U1037" i="6"/>
  <c r="U735" i="6"/>
  <c r="U189" i="6"/>
  <c r="U464" i="6"/>
  <c r="F35" i="6" s="1"/>
  <c r="S36" i="7" s="1"/>
  <c r="U323" i="6"/>
  <c r="R24" i="6" s="1"/>
  <c r="AE25" i="7" s="1"/>
  <c r="U162" i="6"/>
  <c r="U736" i="6"/>
  <c r="U439" i="6"/>
  <c r="U953" i="6"/>
  <c r="R69" i="6" s="1"/>
  <c r="AE70" i="7" s="1"/>
  <c r="U313" i="6"/>
  <c r="U98" i="6"/>
  <c r="Q8" i="6" s="1"/>
  <c r="AD9" i="7" s="1"/>
  <c r="U126" i="6"/>
  <c r="Q10" i="6" s="1"/>
  <c r="AD11" i="7" s="1"/>
  <c r="U513" i="6"/>
  <c r="U87" i="6"/>
  <c r="G8" i="6" s="1"/>
  <c r="T9" i="7" s="1"/>
  <c r="U320" i="6"/>
  <c r="O24" i="6" s="1"/>
  <c r="AB25" i="7" s="1"/>
  <c r="U694" i="6"/>
  <c r="K51" i="6" s="1"/>
  <c r="X52" i="7" s="1"/>
  <c r="U1012" i="6"/>
  <c r="U1029" i="6"/>
  <c r="S75" i="6" s="1"/>
  <c r="AF76" i="7" s="1"/>
  <c r="U748" i="6"/>
  <c r="J55" i="6" s="1"/>
  <c r="W56" i="7" s="1"/>
  <c r="U1048" i="6"/>
  <c r="U612" i="6"/>
  <c r="M45" i="6" s="1"/>
  <c r="Z46" i="7" s="1"/>
  <c r="U219" i="6"/>
  <c r="L17" i="6" s="1"/>
  <c r="Y18" i="7" s="1"/>
  <c r="U196" i="6"/>
  <c r="Q15" i="6" s="1"/>
  <c r="AD16" i="7" s="1"/>
  <c r="U1027" i="6"/>
  <c r="I75" i="6" s="1"/>
  <c r="V76" i="7" s="1"/>
  <c r="U340" i="6"/>
  <c r="B67" i="7"/>
  <c r="R67" i="7"/>
  <c r="U151" i="6"/>
  <c r="N12" i="6" s="1"/>
  <c r="AA13" i="7" s="1"/>
  <c r="U811" i="6"/>
  <c r="P59" i="6" s="1"/>
  <c r="AC60" i="7" s="1"/>
  <c r="U528" i="6"/>
  <c r="U965" i="6"/>
  <c r="U967" i="6"/>
  <c r="U769" i="6"/>
  <c r="U1045" i="6"/>
  <c r="U875" i="6"/>
  <c r="U859" i="6"/>
  <c r="U1009" i="6"/>
  <c r="R73" i="6" s="1"/>
  <c r="AE74" i="7" s="1"/>
  <c r="U383" i="6"/>
  <c r="U878" i="6"/>
  <c r="U548" i="6"/>
  <c r="U609" i="6"/>
  <c r="U828" i="6"/>
  <c r="R59" i="7"/>
  <c r="B59" i="7"/>
  <c r="U63" i="6"/>
  <c r="S6" i="6" s="1"/>
  <c r="AF7" i="7" s="1"/>
  <c r="U435" i="6"/>
  <c r="U582" i="6"/>
  <c r="U145" i="6"/>
  <c r="I12" i="6" s="1"/>
  <c r="V13" i="7" s="1"/>
  <c r="U31" i="6"/>
  <c r="G4" i="6" s="1"/>
  <c r="T5" i="7" s="1"/>
  <c r="U551" i="6"/>
  <c r="I41" i="6" s="1"/>
  <c r="V42" i="7" s="1"/>
  <c r="U532" i="6"/>
  <c r="Q39" i="6" s="1"/>
  <c r="AD40" i="7" s="1"/>
  <c r="U413" i="6"/>
  <c r="S31" i="6" s="1"/>
  <c r="AF32" i="7" s="1"/>
  <c r="U681" i="6"/>
  <c r="U994" i="6"/>
  <c r="Q72" i="6" s="1"/>
  <c r="AD73" i="7" s="1"/>
  <c r="U555" i="6"/>
  <c r="U42" i="6"/>
  <c r="Q4" i="6" s="1"/>
  <c r="AD5" i="7" s="1"/>
  <c r="U188" i="6"/>
  <c r="U854" i="6"/>
  <c r="U3" i="6"/>
  <c r="U29" i="6"/>
  <c r="R3" i="6" s="1"/>
  <c r="AE4" i="7" s="1"/>
  <c r="K29" i="6"/>
  <c r="X30" i="7" s="1"/>
  <c r="B30" i="7"/>
  <c r="R30" i="7"/>
  <c r="I29" i="6"/>
  <c r="V30" i="7" s="1"/>
  <c r="U369" i="6"/>
  <c r="R55" i="7"/>
  <c r="K54" i="6"/>
  <c r="X55" i="7" s="1"/>
  <c r="S54" i="6"/>
  <c r="AF55" i="7" s="1"/>
  <c r="B55" i="7"/>
  <c r="U459" i="6"/>
  <c r="N34" i="6" s="1"/>
  <c r="AA35" i="7" s="1"/>
  <c r="U773" i="6"/>
  <c r="G57" i="6" s="1"/>
  <c r="T58" i="7" s="1"/>
  <c r="U858" i="6"/>
  <c r="U181" i="6"/>
  <c r="U815" i="6"/>
  <c r="U396" i="6"/>
  <c r="H30" i="6" s="1"/>
  <c r="U31" i="7" s="1"/>
  <c r="U975" i="6"/>
  <c r="U531" i="6"/>
  <c r="U956" i="6"/>
  <c r="U37" i="6"/>
  <c r="L4" i="6" s="1"/>
  <c r="Y5" i="7" s="1"/>
  <c r="U655" i="6"/>
  <c r="U212" i="6"/>
  <c r="F17" i="6" s="1"/>
  <c r="S18" i="7" s="1"/>
  <c r="U711" i="6"/>
  <c r="U385" i="6"/>
  <c r="S29" i="6" s="1"/>
  <c r="AF30" i="7" s="1"/>
  <c r="B69" i="7"/>
  <c r="R69" i="7"/>
  <c r="U522" i="6"/>
  <c r="U373" i="6"/>
  <c r="L28" i="6" s="1"/>
  <c r="Y29" i="7" s="1"/>
  <c r="U1051" i="6"/>
  <c r="U488" i="6"/>
  <c r="O36" i="6" s="1"/>
  <c r="AB37" i="7" s="1"/>
  <c r="R13" i="7"/>
  <c r="B13" i="7"/>
  <c r="U475" i="6"/>
  <c r="P35" i="6" s="1"/>
  <c r="AC36" i="7" s="1"/>
  <c r="B66" i="7"/>
  <c r="K65" i="6"/>
  <c r="X66" i="7" s="1"/>
  <c r="R66" i="7"/>
  <c r="R20" i="7"/>
  <c r="B20" i="7"/>
  <c r="U1040" i="6"/>
  <c r="U950" i="6"/>
  <c r="O69" i="6" s="1"/>
  <c r="AB70" i="7" s="1"/>
  <c r="U758" i="6"/>
  <c r="U606" i="6"/>
  <c r="H45" i="6" s="1"/>
  <c r="U46" i="7" s="1"/>
  <c r="U698" i="6"/>
  <c r="O51" i="6" s="1"/>
  <c r="AB52" i="7" s="1"/>
  <c r="U365" i="6"/>
  <c r="R27" i="6" s="1"/>
  <c r="AE28" i="7" s="1"/>
  <c r="U519" i="6"/>
  <c r="R38" i="6" s="1"/>
  <c r="AE39" i="7" s="1"/>
  <c r="U801" i="6"/>
  <c r="U620" i="6"/>
  <c r="H46" i="6" s="1"/>
  <c r="U47" i="7" s="1"/>
  <c r="U942" i="6"/>
  <c r="H69" i="6" s="1"/>
  <c r="U70" i="7" s="1"/>
  <c r="U746" i="6"/>
  <c r="H55" i="6" s="1"/>
  <c r="U56" i="7" s="1"/>
  <c r="U121" i="6"/>
  <c r="L10" i="6" s="1"/>
  <c r="Y11" i="7" s="1"/>
  <c r="U101" i="6"/>
  <c r="G9" i="6" s="1"/>
  <c r="T10" i="7" s="1"/>
  <c r="U293" i="6"/>
  <c r="U991" i="6"/>
  <c r="N72" i="6" s="1"/>
  <c r="AA73" i="7" s="1"/>
  <c r="U739" i="6"/>
  <c r="N54" i="6" s="1"/>
  <c r="AA55" i="7" s="1"/>
  <c r="U453" i="6"/>
  <c r="I34" i="6" s="1"/>
  <c r="V35" i="7" s="1"/>
  <c r="U948" i="6"/>
  <c r="M69" i="6" s="1"/>
  <c r="Z70" i="7" s="1"/>
  <c r="U408" i="6"/>
  <c r="F31" i="6" s="1"/>
  <c r="S32" i="7" s="1"/>
  <c r="U793" i="6"/>
  <c r="L58" i="6" s="1"/>
  <c r="Y59" i="7" s="1"/>
  <c r="U424" i="6"/>
  <c r="H32" i="6" s="1"/>
  <c r="U33" i="7" s="1"/>
  <c r="U506" i="6"/>
  <c r="K77" i="6" s="1"/>
  <c r="X78" i="7" s="1"/>
  <c r="U827" i="6"/>
  <c r="R60" i="6" s="1"/>
  <c r="AE61" i="7" s="1"/>
  <c r="U257" i="6"/>
  <c r="I20" i="6" s="1"/>
  <c r="V21" i="7" s="1"/>
  <c r="U921" i="6"/>
  <c r="N67" i="6" s="1"/>
  <c r="AA68" i="7" s="1"/>
  <c r="AQ80" i="7" s="1"/>
  <c r="U485" i="6"/>
  <c r="L36" i="6" s="1"/>
  <c r="Y37" i="7" s="1"/>
  <c r="U780" i="6"/>
  <c r="M57" i="6" s="1"/>
  <c r="Z58" i="7" s="1"/>
  <c r="U367" i="6"/>
  <c r="G28" i="6" s="1"/>
  <c r="T29" i="7" s="1"/>
  <c r="J57" i="6"/>
  <c r="W58" i="7" s="1"/>
  <c r="B58" i="7"/>
  <c r="Q57" i="6"/>
  <c r="AD58" i="7" s="1"/>
  <c r="R58" i="7"/>
  <c r="U332" i="6"/>
  <c r="M25" i="6" s="1"/>
  <c r="Z26" i="7" s="1"/>
  <c r="U732" i="6"/>
  <c r="H54" i="6" s="1"/>
  <c r="U55" i="7" s="1"/>
  <c r="U743" i="6"/>
  <c r="R54" i="6" s="1"/>
  <c r="AE55" i="7" s="1"/>
  <c r="U421" i="6"/>
  <c r="R31" i="6" s="1"/>
  <c r="AE32" i="7" s="1"/>
  <c r="U837" i="6"/>
  <c r="U737" i="6"/>
  <c r="L54" i="6" s="1"/>
  <c r="Y55" i="7" s="1"/>
  <c r="U885" i="6"/>
  <c r="G65" i="6" s="1"/>
  <c r="T66" i="7" s="1"/>
  <c r="U925" i="6"/>
  <c r="R67" i="6" s="1"/>
  <c r="AE68" i="7" s="1"/>
  <c r="AU80" i="7" s="1"/>
  <c r="U347" i="6"/>
  <c r="N26" i="6" s="1"/>
  <c r="AA27" i="7" s="1"/>
  <c r="U877" i="6"/>
  <c r="B43" i="7"/>
  <c r="R43" i="7"/>
  <c r="U556" i="6"/>
  <c r="M41" i="6" s="1"/>
  <c r="Z42" i="7" s="1"/>
  <c r="U787" i="6"/>
  <c r="G58" i="6" s="1"/>
  <c r="T59" i="7" s="1"/>
  <c r="U915" i="6"/>
  <c r="U215" i="6"/>
  <c r="I17" i="6" s="1"/>
  <c r="V18" i="7" s="1"/>
  <c r="U251" i="6"/>
  <c r="P19" i="6" s="1"/>
  <c r="AC20" i="7" s="1"/>
  <c r="U826" i="6"/>
  <c r="U690" i="6"/>
  <c r="U691" i="6"/>
  <c r="U493" i="6"/>
  <c r="U797" i="6"/>
  <c r="P58" i="6" s="1"/>
  <c r="AC59" i="7" s="1"/>
  <c r="U940" i="6"/>
  <c r="F69" i="6" s="1"/>
  <c r="S70" i="7" s="1"/>
  <c r="U171" i="6"/>
  <c r="U95" i="6"/>
  <c r="N8" i="6" s="1"/>
  <c r="AA9" i="7" s="1"/>
  <c r="U330" i="6"/>
  <c r="K25" i="6" s="1"/>
  <c r="X26" i="7" s="1"/>
  <c r="U291" i="6"/>
  <c r="U792" i="6"/>
  <c r="K58" i="6" s="1"/>
  <c r="X59" i="7" s="1"/>
  <c r="U533" i="6"/>
  <c r="R39" i="6" s="1"/>
  <c r="AE40" i="7" s="1"/>
  <c r="U1041" i="6"/>
  <c r="U99" i="6"/>
  <c r="R8" i="6" s="1"/>
  <c r="AE9" i="7" s="1"/>
  <c r="U963" i="6"/>
  <c r="U675" i="6"/>
  <c r="G50" i="6" s="1"/>
  <c r="T51" i="7" s="1"/>
  <c r="U597" i="6"/>
  <c r="L44" i="6" s="1"/>
  <c r="Y45" i="7" s="1"/>
  <c r="U829" i="6"/>
  <c r="G61" i="6" s="1"/>
  <c r="T62" i="7" s="1"/>
  <c r="U264" i="6"/>
  <c r="U275" i="6"/>
  <c r="U835" i="6"/>
  <c r="U292" i="6"/>
  <c r="O22" i="6" s="1"/>
  <c r="AB23" i="7" s="1"/>
  <c r="U288" i="6"/>
  <c r="I28" i="6" s="1"/>
  <c r="V29" i="7" s="1"/>
  <c r="U571" i="6"/>
  <c r="N42" i="6" s="1"/>
  <c r="AA43" i="7" s="1"/>
  <c r="U682" i="6"/>
  <c r="M50" i="6" s="1"/>
  <c r="Z51" i="7" s="1"/>
  <c r="U130" i="6"/>
  <c r="H11" i="6" s="1"/>
  <c r="U12" i="7" s="1"/>
  <c r="U359" i="6"/>
  <c r="L27" i="6" s="1"/>
  <c r="Y28" i="7" s="1"/>
  <c r="U86" i="6"/>
  <c r="F8" i="6" s="1"/>
  <c r="S9" i="7" s="1"/>
  <c r="U310" i="6"/>
  <c r="F24" i="6" s="1"/>
  <c r="S25" i="7" s="1"/>
  <c r="U922" i="6"/>
  <c r="O67" i="6" s="1"/>
  <c r="AB68" i="7" s="1"/>
  <c r="AR80" i="7" s="1"/>
  <c r="U158" i="6"/>
  <c r="H13" i="6" s="1"/>
  <c r="U14" i="7" s="1"/>
  <c r="U502" i="6"/>
  <c r="O37" i="6" s="1"/>
  <c r="AB38" i="7" s="1"/>
  <c r="U810" i="6"/>
  <c r="O59" i="6" s="1"/>
  <c r="AB60" i="7" s="1"/>
  <c r="U52" i="6"/>
  <c r="M5" i="6" s="1"/>
  <c r="Z6" i="7" s="1"/>
  <c r="U218" i="6"/>
  <c r="K17" i="6" s="1"/>
  <c r="X18" i="7" s="1"/>
  <c r="P24" i="6"/>
  <c r="AC25" i="7" s="1"/>
  <c r="R25" i="7"/>
  <c r="L24" i="6"/>
  <c r="Y25" i="7" s="1"/>
  <c r="B25" i="7"/>
  <c r="I24" i="6"/>
  <c r="V25" i="7" s="1"/>
  <c r="J24" i="6"/>
  <c r="W25" i="7" s="1"/>
  <c r="U370" i="6"/>
  <c r="U394" i="6"/>
  <c r="F30" i="6" s="1"/>
  <c r="S31" i="7" s="1"/>
  <c r="U261" i="6"/>
  <c r="U371" i="6"/>
  <c r="S28" i="6" s="1"/>
  <c r="AF29" i="7" s="1"/>
  <c r="U730" i="6"/>
  <c r="F54" i="6" s="1"/>
  <c r="S55" i="7" s="1"/>
  <c r="U62" i="6"/>
  <c r="J6" i="6" s="1"/>
  <c r="W7" i="7" s="1"/>
  <c r="U860" i="6"/>
  <c r="U790" i="6"/>
  <c r="J58" i="6" s="1"/>
  <c r="W59" i="7" s="1"/>
  <c r="U388" i="6"/>
  <c r="M29" i="6" s="1"/>
  <c r="Z30" i="7" s="1"/>
  <c r="U266" i="6"/>
  <c r="Q20" i="6" s="1"/>
  <c r="AD21" i="7" s="1"/>
  <c r="U845" i="6"/>
  <c r="U173" i="6"/>
  <c r="I14" i="6" s="1"/>
  <c r="V15" i="7" s="1"/>
  <c r="U45" i="6"/>
  <c r="G5" i="6" s="1"/>
  <c r="T6" i="7" s="1"/>
  <c r="U245" i="6"/>
  <c r="S19" i="6" s="1"/>
  <c r="AF20" i="7" s="1"/>
  <c r="U802" i="6"/>
  <c r="U248" i="6"/>
  <c r="M19" i="6" s="1"/>
  <c r="Z20" i="7" s="1"/>
  <c r="U324" i="6"/>
  <c r="F25" i="6" s="1"/>
  <c r="S26" i="7" s="1"/>
  <c r="U901" i="6"/>
  <c r="I66" i="6" s="1"/>
  <c r="V67" i="7" s="1"/>
  <c r="U148" i="6"/>
  <c r="K12" i="6" s="1"/>
  <c r="X13" i="7" s="1"/>
  <c r="U374" i="6"/>
  <c r="F40" i="6"/>
  <c r="S41" i="7" s="1"/>
  <c r="R41" i="7"/>
  <c r="B41" i="7"/>
  <c r="N40" i="6"/>
  <c r="AA41" i="7" s="1"/>
  <c r="U795" i="6"/>
  <c r="N58" i="6" s="1"/>
  <c r="AA59" i="7" s="1"/>
  <c r="U197" i="6"/>
  <c r="U774" i="6"/>
  <c r="H57" i="6" s="1"/>
  <c r="U58" i="7" s="1"/>
  <c r="U716" i="6"/>
  <c r="U440" i="6"/>
  <c r="U668" i="6"/>
  <c r="U1033" i="6"/>
  <c r="U356" i="6"/>
  <c r="U856" i="6"/>
  <c r="U160" i="6"/>
  <c r="U783" i="6"/>
  <c r="P57" i="6" s="1"/>
  <c r="AC58" i="7" s="1"/>
  <c r="U303" i="6"/>
  <c r="U2" i="6"/>
  <c r="F2" i="6" s="1"/>
  <c r="U559" i="6"/>
  <c r="P41" i="6" s="1"/>
  <c r="AC42" i="7" s="1"/>
  <c r="U78" i="6"/>
  <c r="K7" i="6" s="1"/>
  <c r="X8" i="7" s="1"/>
  <c r="U187" i="6"/>
  <c r="I15" i="6" s="1"/>
  <c r="V16" i="7" s="1"/>
  <c r="U598" i="6"/>
  <c r="M44" i="6" s="1"/>
  <c r="Z45" i="7" s="1"/>
  <c r="B74" i="7"/>
  <c r="K73" i="6"/>
  <c r="X74" i="7" s="1"/>
  <c r="S73" i="6"/>
  <c r="AF74" i="7" s="1"/>
  <c r="R74" i="7"/>
  <c r="U604" i="6"/>
  <c r="L6" i="6" s="1"/>
  <c r="Y7" i="7" s="1"/>
  <c r="F48" i="6"/>
  <c r="S49" i="7" s="1"/>
  <c r="P48" i="6"/>
  <c r="AC49" i="7" s="1"/>
  <c r="B49" i="7"/>
  <c r="R49" i="7"/>
  <c r="Q48" i="6"/>
  <c r="AD49" i="7" s="1"/>
  <c r="N48" i="6"/>
  <c r="AA49" i="7" s="1"/>
  <c r="U526" i="6"/>
  <c r="K39" i="6" s="1"/>
  <c r="X40" i="7" s="1"/>
  <c r="U1015" i="6"/>
  <c r="S74" i="6" s="1"/>
  <c r="AF75" i="7" s="1"/>
  <c r="U972" i="6"/>
  <c r="U706" i="6"/>
  <c r="J52" i="6" s="1"/>
  <c r="W53" i="7" s="1"/>
  <c r="U360" i="6"/>
  <c r="U164" i="6"/>
  <c r="M13" i="6" s="1"/>
  <c r="Z14" i="7" s="1"/>
  <c r="U141" i="6"/>
  <c r="R11" i="6" s="1"/>
  <c r="AE12" i="7" s="1"/>
  <c r="U494" i="6"/>
  <c r="U841" i="6"/>
  <c r="R61" i="6" s="1"/>
  <c r="AE62" i="7" s="1"/>
  <c r="U7" i="6"/>
  <c r="S2" i="6" s="1"/>
  <c r="AF3" i="7" s="1"/>
  <c r="CB3" i="7" s="1"/>
  <c r="U77" i="6"/>
  <c r="S7" i="6" s="1"/>
  <c r="AF8" i="7" s="1"/>
  <c r="U25" i="6"/>
  <c r="N3" i="6" s="1"/>
  <c r="AA4" i="7" s="1"/>
  <c r="U85" i="6"/>
  <c r="R7" i="6" s="1"/>
  <c r="AE8" i="7" s="1"/>
  <c r="U384" i="6"/>
  <c r="J29" i="6" s="1"/>
  <c r="W30" i="7" s="1"/>
  <c r="U840" i="6"/>
  <c r="Q61" i="6" s="1"/>
  <c r="AD62" i="7" s="1"/>
  <c r="U672" i="6"/>
  <c r="Q49" i="6" s="1"/>
  <c r="AD50" i="7" s="1"/>
  <c r="U238" i="6"/>
  <c r="Q18" i="6" s="1"/>
  <c r="AD19" i="7" s="1"/>
  <c r="U553" i="6"/>
  <c r="S41" i="6" s="1"/>
  <c r="AF42" i="7" s="1"/>
  <c r="U89" i="6"/>
  <c r="I8" i="6" s="1"/>
  <c r="V9" i="7" s="1"/>
  <c r="U242" i="6"/>
  <c r="H19" i="6" s="1"/>
  <c r="U20" i="7" s="1"/>
  <c r="U1044" i="6"/>
  <c r="U844" i="6"/>
  <c r="U911" i="6"/>
  <c r="R66" i="6" s="1"/>
  <c r="AE67" i="7" s="1"/>
  <c r="U505" i="6"/>
  <c r="U110" i="6"/>
  <c r="O9" i="6" s="1"/>
  <c r="AB10" i="7" s="1"/>
  <c r="U945" i="6"/>
  <c r="S69" i="6" s="1"/>
  <c r="AF70" i="7" s="1"/>
  <c r="U236" i="6"/>
  <c r="U943" i="6"/>
  <c r="I69" i="6" s="1"/>
  <c r="V70" i="7" s="1"/>
  <c r="U586" i="6"/>
  <c r="O43" i="6" s="1"/>
  <c r="AB44" i="7" s="1"/>
  <c r="U131" i="6"/>
  <c r="U518" i="6"/>
  <c r="Q38" i="6" s="1"/>
  <c r="AD39" i="7" s="1"/>
  <c r="U791" i="6"/>
  <c r="S58" i="6" s="1"/>
  <c r="AF59" i="7" s="1"/>
  <c r="U294" i="6"/>
  <c r="Q22" i="6" s="1"/>
  <c r="AD23" i="7" s="1"/>
  <c r="U742" i="6"/>
  <c r="Q54" i="6" s="1"/>
  <c r="AD55" i="7" s="1"/>
  <c r="U707" i="6"/>
  <c r="U540" i="6"/>
  <c r="K40" i="6" s="1"/>
  <c r="X41" i="7" s="1"/>
  <c r="U461" i="6"/>
  <c r="P34" i="6" s="1"/>
  <c r="AC35" i="7" s="1"/>
  <c r="U217" i="6"/>
  <c r="S17" i="6" s="1"/>
  <c r="AF18" i="7" s="1"/>
  <c r="U981" i="6"/>
  <c r="U262" i="6"/>
  <c r="U847" i="6"/>
  <c r="U192" i="6"/>
  <c r="M15" i="6" s="1"/>
  <c r="Z16" i="7" s="1"/>
  <c r="U715" i="6"/>
  <c r="R52" i="6" s="1"/>
  <c r="AE53" i="7" s="1"/>
  <c r="U969" i="6"/>
  <c r="U497" i="6"/>
  <c r="S37" i="6" s="1"/>
  <c r="AF38" i="7" s="1"/>
  <c r="U638" i="6"/>
  <c r="K47" i="6" s="1"/>
  <c r="X48" i="7" s="1"/>
  <c r="U824" i="6"/>
  <c r="O60" i="6" s="1"/>
  <c r="AB61" i="7" s="1"/>
  <c r="U1038" i="6"/>
  <c r="U211" i="6"/>
  <c r="R16" i="6" s="1"/>
  <c r="AE17" i="7" s="1"/>
  <c r="U825" i="6"/>
  <c r="U462" i="6"/>
  <c r="Q34" i="6" s="1"/>
  <c r="AD35" i="7" s="1"/>
  <c r="U527" i="6"/>
  <c r="U733" i="6"/>
  <c r="I54" i="6" s="1"/>
  <c r="V55" i="7" s="1"/>
  <c r="U749" i="6"/>
  <c r="U341" i="6"/>
  <c r="I26" i="6" s="1"/>
  <c r="V27" i="7" s="1"/>
  <c r="U654" i="6"/>
  <c r="M48" i="6" s="1"/>
  <c r="Z49" i="7" s="1"/>
  <c r="U848" i="6"/>
  <c r="K62" i="6" s="1"/>
  <c r="X63" i="7" s="1"/>
  <c r="U862" i="6"/>
  <c r="P30" i="6" s="1"/>
  <c r="AC31" i="7" s="1"/>
  <c r="B16" i="7"/>
  <c r="P15" i="6"/>
  <c r="AC16" i="7" s="1"/>
  <c r="J15" i="6"/>
  <c r="W16" i="7" s="1"/>
  <c r="S15" i="6"/>
  <c r="AF16" i="7" s="1"/>
  <c r="R15" i="6"/>
  <c r="AE16" i="7" s="1"/>
  <c r="R16" i="7"/>
  <c r="F15" i="6"/>
  <c r="S16" i="7" s="1"/>
  <c r="U379" i="6"/>
  <c r="R28" i="6" s="1"/>
  <c r="AE29" i="7" s="1"/>
  <c r="U892" i="6"/>
  <c r="M65" i="6" s="1"/>
  <c r="Z66" i="7" s="1"/>
  <c r="U632" i="6"/>
  <c r="U90" i="6"/>
  <c r="J8" i="6" s="1"/>
  <c r="W9" i="7" s="1"/>
  <c r="U552" i="6"/>
  <c r="J41" i="6" s="1"/>
  <c r="W42" i="7" s="1"/>
  <c r="K36" i="6"/>
  <c r="X37" i="7" s="1"/>
  <c r="R37" i="7"/>
  <c r="P36" i="6"/>
  <c r="AC37" i="7" s="1"/>
  <c r="B37" i="7"/>
  <c r="H36" i="6"/>
  <c r="U37" i="7" s="1"/>
  <c r="U259" i="6"/>
  <c r="U685" i="6"/>
  <c r="P50" i="6" s="1"/>
  <c r="AC51" i="7" s="1"/>
  <c r="U183" i="6"/>
  <c r="R14" i="6" s="1"/>
  <c r="AE15" i="7" s="1"/>
  <c r="U82" i="6"/>
  <c r="O7" i="6" s="1"/>
  <c r="AB8" i="7" s="1"/>
  <c r="I49" i="6"/>
  <c r="V50" i="7" s="1"/>
  <c r="M49" i="6"/>
  <c r="Z50" i="7" s="1"/>
  <c r="S49" i="6"/>
  <c r="AF50" i="7" s="1"/>
  <c r="P49" i="6"/>
  <c r="AC50" i="7" s="1"/>
  <c r="R50" i="7"/>
  <c r="B50" i="7"/>
  <c r="U157" i="6"/>
  <c r="G13" i="6" s="1"/>
  <c r="T14" i="7" s="1"/>
  <c r="R60" i="7"/>
  <c r="H59" i="6"/>
  <c r="U60" i="7" s="1"/>
  <c r="G59" i="6"/>
  <c r="T60" i="7" s="1"/>
  <c r="B60" i="7"/>
  <c r="U81" i="6"/>
  <c r="N7" i="6" s="1"/>
  <c r="AA8" i="7" s="1"/>
  <c r="U311" i="6"/>
  <c r="G24" i="6" s="1"/>
  <c r="T25" i="7" s="1"/>
  <c r="U223" i="6"/>
  <c r="P17" i="6" s="1"/>
  <c r="AC18" i="7" s="1"/>
  <c r="U454" i="6"/>
  <c r="U928" i="6"/>
  <c r="H68" i="6" s="1"/>
  <c r="U69" i="7" s="1"/>
  <c r="U544" i="6"/>
  <c r="O40" i="6" s="1"/>
  <c r="AB41" i="7" s="1"/>
  <c r="K22" i="6"/>
  <c r="X23" i="7" s="1"/>
  <c r="R23" i="7"/>
  <c r="P22" i="6"/>
  <c r="AC23" i="7" s="1"/>
  <c r="G22" i="6"/>
  <c r="T23" i="7" s="1"/>
  <c r="M22" i="6"/>
  <c r="Z23" i="7" s="1"/>
  <c r="B23" i="7"/>
  <c r="N22" i="6"/>
  <c r="AA23" i="7" s="1"/>
  <c r="U53" i="6"/>
  <c r="N5" i="6" s="1"/>
  <c r="AA6" i="7" s="1"/>
  <c r="U409" i="6"/>
  <c r="G31" i="6" s="1"/>
  <c r="T32" i="7" s="1"/>
  <c r="L64" i="6"/>
  <c r="Y65" i="7" s="1"/>
  <c r="M64" i="6"/>
  <c r="Z65" i="7" s="1"/>
  <c r="R65" i="7"/>
  <c r="B65" i="7"/>
  <c r="S64" i="6"/>
  <c r="AF65" i="7" s="1"/>
  <c r="P64" i="6"/>
  <c r="AC65" i="7" s="1"/>
  <c r="N64" i="6"/>
  <c r="AA65" i="7" s="1"/>
  <c r="J64" i="6"/>
  <c r="W65" i="7" s="1"/>
  <c r="U54" i="6"/>
  <c r="O5" i="6" s="1"/>
  <c r="AB6" i="7" s="1"/>
  <c r="U416" i="6"/>
  <c r="M31" i="6" s="1"/>
  <c r="Z32" i="7" s="1"/>
  <c r="U100" i="6"/>
  <c r="F9" i="6" s="1"/>
  <c r="S10" i="7" s="1"/>
  <c r="U807" i="6"/>
  <c r="L59" i="6" s="1"/>
  <c r="Y60" i="7" s="1"/>
  <c r="U512" i="6"/>
  <c r="U927" i="6"/>
  <c r="G68" i="6" s="1"/>
  <c r="T69" i="7" s="1"/>
  <c r="U873" i="6"/>
  <c r="I64" i="6" s="1"/>
  <c r="V65" i="7" s="1"/>
  <c r="U567" i="6"/>
  <c r="S42" i="6" s="1"/>
  <c r="AF43" i="7" s="1"/>
  <c r="U1013" i="6"/>
  <c r="I74" i="6" s="1"/>
  <c r="V75" i="7" s="1"/>
  <c r="U503" i="6"/>
  <c r="U772" i="6"/>
  <c r="F57" i="6" s="1"/>
  <c r="S58" i="7" s="1"/>
  <c r="U756" i="6"/>
  <c r="U917" i="6"/>
  <c r="U93" i="6"/>
  <c r="L8" i="6" s="1"/>
  <c r="Y9" i="7" s="1"/>
  <c r="U469" i="6"/>
  <c r="U481" i="6"/>
  <c r="I36" i="6" s="1"/>
  <c r="V37" i="7" s="1"/>
  <c r="U433" i="6"/>
  <c r="U499" i="6"/>
  <c r="U1032" i="6"/>
  <c r="U1011" i="6"/>
  <c r="G74" i="6" s="1"/>
  <c r="T75" i="7" s="1"/>
  <c r="U851" i="6"/>
  <c r="U997" i="6"/>
  <c r="G73" i="6" s="1"/>
  <c r="T74" i="7" s="1"/>
  <c r="U277" i="6"/>
  <c r="N21" i="6" s="1"/>
  <c r="AA22" i="7" s="1"/>
  <c r="U866" i="6"/>
  <c r="U268" i="6"/>
  <c r="U403" i="6"/>
  <c r="N30" i="6" s="1"/>
  <c r="AA31" i="7" s="1"/>
  <c r="U693" i="6"/>
  <c r="U472" i="6"/>
  <c r="U344" i="6"/>
  <c r="U434" i="6"/>
  <c r="U677" i="6"/>
  <c r="I50" i="6" s="1"/>
  <c r="V51" i="7" s="1"/>
  <c r="U225" i="6"/>
  <c r="R17" i="6" s="1"/>
  <c r="AE18" i="7" s="1"/>
  <c r="U565" i="6"/>
  <c r="U689" i="6"/>
  <c r="U647" i="6"/>
  <c r="G48" i="6" s="1"/>
  <c r="T49" i="7" s="1"/>
  <c r="U267" i="6"/>
  <c r="R20" i="6" s="1"/>
  <c r="AE21" i="7" s="1"/>
  <c r="U699" i="6"/>
  <c r="P51" i="6" s="1"/>
  <c r="AC52" i="7" s="1"/>
  <c r="U734" i="6"/>
  <c r="J54" i="6" s="1"/>
  <c r="W55" i="7" s="1"/>
  <c r="U906" i="6"/>
  <c r="M66" i="6" s="1"/>
  <c r="Z67" i="7" s="1"/>
  <c r="U908" i="6"/>
  <c r="O66" i="6" s="1"/>
  <c r="AB67" i="7" s="1"/>
  <c r="U508" i="6"/>
  <c r="U349" i="6"/>
  <c r="P26" i="6" s="1"/>
  <c r="AC27" i="7" s="1"/>
  <c r="U600" i="6"/>
  <c r="O44" i="6" s="1"/>
  <c r="AB45" i="7" s="1"/>
  <c r="U375" i="6"/>
  <c r="N28" i="6" s="1"/>
  <c r="AA29" i="7" s="1"/>
  <c r="U853" i="6"/>
  <c r="P62" i="6" s="1"/>
  <c r="AC63" i="7" s="1"/>
  <c r="U882" i="6"/>
  <c r="P37" i="6" s="1"/>
  <c r="AC38" i="7" s="1"/>
  <c r="U789" i="6"/>
  <c r="I58" i="6" s="1"/>
  <c r="V59" i="7" s="1"/>
  <c r="U233" i="6"/>
  <c r="U1036" i="6"/>
  <c r="U623" i="6"/>
  <c r="S46" i="6" s="1"/>
  <c r="AF47" i="7" s="1"/>
  <c r="U813" i="6"/>
  <c r="R59" i="6" s="1"/>
  <c r="AE60" i="7" s="1"/>
  <c r="U106" i="6"/>
  <c r="K9" i="6" s="1"/>
  <c r="X10" i="7" s="1"/>
  <c r="U930" i="6"/>
  <c r="J68" i="6" s="1"/>
  <c r="W69" i="7" s="1"/>
  <c r="U905" i="6"/>
  <c r="L66" i="6" s="1"/>
  <c r="Y67" i="7" s="1"/>
  <c r="U389" i="6"/>
  <c r="N29" i="6" s="1"/>
  <c r="AA30" i="7" s="1"/>
  <c r="U584" i="6"/>
  <c r="L77" i="6" s="1"/>
  <c r="Y78" i="7" s="1"/>
  <c r="O33" i="6"/>
  <c r="AB34" i="7" s="1"/>
  <c r="R34" i="7"/>
  <c r="J33" i="6"/>
  <c r="W34" i="7" s="1"/>
  <c r="K33" i="6"/>
  <c r="X34" i="7" s="1"/>
  <c r="B34" i="7"/>
  <c r="G33" i="6"/>
  <c r="T34" i="7" s="1"/>
  <c r="I33" i="6"/>
  <c r="V34" i="7" s="1"/>
  <c r="U569" i="6"/>
  <c r="L42" i="6" s="1"/>
  <c r="Y43" i="7" s="1"/>
  <c r="U23" i="6"/>
  <c r="L3" i="6" s="1"/>
  <c r="Y4" i="7" s="1"/>
  <c r="U335" i="6"/>
  <c r="P25" i="6" s="1"/>
  <c r="AC26" i="7" s="1"/>
  <c r="G21" i="6"/>
  <c r="T22" i="7" s="1"/>
  <c r="Q21" i="6"/>
  <c r="AD22" i="7" s="1"/>
  <c r="L21" i="6"/>
  <c r="Y22" i="7" s="1"/>
  <c r="R22" i="7"/>
  <c r="F21" i="6"/>
  <c r="S22" i="7" s="1"/>
  <c r="B22" i="7"/>
  <c r="K21" i="6"/>
  <c r="X22" i="7" s="1"/>
  <c r="S21" i="6"/>
  <c r="AF22" i="7" s="1"/>
  <c r="U968" i="6"/>
  <c r="F71" i="6" s="1"/>
  <c r="S72" i="7" s="1"/>
  <c r="U27" i="6"/>
  <c r="P3" i="6" s="1"/>
  <c r="AC4" i="7" s="1"/>
  <c r="U521" i="6"/>
  <c r="U919" i="6"/>
  <c r="U728" i="6"/>
  <c r="U989" i="6"/>
  <c r="U244" i="6"/>
  <c r="J19" i="6" s="1"/>
  <c r="W20" i="7" s="1"/>
  <c r="U138" i="6"/>
  <c r="O11" i="6" s="1"/>
  <c r="AB12" i="7" s="1"/>
  <c r="U113" i="6"/>
  <c r="R9" i="6" s="1"/>
  <c r="AE10" i="7" s="1"/>
  <c r="U1018" i="6"/>
  <c r="M74" i="6" s="1"/>
  <c r="Z75" i="7" s="1"/>
  <c r="U683" i="6"/>
  <c r="R18" i="7"/>
  <c r="J17" i="6"/>
  <c r="W18" i="7" s="1"/>
  <c r="M17" i="6"/>
  <c r="Z18" i="7" s="1"/>
  <c r="B18" i="7"/>
  <c r="U398" i="6"/>
  <c r="J30" i="6" s="1"/>
  <c r="W31" i="7" s="1"/>
  <c r="U760" i="6"/>
  <c r="H56" i="6" s="1"/>
  <c r="U57" i="7" s="1"/>
  <c r="U298" i="6"/>
  <c r="I51" i="6" s="1"/>
  <c r="V52" i="7" s="1"/>
  <c r="U139" i="6"/>
  <c r="P11" i="6" s="1"/>
  <c r="AC12" i="7" s="1"/>
  <c r="U400" i="6"/>
  <c r="K30" i="6" s="1"/>
  <c r="X31" i="7" s="1"/>
  <c r="U913" i="6"/>
  <c r="U806" i="6"/>
  <c r="K59" i="6" s="1"/>
  <c r="X60" i="7" s="1"/>
  <c r="U861" i="6"/>
  <c r="U395" i="6"/>
  <c r="G30" i="6" s="1"/>
  <c r="T31" i="7" s="1"/>
  <c r="U778" i="6"/>
  <c r="K57" i="6" s="1"/>
  <c r="X58" i="7" s="1"/>
  <c r="U889" i="6"/>
  <c r="S65" i="6" s="1"/>
  <c r="AF66" i="7" s="1"/>
  <c r="U322" i="6"/>
  <c r="Q24" i="6" s="1"/>
  <c r="AD25" i="7" s="1"/>
  <c r="U103" i="6"/>
  <c r="I9" i="6" s="1"/>
  <c r="V10" i="7" s="1"/>
  <c r="U1019" i="6"/>
  <c r="N74" i="6" s="1"/>
  <c r="AA75" i="7" s="1"/>
  <c r="U891" i="6"/>
  <c r="L65" i="6" s="1"/>
  <c r="Y66" i="7" s="1"/>
  <c r="U842" i="6"/>
  <c r="F62" i="6" s="1"/>
  <c r="S63" i="7" s="1"/>
  <c r="U912" i="6"/>
  <c r="U1010" i="6"/>
  <c r="F74" i="6" s="1"/>
  <c r="S75" i="7" s="1"/>
  <c r="U986" i="6"/>
  <c r="J72" i="6" s="1"/>
  <c r="W73" i="7" s="1"/>
  <c r="U753" i="6"/>
  <c r="U570" i="6"/>
  <c r="M42" i="6" s="1"/>
  <c r="Z43" i="7" s="1"/>
  <c r="B35" i="7"/>
  <c r="R35" i="7"/>
  <c r="J34" i="6"/>
  <c r="W35" i="7" s="1"/>
  <c r="F34" i="6"/>
  <c r="S35" i="7" s="1"/>
  <c r="U714" i="6"/>
  <c r="Q52" i="6" s="1"/>
  <c r="AD53" i="7" s="1"/>
  <c r="U702" i="6"/>
  <c r="U172" i="6"/>
  <c r="U594" i="6"/>
  <c r="J44" i="6" s="1"/>
  <c r="W45" i="7" s="1"/>
  <c r="U478" i="6"/>
  <c r="F36" i="6" s="1"/>
  <c r="S37" i="7" s="1"/>
  <c r="U363" i="6"/>
  <c r="P27" i="6" s="1"/>
  <c r="AC28" i="7" s="1"/>
  <c r="U931" i="6"/>
  <c r="S68" i="6" s="1"/>
  <c r="AF69" i="7" s="1"/>
  <c r="U747" i="6"/>
  <c r="U1004" i="6"/>
  <c r="M73" i="6" s="1"/>
  <c r="Z74" i="7" s="1"/>
  <c r="U764" i="6"/>
  <c r="K56" i="6" s="1"/>
  <c r="X57" i="7" s="1"/>
  <c r="U154" i="6"/>
  <c r="Q12" i="6" s="1"/>
  <c r="AD13" i="7" s="1"/>
  <c r="U282" i="6"/>
  <c r="F22" i="6" s="1"/>
  <c r="S23" i="7" s="1"/>
  <c r="U326" i="6"/>
  <c r="H25" i="6" s="1"/>
  <c r="U26" i="7" s="1"/>
  <c r="U353" i="6"/>
  <c r="U191" i="6"/>
  <c r="L15" i="6" s="1"/>
  <c r="Y16" i="7" s="1"/>
  <c r="U161" i="6"/>
  <c r="U479" i="6"/>
  <c r="G36" i="6" s="1"/>
  <c r="T37" i="7" s="1"/>
  <c r="U152" i="6"/>
  <c r="O12" i="6" s="1"/>
  <c r="AB13" i="7" s="1"/>
  <c r="U412" i="6"/>
  <c r="J31" i="6" s="1"/>
  <c r="W32" i="7" s="1"/>
  <c r="U346" i="6"/>
  <c r="M26" i="6" s="1"/>
  <c r="Z27" i="7" s="1"/>
  <c r="L39" i="6"/>
  <c r="Y40" i="7" s="1"/>
  <c r="G39" i="6"/>
  <c r="T40" i="7" s="1"/>
  <c r="O39" i="6"/>
  <c r="AB40" i="7" s="1"/>
  <c r="I39" i="6"/>
  <c r="V40" i="7" s="1"/>
  <c r="M39" i="6"/>
  <c r="Z40" i="7" s="1"/>
  <c r="B40" i="7"/>
  <c r="R40" i="7"/>
  <c r="P39" i="6"/>
  <c r="AC40" i="7" s="1"/>
  <c r="H39" i="6"/>
  <c r="U40" i="7" s="1"/>
  <c r="U8" i="6"/>
  <c r="U308" i="6"/>
  <c r="Q23" i="6" s="1"/>
  <c r="AD24" i="7" s="1"/>
  <c r="U676" i="6"/>
  <c r="H50" i="6" s="1"/>
  <c r="U51" i="7" s="1"/>
  <c r="U673" i="6"/>
  <c r="R49" i="6" s="1"/>
  <c r="AE50" i="7" s="1"/>
  <c r="U438" i="6"/>
  <c r="H33" i="6" s="1"/>
  <c r="U34" i="7" s="1"/>
  <c r="U209" i="6"/>
  <c r="P16" i="6" s="1"/>
  <c r="AC17" i="7" s="1"/>
  <c r="U185" i="6"/>
  <c r="G15" i="6" s="1"/>
  <c r="T16" i="7" s="1"/>
  <c r="U529" i="6"/>
  <c r="N39" i="6" s="1"/>
  <c r="AA40" i="7" s="1"/>
  <c r="U128" i="6"/>
  <c r="F11" i="6" s="1"/>
  <c r="S12" i="7" s="1"/>
  <c r="U817" i="6"/>
  <c r="I60" i="6" s="1"/>
  <c r="V61" i="7" s="1"/>
  <c r="U468" i="6"/>
  <c r="J35" i="6" s="1"/>
  <c r="W36" i="7" s="1"/>
  <c r="U768" i="6"/>
  <c r="O56" i="6" s="1"/>
  <c r="AB57" i="7" s="1"/>
  <c r="U576" i="6"/>
  <c r="F43" i="6" s="1"/>
  <c r="S44" i="7" s="1"/>
  <c r="U122" i="6"/>
  <c r="M10" i="6" s="1"/>
  <c r="Z11" i="7" s="1"/>
  <c r="U182" i="6"/>
  <c r="Q14" i="6" s="1"/>
  <c r="AD15" i="7" s="1"/>
  <c r="U327" i="6"/>
  <c r="I25" i="6" s="1"/>
  <c r="V26" i="7" s="1"/>
  <c r="U342" i="6"/>
  <c r="J26" i="6" s="1"/>
  <c r="W27" i="7" s="1"/>
  <c r="U949" i="6"/>
  <c r="N69" i="6" s="1"/>
  <c r="AA70" i="7" s="1"/>
  <c r="U456" i="6"/>
  <c r="K34" i="6" s="1"/>
  <c r="X35" i="7" s="1"/>
  <c r="U834" i="6"/>
  <c r="U524" i="6"/>
  <c r="J39" i="6" s="1"/>
  <c r="W40" i="7" s="1"/>
  <c r="U59" i="6"/>
  <c r="G6" i="6" s="1"/>
  <c r="T7" i="7" s="1"/>
  <c r="U979" i="6"/>
  <c r="U490" i="6"/>
  <c r="Q36" i="6" s="1"/>
  <c r="AD37" i="7" s="1"/>
  <c r="U26" i="6"/>
  <c r="O3" i="6" s="1"/>
  <c r="AB4" i="7" s="1"/>
  <c r="U193" i="6"/>
  <c r="N15" i="6" s="1"/>
  <c r="AA16" i="7" s="1"/>
  <c r="U150" i="6"/>
  <c r="M12" i="6" s="1"/>
  <c r="Z13" i="7" s="1"/>
  <c r="U978" i="6"/>
  <c r="U846" i="6"/>
  <c r="J62" i="6" s="1"/>
  <c r="W63" i="7" s="1"/>
  <c r="U466" i="6"/>
  <c r="U838" i="6"/>
  <c r="U830" i="6"/>
  <c r="U510" i="6"/>
  <c r="U745" i="6"/>
  <c r="U974" i="6"/>
  <c r="Q77" i="6" s="1"/>
  <c r="AD78" i="7" s="1"/>
  <c r="U392" i="6"/>
  <c r="Q29" i="6" s="1"/>
  <c r="AD30" i="7" s="1"/>
  <c r="U831" i="6"/>
  <c r="U429" i="6"/>
  <c r="U390" i="6"/>
  <c r="O29" i="6" s="1"/>
  <c r="AB30" i="7" s="1"/>
  <c r="U414" i="6"/>
  <c r="K31" i="6" s="1"/>
  <c r="X32" i="7" s="1"/>
  <c r="U237" i="6"/>
  <c r="U205" i="6"/>
  <c r="U656" i="6"/>
  <c r="O48" i="6" s="1"/>
  <c r="AB49" i="7" s="1"/>
  <c r="R31" i="7"/>
  <c r="B31" i="7"/>
  <c r="U684" i="6"/>
  <c r="O50" i="6" s="1"/>
  <c r="AB51" i="7" s="1"/>
  <c r="U731" i="6"/>
  <c r="G54" i="6" s="1"/>
  <c r="T55" i="7" s="1"/>
  <c r="U674" i="6"/>
  <c r="F50" i="6" s="1"/>
  <c r="S51" i="7" s="1"/>
  <c r="U295" i="6"/>
  <c r="R22" i="6" s="1"/>
  <c r="AE23" i="7" s="1"/>
  <c r="U428" i="6"/>
  <c r="S77" i="6" s="1"/>
  <c r="AF78" i="7" s="1"/>
  <c r="U213" i="6"/>
  <c r="G17" i="6" s="1"/>
  <c r="T18" i="7" s="1"/>
  <c r="U1003" i="6"/>
  <c r="L73" i="6" s="1"/>
  <c r="Y74" i="7" s="1"/>
  <c r="R75" i="7"/>
  <c r="B75" i="7"/>
  <c r="U1005" i="6"/>
  <c r="N73" i="6" s="1"/>
  <c r="AA74" i="7" s="1"/>
  <c r="U589" i="6"/>
  <c r="R43" i="6" s="1"/>
  <c r="AE44" i="7" s="1"/>
  <c r="U741" i="6"/>
  <c r="U998" i="6"/>
  <c r="H73" i="6" s="1"/>
  <c r="U74" i="7" s="1"/>
  <c r="U252" i="6"/>
  <c r="Q19" i="6" s="1"/>
  <c r="AD20" i="7" s="1"/>
  <c r="U287" i="6"/>
  <c r="S22" i="6" s="1"/>
  <c r="AF23" i="7" s="1"/>
  <c r="U333" i="6"/>
  <c r="N25" i="6" s="1"/>
  <c r="AA26" i="7" s="1"/>
  <c r="U279" i="6"/>
  <c r="P21" i="6" s="1"/>
  <c r="AC22" i="7" s="1"/>
  <c r="U678" i="6"/>
  <c r="M28" i="6" s="1"/>
  <c r="Z29" i="7" s="1"/>
  <c r="U486" i="6"/>
  <c r="M36" i="6" s="1"/>
  <c r="Z37" i="7" s="1"/>
  <c r="U221" i="6"/>
  <c r="N17" i="6" s="1"/>
  <c r="AA18" i="7" s="1"/>
  <c r="U420" i="6"/>
  <c r="Q31" i="6" s="1"/>
  <c r="AD32" i="7" s="1"/>
  <c r="U137" i="6"/>
  <c r="N11" i="6" s="1"/>
  <c r="AA12" i="7" s="1"/>
  <c r="U337" i="6"/>
  <c r="R25" i="6" s="1"/>
  <c r="AE26" i="7" s="1"/>
  <c r="U444" i="6"/>
  <c r="M33" i="6" s="1"/>
  <c r="Z34" i="7" s="1"/>
  <c r="U701" i="6"/>
  <c r="R51" i="6" s="1"/>
  <c r="AE52" i="7" s="1"/>
  <c r="U763" i="6"/>
  <c r="S56" i="6" s="1"/>
  <c r="AF57" i="7" s="1"/>
  <c r="U886" i="6"/>
  <c r="P54" i="6" s="1"/>
  <c r="AC55" i="7" s="1"/>
  <c r="U136" i="6"/>
  <c r="M11" i="6" s="1"/>
  <c r="Z12" i="7" s="1"/>
  <c r="U230" i="6"/>
  <c r="H74" i="6" s="1"/>
  <c r="U75" i="7" s="1"/>
  <c r="U382" i="6"/>
  <c r="H29" i="6" s="1"/>
  <c r="U30" i="7" s="1"/>
  <c r="E1" i="6"/>
  <c r="U129" i="6"/>
  <c r="G11" i="6" s="1"/>
  <c r="T12" i="7" s="1"/>
  <c r="U871" i="6"/>
  <c r="G64" i="6" s="1"/>
  <c r="T65" i="7" s="1"/>
  <c r="U934" i="6"/>
  <c r="M68" i="6" s="1"/>
  <c r="Z69" i="7" s="1"/>
  <c r="U669" i="6"/>
  <c r="N49" i="6" s="1"/>
  <c r="AA50" i="7" s="1"/>
  <c r="U256" i="6"/>
  <c r="U710" i="6"/>
  <c r="U667" i="6"/>
  <c r="L49" i="6" s="1"/>
  <c r="Y50" i="7" s="1"/>
  <c r="U1034" i="6"/>
  <c r="O75" i="6" s="1"/>
  <c r="AB76" i="7" s="1"/>
  <c r="U33" i="6"/>
  <c r="I4" i="6" s="1"/>
  <c r="V5" i="7" s="1"/>
  <c r="U186" i="6"/>
  <c r="H15" i="6" s="1"/>
  <c r="U16" i="7" s="1"/>
  <c r="U939" i="6"/>
  <c r="R68" i="6" s="1"/>
  <c r="AE69" i="7" s="1"/>
  <c r="U666" i="6"/>
  <c r="K49" i="6" s="1"/>
  <c r="X50" i="7" s="1"/>
  <c r="U944" i="6"/>
  <c r="J69" i="6" s="1"/>
  <c r="W70" i="7" s="1"/>
  <c r="U712" i="6"/>
  <c r="U338" i="6"/>
  <c r="F26" i="6" s="1"/>
  <c r="S27" i="7" s="1"/>
  <c r="U13" i="6"/>
  <c r="P2" i="6" s="1"/>
  <c r="AC3" i="7" s="1"/>
  <c r="BY3" i="7" s="1"/>
  <c r="U705" i="6"/>
  <c r="U249" i="6"/>
  <c r="N19" i="6" s="1"/>
  <c r="AA20" i="7" s="1"/>
  <c r="U995" i="6"/>
  <c r="R72" i="6" s="1"/>
  <c r="AE73" i="7" s="1"/>
  <c r="U626" i="6"/>
  <c r="U32" i="6"/>
  <c r="H4" i="6" s="1"/>
  <c r="U5" i="7" s="1"/>
  <c r="U992" i="6"/>
  <c r="O72" i="6" s="1"/>
  <c r="AB73" i="7" s="1"/>
  <c r="U354" i="6"/>
  <c r="U572" i="6"/>
  <c r="O42" i="6" s="1"/>
  <c r="AB43" i="7" s="1"/>
  <c r="U1039" i="6"/>
  <c r="U564" i="6"/>
  <c r="H42" i="6" s="1"/>
  <c r="U43" i="7" s="1"/>
  <c r="K50" i="6"/>
  <c r="X51" i="7" s="1"/>
  <c r="B51" i="7"/>
  <c r="R51" i="7"/>
  <c r="Q50" i="6"/>
  <c r="AD51" i="7" s="1"/>
  <c r="L50" i="6"/>
  <c r="Y51" i="7" s="1"/>
  <c r="J50" i="6"/>
  <c r="W51" i="7" s="1"/>
  <c r="U616" i="6"/>
  <c r="Q45" i="6" s="1"/>
  <c r="AD46" i="7" s="1"/>
  <c r="U1043" i="6"/>
  <c r="U660" i="6"/>
  <c r="F49" i="6" s="1"/>
  <c r="S50" i="7" s="1"/>
  <c r="U800" i="6"/>
  <c r="F59" i="6" s="1"/>
  <c r="S60" i="7" s="1"/>
  <c r="U254" i="6"/>
  <c r="F20" i="6" s="1"/>
  <c r="S21" i="7" s="1"/>
  <c r="U580" i="6"/>
  <c r="J43" i="6" s="1"/>
  <c r="W44" i="7" s="1"/>
  <c r="U258" i="6"/>
  <c r="U362" i="6"/>
  <c r="U867" i="6"/>
  <c r="P63" i="6" s="1"/>
  <c r="AC64" i="7" s="1"/>
  <c r="U893" i="6"/>
  <c r="N65" i="6" s="1"/>
  <c r="AA66" i="7" s="1"/>
  <c r="U73" i="6"/>
  <c r="G7" i="6" s="1"/>
  <c r="T8" i="7" s="1"/>
  <c r="G70" i="6"/>
  <c r="T71" i="7" s="1"/>
  <c r="S70" i="6"/>
  <c r="AF71" i="7" s="1"/>
  <c r="B71" i="7"/>
  <c r="F70" i="6"/>
  <c r="S71" i="7" s="1"/>
  <c r="N70" i="6"/>
  <c r="AA71" i="7" s="1"/>
  <c r="P70" i="6"/>
  <c r="AC71" i="7" s="1"/>
  <c r="R71" i="7"/>
  <c r="H70" i="6"/>
  <c r="U71" i="7" s="1"/>
  <c r="M70" i="6"/>
  <c r="Z71" i="7" s="1"/>
  <c r="R70" i="6"/>
  <c r="AE71" i="7" s="1"/>
  <c r="U696" i="6"/>
  <c r="M46" i="6" s="1"/>
  <c r="Z47" i="7" s="1"/>
  <c r="U593" i="6"/>
  <c r="U1049" i="6"/>
  <c r="U822" i="6"/>
  <c r="M60" i="6" s="1"/>
  <c r="Z61" i="7" s="1"/>
  <c r="U770" i="6"/>
  <c r="Q56" i="6" s="1"/>
  <c r="AD57" i="7" s="1"/>
  <c r="U228" i="6"/>
  <c r="U114" i="6"/>
  <c r="F10" i="6" s="1"/>
  <c r="S11" i="7" s="1"/>
  <c r="U724" i="6"/>
  <c r="M53" i="6" s="1"/>
  <c r="Z54" i="7" s="1"/>
  <c r="U703" i="6"/>
  <c r="G52" i="6" s="1"/>
  <c r="T53" i="7" s="1"/>
  <c r="U535" i="6"/>
  <c r="G40" i="6" s="1"/>
  <c r="T41" i="7" s="1"/>
  <c r="U688" i="6"/>
  <c r="F51" i="6" s="1"/>
  <c r="S52" i="7" s="1"/>
  <c r="U460" i="6"/>
  <c r="O34" i="6" s="1"/>
  <c r="AB35" i="7" s="1"/>
  <c r="U431" i="6"/>
  <c r="N32" i="6" s="1"/>
  <c r="AA33" i="7" s="1"/>
  <c r="U208" i="6"/>
  <c r="O16" i="6" s="1"/>
  <c r="AB17" i="7" s="1"/>
  <c r="U178" i="6"/>
  <c r="U235" i="6"/>
  <c r="N18" i="6" s="1"/>
  <c r="AA19" i="7" s="1"/>
  <c r="U4" i="6"/>
  <c r="H2" i="6" s="1"/>
  <c r="U3" i="7" s="1"/>
  <c r="BQ3" i="7" s="1"/>
  <c r="U577" i="6"/>
  <c r="G43" i="6" s="1"/>
  <c r="T44" i="7" s="1"/>
  <c r="U725" i="6"/>
  <c r="N53" i="6" s="1"/>
  <c r="AA54" i="7" s="1"/>
  <c r="U286" i="6"/>
  <c r="J22" i="6" s="1"/>
  <c r="W23" i="7" s="1"/>
  <c r="U816" i="6"/>
  <c r="H60" i="6" s="1"/>
  <c r="U61" i="7" s="1"/>
  <c r="U156" i="6"/>
  <c r="F13" i="6" s="1"/>
  <c r="S14" i="7" s="1"/>
  <c r="U168" i="6"/>
  <c r="Q13" i="6" s="1"/>
  <c r="AD14" i="7" s="1"/>
  <c r="U583" i="6"/>
  <c r="L43" i="6" s="1"/>
  <c r="Y44" i="7" s="1"/>
  <c r="U180" i="6"/>
  <c r="O14" i="6" s="1"/>
  <c r="AB15" i="7" s="1"/>
  <c r="U200" i="6"/>
  <c r="U804" i="6"/>
  <c r="J59" i="6" s="1"/>
  <c r="W60" i="7" s="1"/>
  <c r="U935" i="6"/>
  <c r="N68" i="6" s="1"/>
  <c r="AA69" i="7" s="1"/>
  <c r="U232" i="6"/>
  <c r="K18" i="6" s="1"/>
  <c r="X19" i="7" s="1"/>
  <c r="U56" i="6"/>
  <c r="Q5" i="6" s="1"/>
  <c r="AD6" i="7" s="1"/>
  <c r="U149" i="6"/>
  <c r="L12" i="6" s="1"/>
  <c r="Y13" i="7" s="1"/>
  <c r="U704" i="6"/>
  <c r="H52" i="6" s="1"/>
  <c r="U53" i="7" s="1"/>
  <c r="U143" i="6"/>
  <c r="G12" i="6" s="1"/>
  <c r="T13" i="7" s="1"/>
  <c r="U775" i="6"/>
  <c r="I57" i="6" s="1"/>
  <c r="V58" i="7" s="1"/>
  <c r="U336" i="6"/>
  <c r="Q25" i="6" s="1"/>
  <c r="AD26" i="7" s="1"/>
  <c r="U1026" i="6"/>
  <c r="U630" i="6"/>
  <c r="Q46" i="6" s="1"/>
  <c r="AD47" i="7" s="1"/>
  <c r="U836" i="6"/>
  <c r="B52" i="7"/>
  <c r="S51" i="6"/>
  <c r="AF52" i="7" s="1"/>
  <c r="R52" i="7"/>
  <c r="H51" i="6"/>
  <c r="U52" i="7" s="1"/>
  <c r="U271" i="6"/>
  <c r="I21" i="6" s="1"/>
  <c r="V22" i="7" s="1"/>
  <c r="U602" i="6"/>
  <c r="U852" i="6"/>
  <c r="U961" i="6"/>
  <c r="L70" i="6" s="1"/>
  <c r="Y71" i="7" s="1"/>
  <c r="U902" i="6"/>
  <c r="J66" i="6" s="1"/>
  <c r="W67" i="7" s="1"/>
  <c r="U900" i="6"/>
  <c r="H66" i="6" s="1"/>
  <c r="U67" i="7" s="1"/>
  <c r="U937" i="6"/>
  <c r="P68" i="6" s="1"/>
  <c r="AC69" i="7" s="1"/>
  <c r="U50" i="6"/>
  <c r="K5" i="6" s="1"/>
  <c r="X6" i="7" s="1"/>
  <c r="U988" i="6"/>
  <c r="K72" i="6" s="1"/>
  <c r="X73" i="7" s="1"/>
  <c r="Q47" i="6"/>
  <c r="AD48" i="7" s="1"/>
  <c r="F47" i="6"/>
  <c r="S48" i="7" s="1"/>
  <c r="B48" i="7"/>
  <c r="R48" i="7"/>
  <c r="U74" i="6"/>
  <c r="H7" i="6" s="1"/>
  <c r="U8" i="7" s="1"/>
  <c r="U547" i="6"/>
  <c r="R40" i="6" s="1"/>
  <c r="AE41" i="7" s="1"/>
  <c r="U198" i="6"/>
  <c r="U611" i="6"/>
  <c r="L45" i="6" s="1"/>
  <c r="Y46" i="7" s="1"/>
  <c r="U635" i="6"/>
  <c r="I47" i="6" s="1"/>
  <c r="V48" i="7" s="1"/>
  <c r="U857" i="6"/>
  <c r="U786" i="6"/>
  <c r="F58" i="6" s="1"/>
  <c r="S59" i="7" s="1"/>
  <c r="U441" i="6"/>
  <c r="S33" i="6" s="1"/>
  <c r="AF34" i="7" s="1"/>
  <c r="U957" i="6"/>
  <c r="I70" i="6" s="1"/>
  <c r="V71" i="7" s="1"/>
  <c r="U719" i="6"/>
  <c r="I53" i="6" s="1"/>
  <c r="V54" i="7" s="1"/>
  <c r="U501" i="6"/>
  <c r="N37" i="6" s="1"/>
  <c r="AA38" i="7" s="1"/>
  <c r="U545" i="6"/>
  <c r="P40" i="6" s="1"/>
  <c r="AC41" i="7" s="1"/>
  <c r="U777" i="6"/>
  <c r="S57" i="6" s="1"/>
  <c r="AF58" i="7" s="1"/>
  <c r="U581" i="6"/>
  <c r="S43" i="6" s="1"/>
  <c r="AF44" i="7" s="1"/>
  <c r="U520" i="6"/>
  <c r="F39" i="6" s="1"/>
  <c r="S40" i="7" s="1"/>
  <c r="U329" i="6"/>
  <c r="S25" i="6" s="1"/>
  <c r="AF26" i="7" s="1"/>
  <c r="U627" i="6"/>
  <c r="N46" i="6" s="1"/>
  <c r="AA47" i="7" s="1"/>
  <c r="K43" i="6"/>
  <c r="X44" i="7" s="1"/>
  <c r="R44" i="7"/>
  <c r="B44" i="7"/>
  <c r="M43" i="6"/>
  <c r="Z44" i="7" s="1"/>
  <c r="U613" i="6"/>
  <c r="N45" i="6" s="1"/>
  <c r="AA46" i="7" s="1"/>
  <c r="U897" i="6"/>
  <c r="R65" i="6" s="1"/>
  <c r="AE66" i="7" s="1"/>
  <c r="U558" i="6"/>
  <c r="O41" i="6" s="1"/>
  <c r="AB42" i="7" s="1"/>
  <c r="U357" i="6"/>
  <c r="S27" i="6" s="1"/>
  <c r="AF28" i="7" s="1"/>
  <c r="U315" i="6"/>
  <c r="S24" i="6" s="1"/>
  <c r="AF25" i="7" s="1"/>
  <c r="U381" i="6"/>
  <c r="G29" i="6" s="1"/>
  <c r="T30" i="7" s="1"/>
  <c r="U515" i="6"/>
  <c r="N38" i="6" s="1"/>
  <c r="AA39" i="7" s="1"/>
  <c r="B27" i="7"/>
  <c r="R27" i="7"/>
  <c r="H26" i="6"/>
  <c r="U27" i="7" s="1"/>
  <c r="R26" i="6"/>
  <c r="AE27" i="7" s="1"/>
  <c r="K26" i="6"/>
  <c r="X27" i="7" s="1"/>
  <c r="U411" i="6"/>
  <c r="I31" i="6" s="1"/>
  <c r="V32" i="7" s="1"/>
  <c r="U399" i="6"/>
  <c r="S30" i="6" s="1"/>
  <c r="AF31" i="7" s="1"/>
  <c r="G56" i="6"/>
  <c r="T57" i="7" s="1"/>
  <c r="F56" i="6"/>
  <c r="S57" i="7" s="1"/>
  <c r="M56" i="6"/>
  <c r="Z57" i="7" s="1"/>
  <c r="B57" i="7"/>
  <c r="R57" i="7"/>
  <c r="J56" i="6"/>
  <c r="W57" i="7" s="1"/>
  <c r="U799" i="6"/>
  <c r="R58" i="6" s="1"/>
  <c r="AE59" i="7" s="1"/>
  <c r="U1046" i="6"/>
  <c r="R32" i="6" s="1"/>
  <c r="AE33" i="7" s="1"/>
  <c r="U10" i="6"/>
  <c r="M2" i="6" s="1"/>
  <c r="Z3" i="7" s="1"/>
  <c r="BV3" i="7" s="1"/>
  <c r="U933" i="6"/>
  <c r="L68" i="6" s="1"/>
  <c r="Y69" i="7" s="1"/>
  <c r="U617" i="6"/>
  <c r="R45" i="6" s="1"/>
  <c r="AE46" i="7" s="1"/>
  <c r="U432" i="6"/>
  <c r="O32" i="6" s="1"/>
  <c r="AB33" i="7" s="1"/>
  <c r="U210" i="6"/>
  <c r="Q16" i="6" s="1"/>
  <c r="AD17" i="7" s="1"/>
  <c r="U447" i="6"/>
  <c r="P33" i="6" s="1"/>
  <c r="AC34" i="7" s="1"/>
  <c r="U241" i="6"/>
  <c r="G19" i="6" s="1"/>
  <c r="T20" i="7" s="1"/>
  <c r="U92" i="6"/>
  <c r="K8" i="6" s="1"/>
  <c r="X9" i="7" s="1"/>
  <c r="U595" i="6"/>
  <c r="S44" i="6" s="1"/>
  <c r="AF45" i="7" s="1"/>
  <c r="U814" i="6"/>
  <c r="U391" i="6"/>
  <c r="P29" i="6" s="1"/>
  <c r="AC30" i="7" s="1"/>
  <c r="U401" i="6"/>
  <c r="U585" i="6"/>
  <c r="N43" i="6" s="1"/>
  <c r="AA44" i="7" s="1"/>
  <c r="U509" i="6"/>
  <c r="U884" i="6"/>
  <c r="F65" i="6" s="1"/>
  <c r="S66" i="7" s="1"/>
  <c r="U120" i="6"/>
  <c r="K10" i="6" s="1"/>
  <c r="X11" i="7" s="1"/>
  <c r="U203" i="6"/>
  <c r="U941" i="6"/>
  <c r="G69" i="6" s="1"/>
  <c r="T70" i="7" s="1"/>
  <c r="U946" i="6"/>
  <c r="K69" i="6" s="1"/>
  <c r="X70" i="7" s="1"/>
  <c r="U539" i="6"/>
  <c r="S40" i="6" s="1"/>
  <c r="AF41" i="7" s="1"/>
  <c r="U670" i="6"/>
  <c r="O49" i="6" s="1"/>
  <c r="AB50" i="7" s="1"/>
  <c r="U755" i="6"/>
  <c r="U579" i="6"/>
  <c r="I43" i="6" s="1"/>
  <c r="V44" i="7" s="1"/>
  <c r="U740" i="6"/>
  <c r="N77" i="6" s="1"/>
  <c r="AA78" i="7" s="1"/>
  <c r="U899" i="6"/>
  <c r="G66" i="6" s="1"/>
  <c r="T67" i="7" s="1"/>
  <c r="U918" i="6"/>
  <c r="U541" i="6"/>
  <c r="L40" i="6" s="1"/>
  <c r="Y41" i="7" s="1"/>
  <c r="U761" i="6"/>
  <c r="I56" i="6" s="1"/>
  <c r="V57" i="7" s="1"/>
  <c r="U297" i="6"/>
  <c r="U202" i="6"/>
  <c r="U924" i="6"/>
  <c r="U865" i="6"/>
  <c r="U642" i="6"/>
  <c r="O47" i="6" s="1"/>
  <c r="AB48" i="7" s="1"/>
  <c r="U964" i="6"/>
  <c r="O70" i="6" s="1"/>
  <c r="AB71" i="7" s="1"/>
  <c r="U299" i="6"/>
  <c r="U588" i="6"/>
  <c r="Q43" i="6" s="1"/>
  <c r="AD44" i="7" s="1"/>
  <c r="U887" i="6"/>
  <c r="I65" i="6" s="1"/>
  <c r="V66" i="7" s="1"/>
  <c r="U350" i="6"/>
  <c r="J77" i="6" s="1"/>
  <c r="W78" i="7" s="1"/>
  <c r="U870" i="6"/>
  <c r="F64" i="6" s="1"/>
  <c r="S65" i="7" s="1"/>
  <c r="U808" i="6"/>
  <c r="M59" i="6" s="1"/>
  <c r="Z60" i="7" s="1"/>
  <c r="U1050" i="6"/>
  <c r="R10" i="6" s="1"/>
  <c r="AE11" i="7" s="1"/>
  <c r="U894" i="6"/>
  <c r="O65" i="6" s="1"/>
  <c r="AB66" i="7" s="1"/>
  <c r="G37" i="6"/>
  <c r="T38" i="7" s="1"/>
  <c r="I37" i="6"/>
  <c r="V38" i="7" s="1"/>
  <c r="L37" i="6"/>
  <c r="Y38" i="7" s="1"/>
  <c r="R38" i="7"/>
  <c r="B38" i="7"/>
  <c r="R37" i="6"/>
  <c r="AE38" i="7" s="1"/>
  <c r="K37" i="6"/>
  <c r="X38" i="7" s="1"/>
  <c r="Q37" i="6"/>
  <c r="AD38" i="7" s="1"/>
  <c r="H37" i="6"/>
  <c r="U38" i="7" s="1"/>
  <c r="U653" i="6"/>
  <c r="L48" i="6" s="1"/>
  <c r="Y49" i="7" s="1"/>
  <c r="U821" i="6"/>
  <c r="L60" i="6" s="1"/>
  <c r="Y61" i="7" s="1"/>
  <c r="U796" i="6"/>
  <c r="O58" i="6" s="1"/>
  <c r="AB59" i="7" s="1"/>
  <c r="U91" i="6"/>
  <c r="S8" i="6" s="1"/>
  <c r="AF9" i="7" s="1"/>
  <c r="U272" i="6"/>
  <c r="I77" i="6" s="1"/>
  <c r="V78" i="7" s="1"/>
  <c r="U227" i="6"/>
  <c r="G18" i="6" s="1"/>
  <c r="T19" i="7" s="1"/>
  <c r="U952" i="6"/>
  <c r="Q69" i="6" s="1"/>
  <c r="AD70" i="7" s="1"/>
  <c r="U224" i="6"/>
  <c r="Q17" i="6" s="1"/>
  <c r="AD18" i="7" s="1"/>
  <c r="U1006" i="6"/>
  <c r="O73" i="6" s="1"/>
  <c r="AB74" i="7" s="1"/>
  <c r="U1022" i="6"/>
  <c r="Q74" i="6" s="1"/>
  <c r="AD75" i="7" s="1"/>
  <c r="U868" i="6"/>
  <c r="U971" i="6"/>
  <c r="I71" i="6" s="1"/>
  <c r="V72" i="7" s="1"/>
  <c r="U757" i="6"/>
  <c r="R55" i="6" s="1"/>
  <c r="AE56" i="7" s="1"/>
  <c r="U9" i="6"/>
  <c r="L2" i="6" s="1"/>
  <c r="Y3" i="7" s="1"/>
  <c r="BU3" i="7" s="1"/>
  <c r="U134" i="6"/>
  <c r="K11" i="6" s="1"/>
  <c r="X12" i="7" s="1"/>
  <c r="U358" i="6"/>
  <c r="K27" i="6" s="1"/>
  <c r="X28" i="7" s="1"/>
  <c r="U142" i="6"/>
  <c r="G51" i="6" s="1"/>
  <c r="T52" i="7" s="1"/>
  <c r="U132" i="6"/>
  <c r="J11" i="6" s="1"/>
  <c r="W12" i="7" s="1"/>
  <c r="U58" i="6"/>
  <c r="F6" i="6" s="1"/>
  <c r="S7" i="7" s="1"/>
  <c r="U147" i="6"/>
  <c r="S12" i="6" s="1"/>
  <c r="AF13" i="7" s="1"/>
  <c r="U402" i="6"/>
  <c r="M30" i="6" s="1"/>
  <c r="Z31" i="7" s="1"/>
  <c r="U483" i="6"/>
  <c r="S36" i="6" s="1"/>
  <c r="AF37" i="7" s="1"/>
  <c r="U633" i="6"/>
  <c r="G47" i="6" s="1"/>
  <c r="T48" i="7" s="1"/>
  <c r="U482" i="6"/>
  <c r="J36" i="6" s="1"/>
  <c r="W37" i="7" s="1"/>
  <c r="U307" i="6"/>
  <c r="U996" i="6"/>
  <c r="F73" i="6" s="1"/>
  <c r="S74" i="7" s="1"/>
  <c r="U316" i="6"/>
  <c r="K24" i="6" s="1"/>
  <c r="X25" i="7" s="1"/>
  <c r="U628" i="6"/>
  <c r="O46" i="6" s="1"/>
  <c r="AB47" i="7" s="1"/>
  <c r="U987" i="6"/>
  <c r="S72" i="6" s="1"/>
  <c r="AF73" i="7" s="1"/>
  <c r="U765" i="6"/>
  <c r="L56" i="6" s="1"/>
  <c r="Y57" i="7" s="1"/>
  <c r="U194" i="6"/>
  <c r="H77" i="6" s="1"/>
  <c r="U78" i="7" s="1"/>
  <c r="U849" i="6"/>
  <c r="U687" i="6"/>
  <c r="R50" i="6" s="1"/>
  <c r="AE51" i="7" s="1"/>
  <c r="U71" i="6"/>
  <c r="R6" i="6" s="1"/>
  <c r="AE7" i="7" s="1"/>
  <c r="U903" i="6"/>
  <c r="S66" i="6" s="1"/>
  <c r="AF67" i="7" s="1"/>
  <c r="U819" i="6"/>
  <c r="S60" i="6" s="1"/>
  <c r="AF61" i="7" s="1"/>
  <c r="U15" i="6"/>
  <c r="R2" i="6" s="1"/>
  <c r="AE3" i="7" s="1"/>
  <c r="CA3" i="7" s="1"/>
  <c r="U1023" i="6"/>
  <c r="R74" i="6" s="1"/>
  <c r="AE75" i="7" s="1"/>
  <c r="U366" i="6"/>
  <c r="J28" i="6" s="1"/>
  <c r="W29" i="7" s="1"/>
  <c r="U75" i="6"/>
  <c r="I7" i="6" s="1"/>
  <c r="V8" i="7" s="1"/>
  <c r="U377" i="6"/>
  <c r="P28" i="6" s="1"/>
  <c r="AC29" i="7" s="1"/>
  <c r="U18" i="6"/>
  <c r="H3" i="6" s="1"/>
  <c r="U4" i="7" s="1"/>
  <c r="U372" i="6"/>
  <c r="K28" i="6" s="1"/>
  <c r="X29" i="7" s="1"/>
  <c r="U28" i="6"/>
  <c r="Q3" i="6" s="1"/>
  <c r="AD4" i="7" s="1"/>
  <c r="U240" i="6"/>
  <c r="F19" i="6" s="1"/>
  <c r="S20" i="7" s="1"/>
  <c r="U720" i="6"/>
  <c r="J53" i="6" s="1"/>
  <c r="W54" i="7" s="1"/>
  <c r="U243" i="6"/>
  <c r="I19" i="6" s="1"/>
  <c r="V20" i="7" s="1"/>
  <c r="O18" i="6"/>
  <c r="AB19" i="7" s="1"/>
  <c r="B19" i="7"/>
  <c r="J18" i="6"/>
  <c r="W19" i="7" s="1"/>
  <c r="P18" i="6"/>
  <c r="AC19" i="7" s="1"/>
  <c r="I18" i="6"/>
  <c r="V19" i="7" s="1"/>
  <c r="H18" i="6"/>
  <c r="U19" i="7" s="1"/>
  <c r="R19" i="7"/>
  <c r="L18" i="6"/>
  <c r="Y19" i="7" s="1"/>
  <c r="S18" i="6"/>
  <c r="AF19" i="7" s="1"/>
  <c r="U19" i="6"/>
  <c r="I3" i="6" s="1"/>
  <c r="V4" i="7" s="1"/>
  <c r="U587" i="6"/>
  <c r="P43" i="6" s="1"/>
  <c r="AC44" i="7" s="1"/>
  <c r="U68" i="6"/>
  <c r="O6" i="6" s="1"/>
  <c r="AB7" i="7" s="1"/>
  <c r="U798" i="6"/>
  <c r="Q58" i="6" s="1"/>
  <c r="AD59" i="7" s="1"/>
  <c r="U88" i="6"/>
  <c r="H8" i="6" s="1"/>
  <c r="U9" i="7" s="1"/>
  <c r="N62" i="6"/>
  <c r="AA63" i="7" s="1"/>
  <c r="Q62" i="6"/>
  <c r="AD63" i="7" s="1"/>
  <c r="O62" i="6"/>
  <c r="AB63" i="7" s="1"/>
  <c r="H62" i="6"/>
  <c r="U63" i="7" s="1"/>
  <c r="L62" i="6"/>
  <c r="Y63" i="7" s="1"/>
  <c r="S62" i="6"/>
  <c r="AF63" i="7" s="1"/>
  <c r="G62" i="6"/>
  <c r="T63" i="7" s="1"/>
  <c r="R63" i="7"/>
  <c r="I62" i="6"/>
  <c r="V63" i="7" s="1"/>
  <c r="B63" i="7"/>
  <c r="U1035" i="6"/>
  <c r="P75" i="6" s="1"/>
  <c r="AC76" i="7" s="1"/>
  <c r="U418" i="6"/>
  <c r="O31" i="6" s="1"/>
  <c r="AB32" i="7" s="1"/>
  <c r="I52" i="6"/>
  <c r="V53" i="7" s="1"/>
  <c r="O52" i="6"/>
  <c r="AB53" i="7" s="1"/>
  <c r="N52" i="6"/>
  <c r="AA53" i="7" s="1"/>
  <c r="R53" i="7"/>
  <c r="S52" i="6"/>
  <c r="AF53" i="7" s="1"/>
  <c r="F52" i="6"/>
  <c r="S53" i="7" s="1"/>
  <c r="B53" i="7"/>
  <c r="U590" i="6"/>
  <c r="F44" i="6" s="1"/>
  <c r="S45" i="7" s="1"/>
  <c r="U536" i="6"/>
  <c r="K68" i="6" s="1"/>
  <c r="X69" i="7" s="1"/>
  <c r="U471" i="6"/>
  <c r="L35" i="6" s="1"/>
  <c r="Y36" i="7" s="1"/>
  <c r="U634" i="6"/>
  <c r="H47" i="6" s="1"/>
  <c r="U48" i="7" s="1"/>
  <c r="U999" i="6"/>
  <c r="I73" i="6" s="1"/>
  <c r="V74" i="7" s="1"/>
  <c r="U713" i="6"/>
  <c r="P52" i="6" s="1"/>
  <c r="AC53" i="7" s="1"/>
  <c r="U301" i="6"/>
  <c r="S23" i="6" s="1"/>
  <c r="AF24" i="7" s="1"/>
  <c r="U554" i="6"/>
  <c r="K41" i="6" s="1"/>
  <c r="X42" i="7" s="1"/>
  <c r="U640" i="6"/>
  <c r="M47" i="6" s="1"/>
  <c r="Z48" i="7" s="1"/>
  <c r="U652" i="6"/>
  <c r="K48" i="6" s="1"/>
  <c r="X49" i="7" s="1"/>
  <c r="U448" i="6"/>
  <c r="S45" i="6" s="1"/>
  <c r="AF46" i="7" s="1"/>
  <c r="U738" i="6"/>
  <c r="M54" i="6" s="1"/>
  <c r="Z55" i="7" s="1"/>
  <c r="U69" i="6"/>
  <c r="P6" i="6" s="1"/>
  <c r="AC7" i="7" s="1"/>
  <c r="G76" i="6"/>
  <c r="T77" i="7" s="1"/>
  <c r="S76" i="6"/>
  <c r="AF77" i="7" s="1"/>
  <c r="B77" i="7"/>
  <c r="L76" i="6"/>
  <c r="Y77" i="7" s="1"/>
  <c r="P76" i="6"/>
  <c r="AC77" i="7" s="1"/>
  <c r="I76" i="6"/>
  <c r="V77" i="7" s="1"/>
  <c r="K76" i="6"/>
  <c r="X77" i="7" s="1"/>
  <c r="F76" i="6"/>
  <c r="S77" i="7" s="1"/>
  <c r="H76" i="6"/>
  <c r="U77" i="7" s="1"/>
  <c r="O76" i="6"/>
  <c r="AB77" i="7" s="1"/>
  <c r="R76" i="6"/>
  <c r="AE77" i="7" s="1"/>
  <c r="Q76" i="6"/>
  <c r="AD77" i="7" s="1"/>
  <c r="M76" i="6"/>
  <c r="Z77" i="7" s="1"/>
  <c r="R77" i="7"/>
  <c r="U304" i="6"/>
  <c r="M23" i="6" s="1"/>
  <c r="Z24" i="7" s="1"/>
  <c r="I44" i="6"/>
  <c r="V45" i="7" s="1"/>
  <c r="G44" i="6"/>
  <c r="T45" i="7" s="1"/>
  <c r="R45" i="7"/>
  <c r="Q44" i="6"/>
  <c r="AD45" i="7" s="1"/>
  <c r="B45" i="7"/>
  <c r="N44" i="6"/>
  <c r="AA45" i="7" s="1"/>
  <c r="U1020" i="6"/>
  <c r="O74" i="6" s="1"/>
  <c r="AB75" i="7" s="1"/>
  <c r="U48" i="6"/>
  <c r="J5" i="6" s="1"/>
  <c r="W6" i="7" s="1"/>
  <c r="M61" i="6"/>
  <c r="Z62" i="7" s="1"/>
  <c r="L61" i="6"/>
  <c r="Y62" i="7" s="1"/>
  <c r="I61" i="6"/>
  <c r="V62" i="7" s="1"/>
  <c r="N61" i="6"/>
  <c r="AA62" i="7" s="1"/>
  <c r="S61" i="6"/>
  <c r="AF62" i="7" s="1"/>
  <c r="K61" i="6"/>
  <c r="X62" i="7" s="1"/>
  <c r="O61" i="6"/>
  <c r="AB62" i="7" s="1"/>
  <c r="F61" i="6"/>
  <c r="S62" i="7" s="1"/>
  <c r="H61" i="6"/>
  <c r="U62" i="7" s="1"/>
  <c r="R62" i="7"/>
  <c r="B62" i="7"/>
  <c r="U727" i="6"/>
  <c r="P53" i="6" s="1"/>
  <c r="AC54" i="7" s="1"/>
  <c r="U415" i="6"/>
  <c r="L31" i="6" s="1"/>
  <c r="Y32" i="7" s="1"/>
  <c r="U343" i="6"/>
  <c r="S26" i="6" s="1"/>
  <c r="AF27" i="7" s="1"/>
  <c r="U458" i="6"/>
  <c r="M34" i="6" s="1"/>
  <c r="Z35" i="7" s="1"/>
  <c r="U43" i="6"/>
  <c r="R4" i="6" s="1"/>
  <c r="AE5" i="7" s="1"/>
  <c r="K71" i="6"/>
  <c r="X72" i="7" s="1"/>
  <c r="N71" i="6"/>
  <c r="AA72" i="7" s="1"/>
  <c r="G71" i="6"/>
  <c r="T72" i="7" s="1"/>
  <c r="R71" i="6"/>
  <c r="AE72" i="7" s="1"/>
  <c r="L71" i="6"/>
  <c r="Y72" i="7" s="1"/>
  <c r="J71" i="6"/>
  <c r="W72" i="7" s="1"/>
  <c r="O71" i="6"/>
  <c r="AB72" i="7" s="1"/>
  <c r="B72" i="7"/>
  <c r="P71" i="6"/>
  <c r="AC72" i="7" s="1"/>
  <c r="R72" i="7"/>
  <c r="U608" i="6"/>
  <c r="J45" i="6" s="1"/>
  <c r="W46" i="7" s="1"/>
  <c r="U451" i="6"/>
  <c r="G34" i="6" s="1"/>
  <c r="T35" i="7" s="1"/>
  <c r="U79" i="6"/>
  <c r="L7" i="6" s="1"/>
  <c r="Y8" i="7" s="1"/>
  <c r="U960" i="6"/>
  <c r="K70" i="6" s="1"/>
  <c r="X71" i="7" s="1"/>
  <c r="U1000" i="6"/>
  <c r="J73" i="6" s="1"/>
  <c r="W74" i="7" s="1"/>
  <c r="U993" i="6"/>
  <c r="P72" i="6" s="1"/>
  <c r="AC73" i="7" s="1"/>
  <c r="U60" i="6"/>
  <c r="H6" i="6" s="1"/>
  <c r="U7" i="7" s="1"/>
  <c r="U125" i="6"/>
  <c r="P10" i="6" s="1"/>
  <c r="AC11" i="7" s="1"/>
  <c r="U476" i="6"/>
  <c r="Q35" i="6" s="1"/>
  <c r="AD36" i="7" s="1"/>
  <c r="U805" i="6"/>
  <c r="S59" i="6" s="1"/>
  <c r="AF60" i="7" s="1"/>
  <c r="U651" i="6"/>
  <c r="S48" i="6" s="1"/>
  <c r="AF49" i="7" s="1"/>
  <c r="U140" i="6"/>
  <c r="Q11" i="6" s="1"/>
  <c r="AD12" i="7" s="1"/>
  <c r="U641" i="6"/>
  <c r="N47" i="6" s="1"/>
  <c r="AA48" i="7" s="1"/>
  <c r="U629" i="6"/>
  <c r="P46" i="6" s="1"/>
  <c r="AC47" i="7" s="1"/>
  <c r="U982" i="6"/>
  <c r="F72" i="6" s="1"/>
  <c r="S73" i="7" s="1"/>
  <c r="U820" i="6"/>
  <c r="K60" i="6" s="1"/>
  <c r="X61" i="7" s="1"/>
  <c r="U284" i="6"/>
  <c r="I11" i="6" s="1"/>
  <c r="V12" i="7" s="1"/>
  <c r="U80" i="6"/>
  <c r="M7" i="6" s="1"/>
  <c r="Z8" i="7" s="1"/>
  <c r="U601" i="6"/>
  <c r="P44" i="6" s="1"/>
  <c r="AC45" i="7" s="1"/>
  <c r="U449" i="6"/>
  <c r="R33" i="6" s="1"/>
  <c r="AE34" i="7" s="1"/>
  <c r="U163" i="6"/>
  <c r="L13" i="6" s="1"/>
  <c r="Y14" i="7" s="1"/>
  <c r="U976" i="6"/>
  <c r="M71" i="6" s="1"/>
  <c r="Z72" i="7" s="1"/>
  <c r="U637" i="6"/>
  <c r="S47" i="6" s="1"/>
  <c r="AF48" i="7" s="1"/>
  <c r="U436" i="6"/>
  <c r="F33" i="6" s="1"/>
  <c r="S34" i="7" s="1"/>
  <c r="U44" i="6"/>
  <c r="F5" i="6" s="1"/>
  <c r="S6" i="7" s="1"/>
  <c r="U285" i="6"/>
  <c r="I22" i="6" s="1"/>
  <c r="V23" i="7" s="1"/>
  <c r="U123" i="6"/>
  <c r="N10" i="6" s="1"/>
  <c r="AA11" i="7" s="1"/>
  <c r="U419" i="6"/>
  <c r="P31" i="6" s="1"/>
  <c r="AC32" i="7" s="1"/>
  <c r="U380" i="6"/>
  <c r="F29" i="6" s="1"/>
  <c r="S30" i="7" s="1"/>
  <c r="U70" i="6"/>
  <c r="Q6" i="6" s="1"/>
  <c r="AD7" i="7" s="1"/>
  <c r="S16" i="6"/>
  <c r="AF17" i="7" s="1"/>
  <c r="F16" i="6"/>
  <c r="S17" i="7" s="1"/>
  <c r="R17" i="7"/>
  <c r="H16" i="6"/>
  <c r="U17" i="7" s="1"/>
  <c r="I16" i="6"/>
  <c r="V17" i="7" s="1"/>
  <c r="J16" i="6"/>
  <c r="W17" i="7" s="1"/>
  <c r="L16" i="6"/>
  <c r="Y17" i="7" s="1"/>
  <c r="B17" i="7"/>
  <c r="U364" i="6"/>
  <c r="Q27" i="6" s="1"/>
  <c r="AD28" i="7" s="1"/>
  <c r="U108" i="6"/>
  <c r="M9" i="6" s="1"/>
  <c r="Z10" i="7" s="1"/>
  <c r="U560" i="6"/>
  <c r="Q41" i="6" s="1"/>
  <c r="AD42" i="7" s="1"/>
  <c r="U910" i="6"/>
  <c r="Q66" i="6" s="1"/>
  <c r="AD67" i="7" s="1"/>
  <c r="U1008" i="6"/>
  <c r="Q73" i="6" s="1"/>
  <c r="AD74" i="7" s="1"/>
  <c r="U722" i="6"/>
  <c r="K53" i="6" s="1"/>
  <c r="X54" i="7" s="1"/>
  <c r="U404" i="6"/>
  <c r="O30" i="6" s="1"/>
  <c r="AB31" i="7" s="1"/>
  <c r="U155" i="6"/>
  <c r="R12" i="6" s="1"/>
  <c r="AE13" i="7" s="1"/>
  <c r="U39" i="6"/>
  <c r="N4" i="6" s="1"/>
  <c r="AA5" i="7" s="1"/>
  <c r="U20" i="6"/>
  <c r="J3" i="6" s="1"/>
  <c r="W4" i="7" s="1"/>
  <c r="U206" i="6"/>
  <c r="M16" i="6" s="1"/>
  <c r="Z17" i="7" s="1"/>
  <c r="U779" i="6"/>
  <c r="L57" i="6" s="1"/>
  <c r="Y58" i="7" s="1"/>
  <c r="U105" i="6"/>
  <c r="S9" i="6" s="1"/>
  <c r="AF10" i="7" s="1"/>
  <c r="U664" i="6"/>
  <c r="J49" i="6" s="1"/>
  <c r="W50" i="7" s="1"/>
  <c r="U407" i="6"/>
  <c r="R30" i="6" s="1"/>
  <c r="AE31" i="7" s="1"/>
  <c r="U985" i="6"/>
  <c r="I72" i="6" s="1"/>
  <c r="V73" i="7" s="1"/>
  <c r="U234" i="6"/>
  <c r="M18" i="6" s="1"/>
  <c r="Z19" i="7" s="1"/>
  <c r="B33" i="7"/>
  <c r="R33" i="7"/>
  <c r="S32" i="6"/>
  <c r="AF33" i="7" s="1"/>
  <c r="L32" i="6"/>
  <c r="Y33" i="7" s="1"/>
  <c r="Q32" i="6"/>
  <c r="AD33" i="7" s="1"/>
  <c r="P32" i="6"/>
  <c r="AC33" i="7" s="1"/>
  <c r="U625" i="6"/>
  <c r="L46" i="6" s="1"/>
  <c r="Y47" i="7" s="1"/>
  <c r="U111" i="6"/>
  <c r="P9" i="6" s="1"/>
  <c r="AC10" i="7" s="1"/>
  <c r="U199" i="6"/>
  <c r="G16" i="6" s="1"/>
  <c r="T17" i="7" s="1"/>
  <c r="U872" i="6"/>
  <c r="H64" i="6" s="1"/>
  <c r="U65" i="7" s="1"/>
  <c r="P55" i="6"/>
  <c r="AC56" i="7" s="1"/>
  <c r="B56" i="7"/>
  <c r="R56" i="7"/>
  <c r="S55" i="6"/>
  <c r="AF56" i="7" s="1"/>
  <c r="N55" i="6"/>
  <c r="AA56" i="7" s="1"/>
  <c r="I55" i="6"/>
  <c r="V56" i="7" s="1"/>
  <c r="G55" i="6"/>
  <c r="T56" i="7" s="1"/>
  <c r="Q55" i="6"/>
  <c r="AD56" i="7" s="1"/>
  <c r="O55" i="6"/>
  <c r="AB56" i="7" s="1"/>
  <c r="U393" i="6"/>
  <c r="R29" i="6" s="1"/>
  <c r="AE30" i="7" s="1"/>
  <c r="U348" i="6"/>
  <c r="O26" i="6" s="1"/>
  <c r="AB27" i="7" s="1"/>
  <c r="U387" i="6"/>
  <c r="L29" i="6" s="1"/>
  <c r="Y30" i="7" s="1"/>
  <c r="U135" i="6"/>
  <c r="L11" i="6" s="1"/>
  <c r="Y12" i="7" s="1"/>
  <c r="U109" i="6"/>
  <c r="N9" i="6" s="1"/>
  <c r="AA10" i="7" s="1"/>
  <c r="U276" i="6"/>
  <c r="M21" i="6" s="1"/>
  <c r="Z22" i="7" s="1"/>
  <c r="B39" i="7"/>
  <c r="P38" i="6"/>
  <c r="AC39" i="7" s="1"/>
  <c r="F38" i="6"/>
  <c r="S39" i="7" s="1"/>
  <c r="L38" i="6"/>
  <c r="Y39" i="7" s="1"/>
  <c r="I38" i="6"/>
  <c r="V39" i="7" s="1"/>
  <c r="H38" i="6"/>
  <c r="U39" i="7" s="1"/>
  <c r="R39" i="7"/>
  <c r="K38" i="6"/>
  <c r="X39" i="7" s="1"/>
  <c r="J38" i="6"/>
  <c r="W39" i="7" s="1"/>
  <c r="U67" i="6"/>
  <c r="N6" i="6" s="1"/>
  <c r="AA7" i="7" s="1"/>
  <c r="U51" i="6"/>
  <c r="L5" i="6" s="1"/>
  <c r="Y6" i="7" s="1"/>
  <c r="U17" i="6"/>
  <c r="G3" i="6" s="1"/>
  <c r="T4" i="7" s="1"/>
  <c r="M14" i="6"/>
  <c r="Z15" i="7" s="1"/>
  <c r="H14" i="6"/>
  <c r="U15" i="7" s="1"/>
  <c r="G14" i="6"/>
  <c r="T15" i="7" s="1"/>
  <c r="R15" i="7"/>
  <c r="L14" i="6"/>
  <c r="Y15" i="7" s="1"/>
  <c r="K14" i="6"/>
  <c r="X15" i="7" s="1"/>
  <c r="B15" i="7"/>
  <c r="P14" i="6"/>
  <c r="AC15" i="7" s="1"/>
  <c r="J27" i="6"/>
  <c r="W28" i="7" s="1"/>
  <c r="H27" i="6"/>
  <c r="U28" i="7" s="1"/>
  <c r="I27" i="6"/>
  <c r="V28" i="7" s="1"/>
  <c r="O27" i="6"/>
  <c r="AB28" i="7" s="1"/>
  <c r="R28" i="7"/>
  <c r="M27" i="6"/>
  <c r="Z28" i="7" s="1"/>
  <c r="B28" i="7"/>
  <c r="G27" i="6"/>
  <c r="T28" i="7" s="1"/>
  <c r="U36" i="6"/>
  <c r="K4" i="6" s="1"/>
  <c r="X5" i="7" s="1"/>
  <c r="U6" i="6"/>
  <c r="J2" i="6" s="1"/>
  <c r="W3" i="7" s="1"/>
  <c r="BS3" i="7" s="1"/>
  <c r="U417" i="6"/>
  <c r="N31" i="6" s="1"/>
  <c r="AA32" i="7" s="1"/>
  <c r="U1042" i="6"/>
  <c r="J76" i="6" s="1"/>
  <c r="W77" i="7" s="1"/>
  <c r="U222" i="6"/>
  <c r="O17" i="6" s="1"/>
  <c r="AB18" i="7" s="1"/>
  <c r="U803" i="6"/>
  <c r="I59" i="6" s="1"/>
  <c r="V60" i="7" s="1"/>
  <c r="U30" i="6"/>
  <c r="F4" i="6" s="1"/>
  <c r="S5" i="7" s="1"/>
  <c r="U575" i="6"/>
  <c r="R42" i="6" s="1"/>
  <c r="AE43" i="7" s="1"/>
  <c r="U603" i="6"/>
  <c r="R44" i="6" s="1"/>
  <c r="AE45" i="7" s="1"/>
  <c r="U605" i="6"/>
  <c r="G45" i="6" s="1"/>
  <c r="T46" i="7" s="1"/>
  <c r="U876" i="6"/>
  <c r="K64" i="6" s="1"/>
  <c r="X65" i="7" s="1"/>
  <c r="U898" i="6"/>
  <c r="F66" i="6" s="1"/>
  <c r="S67" i="7" s="1"/>
  <c r="U557" i="6"/>
  <c r="N41" i="6" s="1"/>
  <c r="AA42" i="7" s="1"/>
  <c r="U226" i="6"/>
  <c r="F18" i="6" s="1"/>
  <c r="S19" i="7" s="1"/>
  <c r="G2" i="6"/>
  <c r="T3" i="7" s="1"/>
  <c r="BP3" i="7" s="1"/>
  <c r="R3" i="7"/>
  <c r="K2" i="6"/>
  <c r="X3" i="7" s="1"/>
  <c r="BT3" i="7" s="1"/>
  <c r="B3" i="7"/>
  <c r="U166" i="6"/>
  <c r="O13" i="6" s="1"/>
  <c r="AB14" i="7" s="1"/>
  <c r="U744" i="6"/>
  <c r="F55" i="6" s="1"/>
  <c r="S56" i="7" s="1"/>
  <c r="U309" i="6"/>
  <c r="R23" i="6" s="1"/>
  <c r="AE24" i="7" s="1"/>
  <c r="U14" i="6"/>
  <c r="Q2" i="6" s="1"/>
  <c r="AD3" i="7" s="1"/>
  <c r="BZ3" i="7" s="1"/>
  <c r="S35" i="6"/>
  <c r="AF36" i="7" s="1"/>
  <c r="K35" i="6"/>
  <c r="X36" i="7" s="1"/>
  <c r="I35" i="6"/>
  <c r="V36" i="7" s="1"/>
  <c r="R36" i="7"/>
  <c r="B36" i="7"/>
  <c r="M35" i="6"/>
  <c r="Z36" i="7" s="1"/>
  <c r="H35" i="6"/>
  <c r="U36" i="7" s="1"/>
  <c r="U410" i="6"/>
  <c r="H31" i="6" s="1"/>
  <c r="U32" i="7" s="1"/>
  <c r="U270" i="6"/>
  <c r="I10" i="6" s="1"/>
  <c r="V11" i="7" s="1"/>
  <c r="U47" i="6"/>
  <c r="I5" i="6" s="1"/>
  <c r="V6" i="7" s="1"/>
  <c r="U64" i="6"/>
  <c r="K6" i="6" s="1"/>
  <c r="X7" i="7" s="1"/>
  <c r="U983" i="6"/>
  <c r="G72" i="6" s="1"/>
  <c r="T73" i="7" s="1"/>
  <c r="U112" i="6"/>
  <c r="Q9" i="6" s="1"/>
  <c r="AD10" i="7" s="1"/>
  <c r="U970" i="6"/>
  <c r="H71" i="6" s="1"/>
  <c r="U72" i="7" s="1"/>
  <c r="U49" i="6"/>
  <c r="S5" i="6" s="1"/>
  <c r="AF6" i="7" s="1"/>
  <c r="U55" i="6"/>
  <c r="P5" i="6" s="1"/>
  <c r="AC6" i="7" s="1"/>
  <c r="U339" i="6"/>
  <c r="G26" i="6" s="1"/>
  <c r="T27" i="7" s="1"/>
  <c r="J67" i="6"/>
  <c r="W68" i="7" s="1"/>
  <c r="AM80" i="7" s="1"/>
  <c r="Q67" i="6"/>
  <c r="AD68" i="7" s="1"/>
  <c r="AT80" i="7" s="1"/>
  <c r="K67" i="6"/>
  <c r="X68" i="7" s="1"/>
  <c r="AN80" i="7" s="1"/>
  <c r="P67" i="6"/>
  <c r="AC68" i="7" s="1"/>
  <c r="AS80" i="7" s="1"/>
  <c r="R68" i="7"/>
  <c r="I67" i="6"/>
  <c r="V68" i="7" s="1"/>
  <c r="AL80" i="7" s="1"/>
  <c r="B68" i="7"/>
  <c r="L67" i="6"/>
  <c r="Y68" i="7" s="1"/>
  <c r="AO80" i="7" s="1"/>
  <c r="S67" i="6"/>
  <c r="AF68" i="7" s="1"/>
  <c r="AV80" i="7" s="1"/>
  <c r="G67" i="6"/>
  <c r="T68" i="7" s="1"/>
  <c r="AJ80" i="7" s="1"/>
  <c r="F67" i="6"/>
  <c r="S68" i="7" s="1"/>
  <c r="AI80" i="7" s="1"/>
  <c r="J75" i="6"/>
  <c r="W76" i="7" s="1"/>
  <c r="R75" i="6"/>
  <c r="AE76" i="7" s="1"/>
  <c r="B76" i="7"/>
  <c r="F75" i="6"/>
  <c r="S76" i="7" s="1"/>
  <c r="M75" i="6"/>
  <c r="Z76" i="7" s="1"/>
  <c r="R76" i="7"/>
  <c r="Q75" i="6"/>
  <c r="AD76" i="7" s="1"/>
  <c r="N75" i="6"/>
  <c r="AA76" i="7" s="1"/>
  <c r="K75" i="6"/>
  <c r="X76" i="7" s="1"/>
  <c r="H75" i="6"/>
  <c r="U76" i="7" s="1"/>
  <c r="G75" i="6"/>
  <c r="T76" i="7" s="1"/>
  <c r="B24" i="7"/>
  <c r="P23" i="6"/>
  <c r="AC24" i="7" s="1"/>
  <c r="L23" i="6"/>
  <c r="Y24" i="7" s="1"/>
  <c r="R24" i="7"/>
  <c r="G23" i="6"/>
  <c r="T24" i="7" s="1"/>
  <c r="H23" i="6"/>
  <c r="U24" i="7" s="1"/>
  <c r="I23" i="6"/>
  <c r="V24" i="7" s="1"/>
  <c r="U1016" i="6"/>
  <c r="K74" i="6" s="1"/>
  <c r="X75" i="7" s="1"/>
  <c r="G53" i="6"/>
  <c r="T54" i="7" s="1"/>
  <c r="F53" i="6"/>
  <c r="S54" i="7" s="1"/>
  <c r="R54" i="7"/>
  <c r="O53" i="6"/>
  <c r="AB54" i="7" s="1"/>
  <c r="R53" i="6"/>
  <c r="AE54" i="7" s="1"/>
  <c r="L53" i="6"/>
  <c r="Y54" i="7" s="1"/>
  <c r="Q53" i="6"/>
  <c r="AD54" i="7" s="1"/>
  <c r="H53" i="6"/>
  <c r="U54" i="7" s="1"/>
  <c r="B54" i="7"/>
  <c r="S53" i="6"/>
  <c r="AF54" i="7" s="1"/>
  <c r="U35" i="6"/>
  <c r="S4" i="6" s="1"/>
  <c r="AF5" i="7" s="1"/>
  <c r="U38" i="6"/>
  <c r="M4" i="6" s="1"/>
  <c r="Z5" i="7" s="1"/>
  <c r="U909" i="6"/>
  <c r="P66" i="6" s="1"/>
  <c r="AC67" i="7" s="1"/>
  <c r="U1031" i="6"/>
  <c r="L75" i="6" s="1"/>
  <c r="Y76" i="7" s="1"/>
  <c r="U809" i="6"/>
  <c r="N59" i="6" s="1"/>
  <c r="AA60" i="7" s="1"/>
  <c r="U812" i="6"/>
  <c r="Q59" i="6" s="1"/>
  <c r="AD60" i="7" s="1"/>
  <c r="U752" i="6"/>
  <c r="N50" i="6" s="1"/>
  <c r="AA51" i="7" s="1"/>
  <c r="U66" i="6"/>
  <c r="M6" i="6" s="1"/>
  <c r="Z7" i="7" s="1"/>
  <c r="U107" i="6"/>
  <c r="L9" i="6" s="1"/>
  <c r="Y10" i="7" s="1"/>
  <c r="U207" i="6"/>
  <c r="N16" i="6" s="1"/>
  <c r="AA17" i="7" s="1"/>
  <c r="U920" i="6"/>
  <c r="M67" i="6" s="1"/>
  <c r="Z68" i="7" s="1"/>
  <c r="AP80" i="7" s="1"/>
  <c r="U751" i="6"/>
  <c r="L55" i="6" s="1"/>
  <c r="Y56" i="7" s="1"/>
  <c r="U170" i="6"/>
  <c r="F14" i="6" s="1"/>
  <c r="S15" i="7" s="1"/>
  <c r="U618" i="6"/>
  <c r="F46" i="6" s="1"/>
  <c r="S47" i="7" s="1"/>
  <c r="U781" i="6"/>
  <c r="N57" i="6" s="1"/>
  <c r="AA58" i="7" s="1"/>
  <c r="U914" i="6"/>
  <c r="P56" i="6" s="1"/>
  <c r="AC57" i="7" s="1"/>
  <c r="U904" i="6"/>
  <c r="K66" i="6" s="1"/>
  <c r="X67" i="7" s="1"/>
  <c r="U11" i="6"/>
  <c r="N2" i="6" s="1"/>
  <c r="AA3" i="7" s="1"/>
  <c r="BW3" i="7" s="1"/>
  <c r="U116" i="6"/>
  <c r="H10" i="6" s="1"/>
  <c r="U11" i="7" s="1"/>
  <c r="U12" i="6"/>
  <c r="O2" i="6" s="1"/>
  <c r="AB3" i="7" s="1"/>
  <c r="BX3" i="7" s="1"/>
  <c r="U445" i="6"/>
  <c r="N33" i="6" s="1"/>
  <c r="AA34" i="7" s="1"/>
  <c r="U61" i="6"/>
  <c r="I6" i="6" s="1"/>
  <c r="V7" i="7" s="1"/>
  <c r="U247" i="6"/>
  <c r="L19" i="6" s="1"/>
  <c r="Y20" i="7" s="1"/>
  <c r="U839" i="6"/>
  <c r="P61" i="6" s="1"/>
  <c r="AC62" i="7" s="1"/>
  <c r="U487" i="6"/>
  <c r="N36" i="6" s="1"/>
  <c r="AA37" i="7" s="1"/>
  <c r="U174" i="6"/>
  <c r="J14" i="6" s="1"/>
  <c r="W15" i="7" s="1"/>
  <c r="U500" i="6"/>
  <c r="K32" i="6" s="1"/>
  <c r="X33" i="7" s="1"/>
  <c r="Q60" i="6"/>
  <c r="AD61" i="7" s="1"/>
  <c r="P60" i="6"/>
  <c r="AC61" i="7" s="1"/>
  <c r="G60" i="6"/>
  <c r="T61" i="7" s="1"/>
  <c r="J60" i="6"/>
  <c r="W61" i="7" s="1"/>
  <c r="B61" i="7"/>
  <c r="R61" i="7"/>
  <c r="F60" i="6"/>
  <c r="S61" i="7" s="1"/>
  <c r="U352" i="6"/>
  <c r="F27" i="6" s="1"/>
  <c r="S28" i="7" s="1"/>
  <c r="U661" i="6"/>
  <c r="G49" i="6" s="1"/>
  <c r="T50" i="7" s="1"/>
  <c r="B21" i="7"/>
  <c r="J20" i="6"/>
  <c r="W21" i="7" s="1"/>
  <c r="P20" i="6"/>
  <c r="AC21" i="7" s="1"/>
  <c r="O20" i="6"/>
  <c r="AB21" i="7" s="1"/>
  <c r="H20" i="6"/>
  <c r="U21" i="7" s="1"/>
  <c r="L20" i="6"/>
  <c r="Y21" i="7" s="1"/>
  <c r="R21" i="7"/>
  <c r="M20" i="6"/>
  <c r="Z21" i="7" s="1"/>
  <c r="S20" i="6"/>
  <c r="AF21" i="7" s="1"/>
  <c r="U57" i="6"/>
  <c r="R5" i="6" s="1"/>
  <c r="AE6" i="7" s="1"/>
  <c r="U648" i="6"/>
  <c r="H48" i="6" s="1"/>
  <c r="U49" i="7" s="1"/>
  <c r="U538" i="6"/>
  <c r="J40" i="6" s="1"/>
  <c r="W41" i="7" s="1"/>
  <c r="U465" i="6"/>
  <c r="G35" i="6" s="1"/>
  <c r="T36" i="7" s="1"/>
  <c r="U990" i="6"/>
  <c r="Q28" i="6" s="1"/>
  <c r="AD29" i="7" s="1"/>
  <c r="U159" i="6"/>
  <c r="I13" i="6" s="1"/>
  <c r="V14" i="7" s="1"/>
  <c r="U662" i="6"/>
  <c r="M77" i="6" s="1"/>
  <c r="Z78" i="7" s="1"/>
  <c r="U592" i="6"/>
  <c r="L72" i="6" s="1"/>
  <c r="Y73" i="7" s="1"/>
  <c r="U624" i="6"/>
  <c r="K46" i="6" s="1"/>
  <c r="X47" i="7" s="1"/>
  <c r="U318" i="6"/>
  <c r="M24" i="6" s="1"/>
  <c r="Z25" i="7" s="1"/>
  <c r="U41" i="6"/>
  <c r="P4" i="6" s="1"/>
  <c r="AC5" i="7" s="1"/>
  <c r="U94" i="6"/>
  <c r="M8" i="6" s="1"/>
  <c r="Z9" i="7" s="1"/>
  <c r="U542" i="6"/>
  <c r="M40" i="6" s="1"/>
  <c r="Z41" i="7" s="1"/>
  <c r="U165" i="6"/>
  <c r="N13" i="6" s="1"/>
  <c r="AA14" i="7" s="1"/>
  <c r="U896" i="6"/>
  <c r="P77" i="6" s="1"/>
  <c r="AC78" i="7" s="1"/>
  <c r="U550" i="6"/>
  <c r="L30" i="6" s="1"/>
  <c r="Y31" i="7" s="1"/>
  <c r="U514" i="6"/>
  <c r="M38" i="6" s="1"/>
  <c r="Z39" i="7" s="1"/>
  <c r="U832" i="6"/>
  <c r="J61" i="6" s="1"/>
  <c r="W62" i="7" s="1"/>
  <c r="U118" i="6"/>
  <c r="J10" i="6" s="1"/>
  <c r="W11" i="7" s="1"/>
  <c r="U709" i="6"/>
  <c r="L52" i="6" s="1"/>
  <c r="Y53" i="7" s="1"/>
  <c r="U124" i="6"/>
  <c r="O10" i="6" s="1"/>
  <c r="AB11" i="7" s="1"/>
  <c r="U492" i="6"/>
  <c r="F37" i="6" s="1"/>
  <c r="S38" i="7" s="1"/>
  <c r="U72" i="6"/>
  <c r="F7" i="6" s="1"/>
  <c r="S8" i="7" s="1"/>
  <c r="U477" i="6"/>
  <c r="R35" i="6" s="1"/>
  <c r="AE36" i="7" s="1"/>
  <c r="U425" i="6"/>
  <c r="I32" i="6" s="1"/>
  <c r="V33" i="7" s="1"/>
  <c r="U190" i="6"/>
  <c r="K15" i="6" s="1"/>
  <c r="X16" i="7" s="1"/>
  <c r="U426" i="6"/>
  <c r="J32" i="6" s="1"/>
  <c r="W33" i="7" s="1"/>
  <c r="U167" i="6"/>
  <c r="P13" i="6" s="1"/>
  <c r="AC14" i="7" s="1"/>
  <c r="U204" i="6"/>
  <c r="K16" i="6" s="1"/>
  <c r="X17" i="7" s="1"/>
  <c r="B14" i="7"/>
  <c r="K13" i="6"/>
  <c r="X14" i="7" s="1"/>
  <c r="R14" i="7"/>
  <c r="J13" i="6"/>
  <c r="W14" i="7" s="1"/>
  <c r="S13" i="6"/>
  <c r="AF14" i="7" s="1"/>
  <c r="U305" i="6"/>
  <c r="N23" i="6" s="1"/>
  <c r="AA24" i="7" s="1"/>
  <c r="U958" i="6"/>
  <c r="J70" i="6" s="1"/>
  <c r="W71" i="7" s="1"/>
  <c r="U368" i="6"/>
  <c r="H28" i="6" s="1"/>
  <c r="U29" i="7" s="1"/>
  <c r="U119" i="6"/>
  <c r="S10" i="6" s="1"/>
  <c r="AF11" i="7" s="1"/>
  <c r="U574" i="6"/>
  <c r="Q42" i="6" s="1"/>
  <c r="AD43" i="7" s="1"/>
  <c r="U312" i="6"/>
  <c r="H24" i="6" s="1"/>
  <c r="U25" i="7" s="1"/>
  <c r="U785" i="6"/>
  <c r="R57" i="6" s="1"/>
  <c r="AE58" i="7" s="1"/>
  <c r="U645" i="6"/>
  <c r="R47" i="6" s="1"/>
  <c r="AE48" i="7" s="1"/>
  <c r="U302" i="6"/>
  <c r="I68" i="6" s="1"/>
  <c r="V69" i="7" s="1"/>
  <c r="U406" i="6"/>
  <c r="Q30" i="6" s="1"/>
  <c r="AD31" i="7" s="1"/>
  <c r="U980" i="6"/>
  <c r="Q71" i="6" s="1"/>
  <c r="AD72" i="7" s="1"/>
  <c r="U607" i="6"/>
  <c r="I45" i="6" s="1"/>
  <c r="V46" i="7" s="1"/>
  <c r="U561" i="6"/>
  <c r="R41" i="6" s="1"/>
  <c r="AE42" i="7" s="1"/>
  <c r="U281" i="6"/>
  <c r="R21" i="6" s="1"/>
  <c r="AE22" i="7" s="1"/>
  <c r="B42" i="7"/>
  <c r="L41" i="6"/>
  <c r="Y42" i="7" s="1"/>
  <c r="F41" i="6"/>
  <c r="S42" i="7" s="1"/>
  <c r="R42" i="7"/>
  <c r="G41" i="6"/>
  <c r="T42" i="7" s="1"/>
  <c r="U331" i="6"/>
  <c r="L25" i="6" s="1"/>
  <c r="Y26" i="7" s="1"/>
  <c r="U455" i="6"/>
  <c r="S34" i="6" s="1"/>
  <c r="AF35" i="7" s="1"/>
  <c r="U496" i="6"/>
  <c r="J37" i="6" s="1"/>
  <c r="W38" i="7" s="1"/>
  <c r="U144" i="6"/>
  <c r="H12" i="6" s="1"/>
  <c r="U13" i="7" s="1"/>
  <c r="U525" i="6"/>
  <c r="S39" i="6" s="1"/>
  <c r="AF40" i="7" s="1"/>
  <c r="U40" i="6"/>
  <c r="O4" i="6" s="1"/>
  <c r="AB5" i="7" s="1"/>
  <c r="U278" i="6"/>
  <c r="O21" i="6" s="1"/>
  <c r="AB22" i="7" s="1"/>
  <c r="U22" i="6"/>
  <c r="K3" i="6" s="1"/>
  <c r="X4" i="7" s="1"/>
  <c r="U850" i="6"/>
  <c r="M62" i="6" s="1"/>
  <c r="Z63" i="7" s="1"/>
  <c r="U289" i="6"/>
  <c r="L22" i="6" s="1"/>
  <c r="Y23" i="7" s="1"/>
  <c r="U596" i="6"/>
  <c r="K44" i="6" s="1"/>
  <c r="X45" i="7" s="1"/>
  <c r="U443" i="6"/>
  <c r="L33" i="6" s="1"/>
  <c r="Y34" i="7" s="1"/>
  <c r="U175" i="6"/>
  <c r="S14" i="6" s="1"/>
  <c r="AF15" i="7" s="1"/>
  <c r="U507" i="6"/>
  <c r="G38" i="6" s="1"/>
  <c r="T39" i="7" s="1"/>
  <c r="U361" i="6"/>
  <c r="N27" i="6" s="1"/>
  <c r="AA28" i="7" s="1"/>
  <c r="U34" i="6"/>
  <c r="J4" i="6" s="1"/>
  <c r="W5" i="7" s="1"/>
  <c r="U179" i="6"/>
  <c r="N14" i="6" s="1"/>
  <c r="AA15" i="7" s="1"/>
  <c r="U250" i="6"/>
  <c r="I42" i="6" s="1"/>
  <c r="V43" i="7" s="1"/>
  <c r="B64" i="7"/>
  <c r="L63" i="6"/>
  <c r="Y64" i="7" s="1"/>
  <c r="H63" i="6"/>
  <c r="U64" i="7" s="1"/>
  <c r="I63" i="6"/>
  <c r="V64" i="7" s="1"/>
  <c r="G63" i="6"/>
  <c r="T64" i="7" s="1"/>
  <c r="Q63" i="6"/>
  <c r="AD64" i="7" s="1"/>
  <c r="R64" i="7"/>
  <c r="J63" i="6"/>
  <c r="W64" i="7" s="1"/>
  <c r="K63" i="6"/>
  <c r="X64" i="7" s="1"/>
  <c r="S63" i="6"/>
  <c r="AF64" i="7" s="1"/>
  <c r="O63" i="6"/>
  <c r="AB64" i="7" s="1"/>
  <c r="F63" i="6"/>
  <c r="S64" i="7" s="1"/>
  <c r="N63" i="6"/>
  <c r="AA64" i="7" s="1"/>
  <c r="U239" i="6"/>
  <c r="R18" i="6" s="1"/>
  <c r="AE19" i="7" s="1"/>
  <c r="U84" i="6"/>
  <c r="Q7" i="6" s="1"/>
  <c r="AD8" i="7" s="1"/>
  <c r="H41" i="6" l="1"/>
  <c r="U42" i="7" s="1"/>
  <c r="M51" i="6"/>
  <c r="Z52" i="7" s="1"/>
  <c r="BV52" i="7" s="1"/>
  <c r="BO40" i="7"/>
  <c r="AY40" i="7"/>
  <c r="AI40" i="7"/>
  <c r="BW50" i="7"/>
  <c r="AQ50" i="7"/>
  <c r="BG50" i="7"/>
  <c r="CA70" i="7"/>
  <c r="AU70" i="7"/>
  <c r="BK70" i="7"/>
  <c r="AM26" i="7"/>
  <c r="BS26" i="7"/>
  <c r="BC26" i="7"/>
  <c r="BO15" i="7"/>
  <c r="AY15" i="7"/>
  <c r="AY19" i="7"/>
  <c r="BO19" i="7"/>
  <c r="AI19" i="7"/>
  <c r="BL34" i="7"/>
  <c r="AV34" i="7"/>
  <c r="CB34" i="7"/>
  <c r="BO50" i="7"/>
  <c r="AY50" i="7"/>
  <c r="AI50" i="7"/>
  <c r="BX49" i="7"/>
  <c r="BH49" i="7"/>
  <c r="AR49" i="7"/>
  <c r="BC40" i="7"/>
  <c r="AM40" i="7"/>
  <c r="BS40" i="7"/>
  <c r="BD35" i="7"/>
  <c r="AN35" i="7"/>
  <c r="BT35" i="7"/>
  <c r="BL32" i="7"/>
  <c r="AV32" i="7"/>
  <c r="CB32" i="7"/>
  <c r="AS70" i="7"/>
  <c r="BY70" i="7"/>
  <c r="BI70" i="7"/>
  <c r="BO60" i="7"/>
  <c r="AI60" i="7"/>
  <c r="AY60" i="7"/>
  <c r="BQ16" i="7"/>
  <c r="BA16" i="7"/>
  <c r="AK16" i="7"/>
  <c r="AT37" i="7"/>
  <c r="BZ37" i="7"/>
  <c r="BJ37" i="7"/>
  <c r="BV16" i="7"/>
  <c r="AP16" i="7"/>
  <c r="BF16" i="7"/>
  <c r="CA19" i="7"/>
  <c r="AU19" i="7"/>
  <c r="BK19" i="7"/>
  <c r="AV64" i="7"/>
  <c r="CB64" i="7"/>
  <c r="BL64" i="7"/>
  <c r="AT64" i="7"/>
  <c r="BJ64" i="7"/>
  <c r="BZ64" i="7"/>
  <c r="BU64" i="7"/>
  <c r="AO64" i="7"/>
  <c r="BE64" i="7"/>
  <c r="AZ39" i="7"/>
  <c r="BP39" i="7"/>
  <c r="AJ39" i="7"/>
  <c r="AO23" i="7"/>
  <c r="BE23" i="7"/>
  <c r="BU23" i="7"/>
  <c r="BA13" i="7"/>
  <c r="BQ13" i="7"/>
  <c r="AV35" i="7"/>
  <c r="CB35" i="7"/>
  <c r="BL35" i="7"/>
  <c r="BO42" i="7"/>
  <c r="AI42" i="7"/>
  <c r="AY42" i="7"/>
  <c r="AL46" i="7"/>
  <c r="BB46" i="7"/>
  <c r="BR46" i="7"/>
  <c r="BJ31" i="7"/>
  <c r="AT31" i="7"/>
  <c r="BZ31" i="7"/>
  <c r="BK48" i="7"/>
  <c r="AU48" i="7"/>
  <c r="CA48" i="7"/>
  <c r="BQ25" i="7"/>
  <c r="BA25" i="7"/>
  <c r="AK25" i="7"/>
  <c r="BL11" i="7"/>
  <c r="CB11" i="7"/>
  <c r="BS71" i="7"/>
  <c r="BC71" i="7"/>
  <c r="AM71" i="7"/>
  <c r="BW14" i="7"/>
  <c r="BG14" i="7"/>
  <c r="BC14" i="7"/>
  <c r="BS14" i="7"/>
  <c r="BD14" i="7"/>
  <c r="BT14" i="7"/>
  <c r="BT17" i="7"/>
  <c r="AN17" i="7"/>
  <c r="BD17" i="7"/>
  <c r="BC33" i="7"/>
  <c r="BS33" i="7"/>
  <c r="AM33" i="7"/>
  <c r="BR33" i="7"/>
  <c r="BB33" i="7"/>
  <c r="AL33" i="7"/>
  <c r="AY8" i="7"/>
  <c r="BO8" i="7"/>
  <c r="BX11" i="7"/>
  <c r="BH11" i="7"/>
  <c r="BC11" i="7"/>
  <c r="BS11" i="7"/>
  <c r="AP39" i="7"/>
  <c r="BV39" i="7"/>
  <c r="BY78" i="7"/>
  <c r="BI78" i="7"/>
  <c r="AS78" i="7"/>
  <c r="BI79" i="7"/>
  <c r="AP41" i="7"/>
  <c r="BF41" i="7"/>
  <c r="BV41" i="7"/>
  <c r="BY5" i="7"/>
  <c r="BI5" i="7"/>
  <c r="BD47" i="7"/>
  <c r="BT47" i="7"/>
  <c r="AN47" i="7"/>
  <c r="BF79" i="7"/>
  <c r="AP78" i="7"/>
  <c r="BF78" i="7"/>
  <c r="BV78" i="7"/>
  <c r="BJ29" i="7"/>
  <c r="BZ29" i="7"/>
  <c r="AT29" i="7"/>
  <c r="BC41" i="7"/>
  <c r="BS41" i="7"/>
  <c r="AM41" i="7"/>
  <c r="CA6" i="7"/>
  <c r="BK6" i="7"/>
  <c r="BF21" i="7"/>
  <c r="AP21" i="7"/>
  <c r="BV21" i="7"/>
  <c r="BU21" i="7"/>
  <c r="BE21" i="7"/>
  <c r="AO21" i="7"/>
  <c r="AR21" i="7"/>
  <c r="BX21" i="7"/>
  <c r="BC21" i="7"/>
  <c r="BS21" i="7"/>
  <c r="AM21" i="7"/>
  <c r="BP50" i="7"/>
  <c r="AZ50" i="7"/>
  <c r="AJ50" i="7"/>
  <c r="AY61" i="7"/>
  <c r="AI61" i="7"/>
  <c r="BO61" i="7"/>
  <c r="AJ61" i="7"/>
  <c r="BP61" i="7"/>
  <c r="AZ61" i="7"/>
  <c r="BZ61" i="7"/>
  <c r="AT61" i="7"/>
  <c r="BJ61" i="7"/>
  <c r="BS15" i="7"/>
  <c r="AM15" i="7"/>
  <c r="BC15" i="7"/>
  <c r="BY62" i="7"/>
  <c r="AS62" i="7"/>
  <c r="BI62" i="7"/>
  <c r="BR7" i="7"/>
  <c r="BB7" i="7"/>
  <c r="AS57" i="7"/>
  <c r="BI57" i="7"/>
  <c r="BY57" i="7"/>
  <c r="BO47" i="7"/>
  <c r="AI47" i="7"/>
  <c r="BE56" i="7"/>
  <c r="AO56" i="7"/>
  <c r="BU56" i="7"/>
  <c r="AQ17" i="7"/>
  <c r="BW17" i="7"/>
  <c r="BG17" i="7"/>
  <c r="BF7" i="7"/>
  <c r="BV7" i="7"/>
  <c r="AT60" i="7"/>
  <c r="BJ60" i="7"/>
  <c r="BZ60" i="7"/>
  <c r="AO76" i="7"/>
  <c r="BE76" i="7"/>
  <c r="BU76" i="7"/>
  <c r="BV5" i="7"/>
  <c r="BF5" i="7"/>
  <c r="AV54" i="7"/>
  <c r="BL54" i="7"/>
  <c r="CB54" i="7"/>
  <c r="BQ54" i="7"/>
  <c r="BA54" i="7"/>
  <c r="AK54" i="7"/>
  <c r="BU54" i="7"/>
  <c r="AO54" i="7"/>
  <c r="BE54" i="7"/>
  <c r="BX54" i="7"/>
  <c r="BH54" i="7"/>
  <c r="AR54" i="7"/>
  <c r="AY54" i="7"/>
  <c r="BO54" i="7"/>
  <c r="AI54" i="7"/>
  <c r="BD75" i="7"/>
  <c r="AN75" i="7"/>
  <c r="BT75" i="7"/>
  <c r="BB24" i="7"/>
  <c r="BR24" i="7"/>
  <c r="AL24" i="7"/>
  <c r="AJ24" i="7"/>
  <c r="AZ24" i="7"/>
  <c r="BP24" i="7"/>
  <c r="AO24" i="7"/>
  <c r="BE24" i="7"/>
  <c r="BU24" i="7"/>
  <c r="BQ76" i="7"/>
  <c r="AK76" i="7"/>
  <c r="BA76" i="7"/>
  <c r="AQ76" i="7"/>
  <c r="BW76" i="7"/>
  <c r="BG76" i="7"/>
  <c r="BN76" i="7"/>
  <c r="AX76" i="7"/>
  <c r="AH76" i="7"/>
  <c r="AY76" i="7"/>
  <c r="BO76" i="7"/>
  <c r="AI76" i="7"/>
  <c r="AU76" i="7"/>
  <c r="CA76" i="7"/>
  <c r="BK76" i="7"/>
  <c r="H67" i="6"/>
  <c r="U68" i="7" s="1"/>
  <c r="AK80" i="7" s="1"/>
  <c r="BP68" i="7"/>
  <c r="AZ68" i="7"/>
  <c r="AJ68" i="7"/>
  <c r="AO68" i="7"/>
  <c r="BU68" i="7"/>
  <c r="BE68" i="7"/>
  <c r="BR68" i="7"/>
  <c r="BB68" i="7"/>
  <c r="AL68" i="7"/>
  <c r="AS68" i="7"/>
  <c r="BI68" i="7"/>
  <c r="BY68" i="7"/>
  <c r="BJ68" i="7"/>
  <c r="BZ68" i="7"/>
  <c r="AT68" i="7"/>
  <c r="AZ27" i="7"/>
  <c r="AJ27" i="7"/>
  <c r="BP27" i="7"/>
  <c r="BL6" i="7"/>
  <c r="CB6" i="7"/>
  <c r="BJ10" i="7"/>
  <c r="BZ10" i="7"/>
  <c r="BD7" i="7"/>
  <c r="BT7" i="7"/>
  <c r="BR11" i="7"/>
  <c r="BB11" i="7"/>
  <c r="BQ36" i="7"/>
  <c r="AK36" i="7"/>
  <c r="BA36" i="7"/>
  <c r="AL36" i="7"/>
  <c r="BB36" i="7"/>
  <c r="BR36" i="7"/>
  <c r="BL36" i="7"/>
  <c r="AV36" i="7"/>
  <c r="CB36" i="7"/>
  <c r="AU24" i="7"/>
  <c r="CA24" i="7"/>
  <c r="BK24" i="7"/>
  <c r="BH14" i="7"/>
  <c r="BX14" i="7"/>
  <c r="AQ42" i="7"/>
  <c r="BW42" i="7"/>
  <c r="BG42" i="7"/>
  <c r="AN65" i="7"/>
  <c r="BT65" i="7"/>
  <c r="BD65" i="7"/>
  <c r="CA45" i="7"/>
  <c r="AU45" i="7"/>
  <c r="BK45" i="7"/>
  <c r="BO5" i="7"/>
  <c r="AY5" i="7"/>
  <c r="AR18" i="7"/>
  <c r="BX18" i="7"/>
  <c r="BH18" i="7"/>
  <c r="AQ32" i="7"/>
  <c r="BG32" i="7"/>
  <c r="BW32" i="7"/>
  <c r="BD5" i="7"/>
  <c r="BT5" i="7"/>
  <c r="AH28" i="7"/>
  <c r="BN28" i="7"/>
  <c r="AX28" i="7"/>
  <c r="AL28" i="7"/>
  <c r="BR28" i="7"/>
  <c r="BB28" i="7"/>
  <c r="BC28" i="7"/>
  <c r="BS28" i="7"/>
  <c r="AM28" i="7"/>
  <c r="BE15" i="7"/>
  <c r="AO15" i="7"/>
  <c r="BU15" i="7"/>
  <c r="AJ15" i="7"/>
  <c r="AZ15" i="7"/>
  <c r="BP15" i="7"/>
  <c r="AP15" i="7"/>
  <c r="BV15" i="7"/>
  <c r="BF15" i="7"/>
  <c r="BP4" i="7"/>
  <c r="AZ4" i="7"/>
  <c r="BW7" i="7"/>
  <c r="BG7" i="7"/>
  <c r="BT39" i="7"/>
  <c r="BD39" i="7"/>
  <c r="BQ39" i="7"/>
  <c r="AK39" i="7"/>
  <c r="BA39" i="7"/>
  <c r="BE39" i="7"/>
  <c r="BU39" i="7"/>
  <c r="AO39" i="7"/>
  <c r="AS39" i="7"/>
  <c r="BY39" i="7"/>
  <c r="BI39" i="7"/>
  <c r="AP22" i="7"/>
  <c r="BV22" i="7"/>
  <c r="BF22" i="7"/>
  <c r="BE12" i="7"/>
  <c r="BU12" i="7"/>
  <c r="AR27" i="7"/>
  <c r="BH27" i="7"/>
  <c r="BX27" i="7"/>
  <c r="M55" i="6"/>
  <c r="Z56" i="7" s="1"/>
  <c r="BF57" i="7" s="1"/>
  <c r="BZ56" i="7"/>
  <c r="AT56" i="7"/>
  <c r="BJ56" i="7"/>
  <c r="BB56" i="7"/>
  <c r="BR56" i="7"/>
  <c r="AL56" i="7"/>
  <c r="AV56" i="7"/>
  <c r="BL56" i="7"/>
  <c r="CB56" i="7"/>
  <c r="BQ65" i="7"/>
  <c r="AK65" i="7"/>
  <c r="BA65" i="7"/>
  <c r="BY10" i="7"/>
  <c r="BI10" i="7"/>
  <c r="BI33" i="7"/>
  <c r="BY33" i="7"/>
  <c r="AS33" i="7"/>
  <c r="BE33" i="7"/>
  <c r="BU33" i="7"/>
  <c r="AO33" i="7"/>
  <c r="BN33" i="7"/>
  <c r="AH33" i="7"/>
  <c r="AX33" i="7"/>
  <c r="BV19" i="7"/>
  <c r="BF19" i="7"/>
  <c r="AP19" i="7"/>
  <c r="AU31" i="7"/>
  <c r="CA31" i="7"/>
  <c r="BK31" i="7"/>
  <c r="BL10" i="7"/>
  <c r="CB10" i="7"/>
  <c r="BV17" i="7"/>
  <c r="AP17" i="7"/>
  <c r="BF17" i="7"/>
  <c r="BW5" i="7"/>
  <c r="BG5" i="7"/>
  <c r="AR31" i="7"/>
  <c r="BH31" i="7"/>
  <c r="BX31" i="7"/>
  <c r="AT74" i="7"/>
  <c r="BZ74" i="7"/>
  <c r="BJ74" i="7"/>
  <c r="BZ42" i="7"/>
  <c r="BJ42" i="7"/>
  <c r="AT42" i="7"/>
  <c r="AT28" i="7"/>
  <c r="BZ28" i="7"/>
  <c r="AO17" i="7"/>
  <c r="BU17" i="7"/>
  <c r="BE17" i="7"/>
  <c r="BR17" i="7"/>
  <c r="AL17" i="7"/>
  <c r="BB17" i="7"/>
  <c r="AH17" i="7"/>
  <c r="AX17" i="7"/>
  <c r="BN17" i="7"/>
  <c r="BL17" i="7"/>
  <c r="CB17" i="7"/>
  <c r="AV17" i="7"/>
  <c r="BO30" i="7"/>
  <c r="AI30" i="7"/>
  <c r="BW11" i="7"/>
  <c r="BG11" i="7"/>
  <c r="BO6" i="7"/>
  <c r="AY6" i="7"/>
  <c r="CB48" i="7"/>
  <c r="AV48" i="7"/>
  <c r="BL48" i="7"/>
  <c r="BU14" i="7"/>
  <c r="BE14" i="7"/>
  <c r="AS45" i="7"/>
  <c r="BY45" i="7"/>
  <c r="BI45" i="7"/>
  <c r="BR12" i="7"/>
  <c r="BB12" i="7"/>
  <c r="AY73" i="7"/>
  <c r="AI73" i="7"/>
  <c r="BO73" i="7"/>
  <c r="AQ48" i="7"/>
  <c r="BG48" i="7"/>
  <c r="BW48" i="7"/>
  <c r="BL49" i="7"/>
  <c r="CB49" i="7"/>
  <c r="AV49" i="7"/>
  <c r="BJ36" i="7"/>
  <c r="AT36" i="7"/>
  <c r="BZ36" i="7"/>
  <c r="BA7" i="7"/>
  <c r="BQ7" i="7"/>
  <c r="AM74" i="7"/>
  <c r="BS74" i="7"/>
  <c r="BC74" i="7"/>
  <c r="BE8" i="7"/>
  <c r="BU8" i="7"/>
  <c r="BC46" i="7"/>
  <c r="BS46" i="7"/>
  <c r="AM46" i="7"/>
  <c r="BY72" i="7"/>
  <c r="AS72" i="7"/>
  <c r="BI72" i="7"/>
  <c r="BH72" i="7"/>
  <c r="BX72" i="7"/>
  <c r="AR72" i="7"/>
  <c r="BU72" i="7"/>
  <c r="AO72" i="7"/>
  <c r="BE72" i="7"/>
  <c r="BP72" i="7"/>
  <c r="AZ72" i="7"/>
  <c r="AJ72" i="7"/>
  <c r="BD72" i="7"/>
  <c r="AN72" i="7"/>
  <c r="BT72" i="7"/>
  <c r="BV35" i="7"/>
  <c r="BF35" i="7"/>
  <c r="AP35" i="7"/>
  <c r="BE32" i="7"/>
  <c r="AO32" i="7"/>
  <c r="BU32" i="7"/>
  <c r="BQ62" i="7"/>
  <c r="BA62" i="7"/>
  <c r="AR62" i="7"/>
  <c r="BX62" i="7"/>
  <c r="BH62" i="7"/>
  <c r="AV62" i="7"/>
  <c r="BL62" i="7"/>
  <c r="CB62" i="7"/>
  <c r="AL62" i="7"/>
  <c r="BR62" i="7"/>
  <c r="BB62" i="7"/>
  <c r="AP62" i="7"/>
  <c r="BV62" i="7"/>
  <c r="BF62" i="7"/>
  <c r="AR75" i="7"/>
  <c r="BX75" i="7"/>
  <c r="BH75" i="7"/>
  <c r="AQ45" i="7"/>
  <c r="BW45" i="7"/>
  <c r="BG45" i="7"/>
  <c r="BZ45" i="7"/>
  <c r="AT45" i="7"/>
  <c r="BJ45" i="7"/>
  <c r="AZ45" i="7"/>
  <c r="BP45" i="7"/>
  <c r="AJ45" i="7"/>
  <c r="BF24" i="7"/>
  <c r="BV24" i="7"/>
  <c r="AP24" i="7"/>
  <c r="AP77" i="7"/>
  <c r="BV77" i="7"/>
  <c r="BF77" i="7"/>
  <c r="AU77" i="7"/>
  <c r="BK77" i="7"/>
  <c r="CA77" i="7"/>
  <c r="BK78" i="7"/>
  <c r="BA77" i="7"/>
  <c r="BQ77" i="7"/>
  <c r="AK77" i="7"/>
  <c r="BD77" i="7"/>
  <c r="BT77" i="7"/>
  <c r="AN77" i="7"/>
  <c r="BY77" i="7"/>
  <c r="BI77" i="7"/>
  <c r="AS77" i="7"/>
  <c r="AZ78" i="7"/>
  <c r="BP77" i="7"/>
  <c r="AJ77" i="7"/>
  <c r="AZ77" i="7"/>
  <c r="BF55" i="7"/>
  <c r="AP55" i="7"/>
  <c r="BV55" i="7"/>
  <c r="BT49" i="7"/>
  <c r="AN49" i="7"/>
  <c r="BD49" i="7"/>
  <c r="BD42" i="7"/>
  <c r="BT42" i="7"/>
  <c r="AN42" i="7"/>
  <c r="BY53" i="7"/>
  <c r="BI53" i="7"/>
  <c r="AS53" i="7"/>
  <c r="BQ48" i="7"/>
  <c r="AK48" i="7"/>
  <c r="BA48" i="7"/>
  <c r="BT69" i="7"/>
  <c r="AN69" i="7"/>
  <c r="BD69" i="7"/>
  <c r="CB53" i="7"/>
  <c r="AV53" i="7"/>
  <c r="BL53" i="7"/>
  <c r="AQ53" i="7"/>
  <c r="BW53" i="7"/>
  <c r="BR53" i="7"/>
  <c r="BB53" i="7"/>
  <c r="AL53" i="7"/>
  <c r="BY76" i="7"/>
  <c r="AS76" i="7"/>
  <c r="BI76" i="7"/>
  <c r="BR63" i="7"/>
  <c r="BB63" i="7"/>
  <c r="AL63" i="7"/>
  <c r="AJ63" i="7"/>
  <c r="AZ63" i="7"/>
  <c r="BP63" i="7"/>
  <c r="BU63" i="7"/>
  <c r="AO63" i="7"/>
  <c r="BE63" i="7"/>
  <c r="BX63" i="7"/>
  <c r="BH63" i="7"/>
  <c r="AR63" i="7"/>
  <c r="BW63" i="7"/>
  <c r="BG63" i="7"/>
  <c r="AQ63" i="7"/>
  <c r="BZ59" i="7"/>
  <c r="BJ59" i="7"/>
  <c r="AT59" i="7"/>
  <c r="AS44" i="7"/>
  <c r="BY44" i="7"/>
  <c r="BI44" i="7"/>
  <c r="CB19" i="7"/>
  <c r="AV19" i="7"/>
  <c r="BL19" i="7"/>
  <c r="BN19" i="7"/>
  <c r="AH19" i="7"/>
  <c r="AX19" i="7"/>
  <c r="AS19" i="7"/>
  <c r="BI19" i="7"/>
  <c r="BY19" i="7"/>
  <c r="BB20" i="7"/>
  <c r="AL20" i="7"/>
  <c r="BR20" i="7"/>
  <c r="BO20" i="7"/>
  <c r="AY20" i="7"/>
  <c r="AI20" i="7"/>
  <c r="AN29" i="7"/>
  <c r="BT29" i="7"/>
  <c r="BD29" i="7"/>
  <c r="BI29" i="7"/>
  <c r="AS29" i="7"/>
  <c r="BY29" i="7"/>
  <c r="BC29" i="7"/>
  <c r="AM29" i="7"/>
  <c r="BS29" i="7"/>
  <c r="AV79" i="7"/>
  <c r="CB67" i="7"/>
  <c r="BL67" i="7"/>
  <c r="AV67" i="7"/>
  <c r="CA51" i="7"/>
  <c r="BK51" i="7"/>
  <c r="AU51" i="7"/>
  <c r="BQ78" i="7"/>
  <c r="BA78" i="7"/>
  <c r="BA79" i="7"/>
  <c r="AV73" i="7"/>
  <c r="BL73" i="7"/>
  <c r="CB73" i="7"/>
  <c r="BT25" i="7"/>
  <c r="AN25" i="7"/>
  <c r="AJ48" i="7"/>
  <c r="AZ48" i="7"/>
  <c r="BP48" i="7"/>
  <c r="BV31" i="7"/>
  <c r="BF31" i="7"/>
  <c r="AP31" i="7"/>
  <c r="BO7" i="7"/>
  <c r="AY7" i="7"/>
  <c r="AZ52" i="7"/>
  <c r="AJ52" i="7"/>
  <c r="BP52" i="7"/>
  <c r="BT12" i="7"/>
  <c r="BD12" i="7"/>
  <c r="AU56" i="7"/>
  <c r="CA56" i="7"/>
  <c r="BK56" i="7"/>
  <c r="AR74" i="7"/>
  <c r="BX74" i="7"/>
  <c r="BH74" i="7"/>
  <c r="BZ70" i="7"/>
  <c r="AT70" i="7"/>
  <c r="BJ70" i="7"/>
  <c r="BB79" i="7"/>
  <c r="BR78" i="7"/>
  <c r="AL78" i="7"/>
  <c r="BB78" i="7"/>
  <c r="AR59" i="7"/>
  <c r="BX59" i="7"/>
  <c r="BH59" i="7"/>
  <c r="AO49" i="7"/>
  <c r="BU49" i="7"/>
  <c r="BE49" i="7"/>
  <c r="BA38" i="7"/>
  <c r="AK38" i="7"/>
  <c r="BQ38" i="7"/>
  <c r="BD38" i="7"/>
  <c r="AN38" i="7"/>
  <c r="BT38" i="7"/>
  <c r="BE38" i="7"/>
  <c r="BU38" i="7"/>
  <c r="AO38" i="7"/>
  <c r="AZ38" i="7"/>
  <c r="BP38" i="7"/>
  <c r="AJ38" i="7"/>
  <c r="CA11" i="7"/>
  <c r="BK11" i="7"/>
  <c r="AI65" i="7"/>
  <c r="AY65" i="7"/>
  <c r="BO65" i="7"/>
  <c r="BR66" i="7"/>
  <c r="BB66" i="7"/>
  <c r="AL66" i="7"/>
  <c r="BX48" i="7"/>
  <c r="AR48" i="7"/>
  <c r="BH48" i="7"/>
  <c r="BE41" i="7"/>
  <c r="BU41" i="7"/>
  <c r="AO41" i="7"/>
  <c r="AJ79" i="7"/>
  <c r="AJ67" i="7"/>
  <c r="BP67" i="7"/>
  <c r="AZ67" i="7"/>
  <c r="BB44" i="7"/>
  <c r="AL44" i="7"/>
  <c r="BR44" i="7"/>
  <c r="BH50" i="7"/>
  <c r="AR50" i="7"/>
  <c r="BX50" i="7"/>
  <c r="BD70" i="7"/>
  <c r="BT70" i="7"/>
  <c r="AN70" i="7"/>
  <c r="AI66" i="7"/>
  <c r="AY66" i="7"/>
  <c r="BO66" i="7"/>
  <c r="AI78" i="7"/>
  <c r="BW44" i="7"/>
  <c r="BG44" i="7"/>
  <c r="AQ44" i="7"/>
  <c r="BI30" i="7"/>
  <c r="BY30" i="7"/>
  <c r="AS30" i="7"/>
  <c r="BL45" i="7"/>
  <c r="CB45" i="7"/>
  <c r="AV45" i="7"/>
  <c r="AZ20" i="7"/>
  <c r="AJ20" i="7"/>
  <c r="BP20" i="7"/>
  <c r="BZ17" i="7"/>
  <c r="BJ17" i="7"/>
  <c r="AT17" i="7"/>
  <c r="AU46" i="7"/>
  <c r="BK46" i="7"/>
  <c r="CA46" i="7"/>
  <c r="AU59" i="7"/>
  <c r="BK59" i="7"/>
  <c r="CA59" i="7"/>
  <c r="AH57" i="7"/>
  <c r="AX57" i="7"/>
  <c r="BN57" i="7"/>
  <c r="BV57" i="7"/>
  <c r="AP57" i="7"/>
  <c r="AZ57" i="7"/>
  <c r="AJ57" i="7"/>
  <c r="BP57" i="7"/>
  <c r="AL32" i="7"/>
  <c r="BR32" i="7"/>
  <c r="BB32" i="7"/>
  <c r="AN39" i="7"/>
  <c r="BT27" i="7"/>
  <c r="BD27" i="7"/>
  <c r="AN27" i="7"/>
  <c r="BQ27" i="7"/>
  <c r="AK27" i="7"/>
  <c r="BA27" i="7"/>
  <c r="AZ30" i="7"/>
  <c r="BP30" i="7"/>
  <c r="AJ30" i="7"/>
  <c r="AV28" i="7"/>
  <c r="BL28" i="7"/>
  <c r="CB28" i="7"/>
  <c r="AU66" i="7"/>
  <c r="BK66" i="7"/>
  <c r="CA66" i="7"/>
  <c r="AU78" i="7"/>
  <c r="BF44" i="7"/>
  <c r="AP44" i="7"/>
  <c r="BV44" i="7"/>
  <c r="AX44" i="7"/>
  <c r="BN44" i="7"/>
  <c r="AH44" i="7"/>
  <c r="AQ47" i="7"/>
  <c r="BW47" i="7"/>
  <c r="BG47" i="7"/>
  <c r="AV58" i="7"/>
  <c r="CB58" i="7"/>
  <c r="BL58" i="7"/>
  <c r="BW38" i="7"/>
  <c r="AQ38" i="7"/>
  <c r="BG38" i="7"/>
  <c r="BB71" i="7"/>
  <c r="BR71" i="7"/>
  <c r="AL71" i="7"/>
  <c r="BO59" i="7"/>
  <c r="AY59" i="7"/>
  <c r="AI59" i="7"/>
  <c r="AL48" i="7"/>
  <c r="BB48" i="7"/>
  <c r="BR48" i="7"/>
  <c r="BA8" i="7"/>
  <c r="BQ8" i="7"/>
  <c r="AT48" i="7"/>
  <c r="BJ48" i="7"/>
  <c r="BZ48" i="7"/>
  <c r="BD6" i="7"/>
  <c r="BT6" i="7"/>
  <c r="AK67" i="7"/>
  <c r="AK79" i="7"/>
  <c r="BQ67" i="7"/>
  <c r="AO71" i="7"/>
  <c r="BE71" i="7"/>
  <c r="BU71" i="7"/>
  <c r="BQ52" i="7"/>
  <c r="AK52" i="7"/>
  <c r="BA52" i="7"/>
  <c r="AX52" i="7"/>
  <c r="BN52" i="7"/>
  <c r="AH52" i="7"/>
  <c r="BJ47" i="7"/>
  <c r="BZ47" i="7"/>
  <c r="AT47" i="7"/>
  <c r="BZ26" i="7"/>
  <c r="AT26" i="7"/>
  <c r="BJ26" i="7"/>
  <c r="BP13" i="7"/>
  <c r="AZ13" i="7"/>
  <c r="BE13" i="7"/>
  <c r="BU13" i="7"/>
  <c r="BD19" i="7"/>
  <c r="BT19" i="7"/>
  <c r="AN19" i="7"/>
  <c r="BS60" i="7"/>
  <c r="BC60" i="7"/>
  <c r="AM60" i="7"/>
  <c r="AR15" i="7"/>
  <c r="BH15" i="7"/>
  <c r="BX15" i="7"/>
  <c r="BJ14" i="7"/>
  <c r="BZ14" i="7"/>
  <c r="AK61" i="7"/>
  <c r="BA61" i="7"/>
  <c r="BQ61" i="7"/>
  <c r="BG54" i="7"/>
  <c r="AQ54" i="7"/>
  <c r="BW54" i="7"/>
  <c r="BW33" i="7"/>
  <c r="BG33" i="7"/>
  <c r="AQ33" i="7"/>
  <c r="AY52" i="7"/>
  <c r="BO52" i="7"/>
  <c r="AI52" i="7"/>
  <c r="AZ53" i="7"/>
  <c r="AJ53" i="7"/>
  <c r="BP53" i="7"/>
  <c r="AY11" i="7"/>
  <c r="BO11" i="7"/>
  <c r="AT57" i="7"/>
  <c r="BJ57" i="7"/>
  <c r="BZ57" i="7"/>
  <c r="BF47" i="7"/>
  <c r="BV47" i="7"/>
  <c r="AP47" i="7"/>
  <c r="BV71" i="7"/>
  <c r="AP71" i="7"/>
  <c r="BF71" i="7"/>
  <c r="AX71" i="7"/>
  <c r="AH71" i="7"/>
  <c r="BN71" i="7"/>
  <c r="BG71" i="7"/>
  <c r="AQ71" i="7"/>
  <c r="BW71" i="7"/>
  <c r="AZ71" i="7"/>
  <c r="AJ71" i="7"/>
  <c r="BP71" i="7"/>
  <c r="BG66" i="7"/>
  <c r="AQ66" i="7"/>
  <c r="BW66" i="7"/>
  <c r="BC44" i="7"/>
  <c r="BS44" i="7"/>
  <c r="AM44" i="7"/>
  <c r="BC51" i="7"/>
  <c r="BS51" i="7"/>
  <c r="AM51" i="7"/>
  <c r="BJ51" i="7"/>
  <c r="AT51" i="7"/>
  <c r="BZ51" i="7"/>
  <c r="AK43" i="7"/>
  <c r="BQ43" i="7"/>
  <c r="BA43" i="7"/>
  <c r="AR43" i="7"/>
  <c r="BX43" i="7"/>
  <c r="BH43" i="7"/>
  <c r="AR73" i="7"/>
  <c r="BX73" i="7"/>
  <c r="BH73" i="7"/>
  <c r="BW20" i="7"/>
  <c r="AQ20" i="7"/>
  <c r="BG20" i="7"/>
  <c r="BD50" i="7"/>
  <c r="BT50" i="7"/>
  <c r="AN50" i="7"/>
  <c r="BH76" i="7"/>
  <c r="BX76" i="7"/>
  <c r="AR76" i="7"/>
  <c r="BP65" i="7"/>
  <c r="AZ65" i="7"/>
  <c r="AJ65" i="7"/>
  <c r="R2" i="7"/>
  <c r="B2" i="7"/>
  <c r="BQ75" i="7"/>
  <c r="BA75" i="7"/>
  <c r="AK75" i="7"/>
  <c r="BY55" i="7"/>
  <c r="AS55" i="7"/>
  <c r="BI55" i="7"/>
  <c r="AU52" i="7"/>
  <c r="BK52" i="7"/>
  <c r="CA52" i="7"/>
  <c r="AU26" i="7"/>
  <c r="BK26" i="7"/>
  <c r="CA26" i="7"/>
  <c r="AT32" i="7"/>
  <c r="BZ32" i="7"/>
  <c r="BJ32" i="7"/>
  <c r="AP37" i="7"/>
  <c r="BF37" i="7"/>
  <c r="BV37" i="7"/>
  <c r="AS22" i="7"/>
  <c r="BI22" i="7"/>
  <c r="BY22" i="7"/>
  <c r="BL23" i="7"/>
  <c r="AV23" i="7"/>
  <c r="CB23" i="7"/>
  <c r="BQ74" i="7"/>
  <c r="AK74" i="7"/>
  <c r="BA74" i="7"/>
  <c r="CA44" i="7"/>
  <c r="AU44" i="7"/>
  <c r="BK44" i="7"/>
  <c r="BE74" i="7"/>
  <c r="BU74" i="7"/>
  <c r="AO74" i="7"/>
  <c r="CA78" i="7"/>
  <c r="BL79" i="7"/>
  <c r="BP78" i="7"/>
  <c r="BL78" i="7"/>
  <c r="CB78" i="7"/>
  <c r="AV78" i="7"/>
  <c r="BO78" i="7"/>
  <c r="AY51" i="7"/>
  <c r="AI51" i="7"/>
  <c r="BO51" i="7"/>
  <c r="AR51" i="7"/>
  <c r="BH51" i="7"/>
  <c r="BX51" i="7"/>
  <c r="AX31" i="7"/>
  <c r="BN31" i="7"/>
  <c r="AH31" i="7"/>
  <c r="BD32" i="7"/>
  <c r="AN32" i="7"/>
  <c r="BT32" i="7"/>
  <c r="BZ30" i="7"/>
  <c r="AT30" i="7"/>
  <c r="BJ30" i="7"/>
  <c r="BW16" i="7"/>
  <c r="AQ16" i="7"/>
  <c r="BG16" i="7"/>
  <c r="BP7" i="7"/>
  <c r="AZ7" i="7"/>
  <c r="AQ70" i="7"/>
  <c r="BW70" i="7"/>
  <c r="BG70" i="7"/>
  <c r="BB26" i="7"/>
  <c r="BR26" i="7"/>
  <c r="AL26" i="7"/>
  <c r="BF11" i="7"/>
  <c r="BV11" i="7"/>
  <c r="BH57" i="7"/>
  <c r="AR57" i="7"/>
  <c r="BX57" i="7"/>
  <c r="BB61" i="7"/>
  <c r="BR61" i="7"/>
  <c r="AL61" i="7"/>
  <c r="BW40" i="7"/>
  <c r="AQ40" i="7"/>
  <c r="BG40" i="7"/>
  <c r="BY17" i="7"/>
  <c r="BI17" i="7"/>
  <c r="AS17" i="7"/>
  <c r="AU50" i="7"/>
  <c r="CA50" i="7"/>
  <c r="BK50" i="7"/>
  <c r="BJ24" i="7"/>
  <c r="AT24" i="7"/>
  <c r="BZ24" i="7"/>
  <c r="BA40" i="7"/>
  <c r="BQ40" i="7"/>
  <c r="AK40" i="7"/>
  <c r="BY40" i="7"/>
  <c r="AS40" i="7"/>
  <c r="BI40" i="7"/>
  <c r="AX40" i="7"/>
  <c r="AH40" i="7"/>
  <c r="BN40" i="7"/>
  <c r="AP40" i="7"/>
  <c r="BF40" i="7"/>
  <c r="BV40" i="7"/>
  <c r="BX40" i="7"/>
  <c r="BH40" i="7"/>
  <c r="AR40" i="7"/>
  <c r="BU40" i="7"/>
  <c r="BE40" i="7"/>
  <c r="AO40" i="7"/>
  <c r="BC32" i="7"/>
  <c r="AM32" i="7"/>
  <c r="BS32" i="7"/>
  <c r="BP37" i="7"/>
  <c r="AZ37" i="7"/>
  <c r="AJ37" i="7"/>
  <c r="AO16" i="7"/>
  <c r="BU16" i="7"/>
  <c r="BE16" i="7"/>
  <c r="BA26" i="7"/>
  <c r="BQ26" i="7"/>
  <c r="AK26" i="7"/>
  <c r="BJ13" i="7"/>
  <c r="BZ13" i="7"/>
  <c r="BV74" i="7"/>
  <c r="AP74" i="7"/>
  <c r="CB69" i="7"/>
  <c r="AV69" i="7"/>
  <c r="BL69" i="7"/>
  <c r="AY37" i="7"/>
  <c r="BO37" i="7"/>
  <c r="AI37" i="7"/>
  <c r="AT53" i="7"/>
  <c r="BJ53" i="7"/>
  <c r="BZ53" i="7"/>
  <c r="BC35" i="7"/>
  <c r="BS35" i="7"/>
  <c r="AM35" i="7"/>
  <c r="AH35" i="7"/>
  <c r="BN35" i="7"/>
  <c r="AX35" i="7"/>
  <c r="BF43" i="7"/>
  <c r="BV43" i="7"/>
  <c r="AP43" i="7"/>
  <c r="BS73" i="7"/>
  <c r="AM73" i="7"/>
  <c r="BC73" i="7"/>
  <c r="AO66" i="7"/>
  <c r="BE66" i="7"/>
  <c r="BU66" i="7"/>
  <c r="BR10" i="7"/>
  <c r="BB10" i="7"/>
  <c r="CB66" i="7"/>
  <c r="AV66" i="7"/>
  <c r="BL66" i="7"/>
  <c r="BP31" i="7"/>
  <c r="AZ31" i="7"/>
  <c r="AJ31" i="7"/>
  <c r="BT60" i="7"/>
  <c r="AN60" i="7"/>
  <c r="BD60" i="7"/>
  <c r="AN31" i="7"/>
  <c r="BD31" i="7"/>
  <c r="BT31" i="7"/>
  <c r="BB52" i="7"/>
  <c r="BR52" i="7"/>
  <c r="AL52" i="7"/>
  <c r="BS31" i="7"/>
  <c r="AM31" i="7"/>
  <c r="BC31" i="7"/>
  <c r="BV18" i="7"/>
  <c r="BF18" i="7"/>
  <c r="AP18" i="7"/>
  <c r="AH18" i="7"/>
  <c r="AX18" i="7"/>
  <c r="BN18" i="7"/>
  <c r="BV75" i="7"/>
  <c r="BF75" i="7"/>
  <c r="AP75" i="7"/>
  <c r="BH12" i="7"/>
  <c r="BX12" i="7"/>
  <c r="BY4" i="7"/>
  <c r="BI4" i="7"/>
  <c r="J21" i="6"/>
  <c r="W22" i="7" s="1"/>
  <c r="AM34" i="7" s="1"/>
  <c r="CB22" i="7"/>
  <c r="BL22" i="7"/>
  <c r="AV22" i="7"/>
  <c r="AX22" i="7"/>
  <c r="AH22" i="7"/>
  <c r="BN22" i="7"/>
  <c r="BJ22" i="7"/>
  <c r="BZ22" i="7"/>
  <c r="AT22" i="7"/>
  <c r="BI26" i="7"/>
  <c r="AS26" i="7"/>
  <c r="BY26" i="7"/>
  <c r="AO43" i="7"/>
  <c r="BU43" i="7"/>
  <c r="BE43" i="7"/>
  <c r="BB34" i="7"/>
  <c r="BR34" i="7"/>
  <c r="AL34" i="7"/>
  <c r="BC34" i="7"/>
  <c r="BS34" i="7"/>
  <c r="AX34" i="7"/>
  <c r="BN34" i="7"/>
  <c r="AH34" i="7"/>
  <c r="AO78" i="7"/>
  <c r="BE79" i="7"/>
  <c r="BU78" i="7"/>
  <c r="BE78" i="7"/>
  <c r="BU67" i="7"/>
  <c r="AO67" i="7"/>
  <c r="AO79" i="7"/>
  <c r="BE67" i="7"/>
  <c r="BT10" i="7"/>
  <c r="BD10" i="7"/>
  <c r="BL47" i="7"/>
  <c r="CB47" i="7"/>
  <c r="AV47" i="7"/>
  <c r="BY38" i="7"/>
  <c r="BI38" i="7"/>
  <c r="AS38" i="7"/>
  <c r="BW29" i="7"/>
  <c r="BG29" i="7"/>
  <c r="AQ29" i="7"/>
  <c r="BI27" i="7"/>
  <c r="AS27" i="7"/>
  <c r="BY27" i="7"/>
  <c r="AR79" i="7"/>
  <c r="BH67" i="7"/>
  <c r="BX67" i="7"/>
  <c r="BC55" i="7"/>
  <c r="BS55" i="7"/>
  <c r="AM55" i="7"/>
  <c r="CA21" i="7"/>
  <c r="AU21" i="7"/>
  <c r="BK21" i="7"/>
  <c r="AU18" i="7"/>
  <c r="BK18" i="7"/>
  <c r="CA18" i="7"/>
  <c r="AQ31" i="7"/>
  <c r="BG31" i="7"/>
  <c r="BW31" i="7"/>
  <c r="AZ74" i="7"/>
  <c r="BP74" i="7"/>
  <c r="AJ74" i="7"/>
  <c r="AZ75" i="7"/>
  <c r="AJ75" i="7"/>
  <c r="BP75" i="7"/>
  <c r="BB37" i="7"/>
  <c r="BR37" i="7"/>
  <c r="AL37" i="7"/>
  <c r="BE9" i="7"/>
  <c r="BU9" i="7"/>
  <c r="CB43" i="7"/>
  <c r="BL43" i="7"/>
  <c r="AV43" i="7"/>
  <c r="AJ69" i="7"/>
  <c r="BP69" i="7"/>
  <c r="AZ69" i="7"/>
  <c r="BE60" i="7"/>
  <c r="AO60" i="7"/>
  <c r="BU60" i="7"/>
  <c r="AP32" i="7"/>
  <c r="BF32" i="7"/>
  <c r="BV32" i="7"/>
  <c r="Q64" i="6"/>
  <c r="AD65" i="7" s="1"/>
  <c r="AQ65" i="7"/>
  <c r="BW65" i="7"/>
  <c r="BG65" i="7"/>
  <c r="CB65" i="7"/>
  <c r="BL65" i="7"/>
  <c r="AV65" i="7"/>
  <c r="BN65" i="7"/>
  <c r="AX65" i="7"/>
  <c r="AH65" i="7"/>
  <c r="AO65" i="7"/>
  <c r="BE65" i="7"/>
  <c r="BU65" i="7"/>
  <c r="BW6" i="7"/>
  <c r="BG6" i="7"/>
  <c r="AQ23" i="7"/>
  <c r="BW23" i="7"/>
  <c r="BG23" i="7"/>
  <c r="BV23" i="7"/>
  <c r="BF23" i="7"/>
  <c r="AP23" i="7"/>
  <c r="BI23" i="7"/>
  <c r="AS23" i="7"/>
  <c r="BY23" i="7"/>
  <c r="BT23" i="7"/>
  <c r="BD23" i="7"/>
  <c r="AN23" i="7"/>
  <c r="AK69" i="7"/>
  <c r="BQ69" i="7"/>
  <c r="BA69" i="7"/>
  <c r="AS18" i="7"/>
  <c r="BI18" i="7"/>
  <c r="BY18" i="7"/>
  <c r="BG8" i="7"/>
  <c r="BW8" i="7"/>
  <c r="AK60" i="7"/>
  <c r="BA60" i="7"/>
  <c r="BQ60" i="7"/>
  <c r="AZ14" i="7"/>
  <c r="BP14" i="7"/>
  <c r="BI50" i="7"/>
  <c r="BY50" i="7"/>
  <c r="AS50" i="7"/>
  <c r="BV50" i="7"/>
  <c r="BF50" i="7"/>
  <c r="AL50" i="7"/>
  <c r="BR50" i="7"/>
  <c r="BB50" i="7"/>
  <c r="BX8" i="7"/>
  <c r="BH8" i="7"/>
  <c r="BY51" i="7"/>
  <c r="AS51" i="7"/>
  <c r="BI51" i="7"/>
  <c r="BA37" i="7"/>
  <c r="BQ37" i="7"/>
  <c r="AK37" i="7"/>
  <c r="BY37" i="7"/>
  <c r="AS37" i="7"/>
  <c r="BI37" i="7"/>
  <c r="AX37" i="7"/>
  <c r="BN37" i="7"/>
  <c r="AH37" i="7"/>
  <c r="BC42" i="7"/>
  <c r="BS42" i="7"/>
  <c r="AM42" i="7"/>
  <c r="CA29" i="7"/>
  <c r="AU29" i="7"/>
  <c r="BK29" i="7"/>
  <c r="AY16" i="7"/>
  <c r="BO16" i="7"/>
  <c r="AI16" i="7"/>
  <c r="BN16" i="7"/>
  <c r="AH16" i="7"/>
  <c r="AX16" i="7"/>
  <c r="CB16" i="7"/>
  <c r="AV16" i="7"/>
  <c r="BL16" i="7"/>
  <c r="AS16" i="7"/>
  <c r="BI16" i="7"/>
  <c r="BY16" i="7"/>
  <c r="AN63" i="7"/>
  <c r="BT63" i="7"/>
  <c r="BD63" i="7"/>
  <c r="BR27" i="7"/>
  <c r="AL27" i="7"/>
  <c r="BB27" i="7"/>
  <c r="AL55" i="7"/>
  <c r="BB55" i="7"/>
  <c r="BR55" i="7"/>
  <c r="AT35" i="7"/>
  <c r="BZ35" i="7"/>
  <c r="BK17" i="7"/>
  <c r="CA17" i="7"/>
  <c r="AU17" i="7"/>
  <c r="AR61" i="7"/>
  <c r="BH61" i="7"/>
  <c r="BX61" i="7"/>
  <c r="AV38" i="7"/>
  <c r="BL38" i="7"/>
  <c r="CB38" i="7"/>
  <c r="AU53" i="7"/>
  <c r="CA53" i="7"/>
  <c r="BK53" i="7"/>
  <c r="BI35" i="7"/>
  <c r="BY35" i="7"/>
  <c r="AS35" i="7"/>
  <c r="AT23" i="7"/>
  <c r="BZ23" i="7"/>
  <c r="BJ23" i="7"/>
  <c r="BZ39" i="7"/>
  <c r="BJ39" i="7"/>
  <c r="BH44" i="7"/>
  <c r="BX44" i="7"/>
  <c r="AR44" i="7"/>
  <c r="BH10" i="7"/>
  <c r="BX10" i="7"/>
  <c r="AU67" i="7"/>
  <c r="BK67" i="7"/>
  <c r="AU79" i="7"/>
  <c r="CA67" i="7"/>
  <c r="BR9" i="7"/>
  <c r="BB9" i="7"/>
  <c r="BZ19" i="7"/>
  <c r="AT19" i="7"/>
  <c r="BJ19" i="7"/>
  <c r="AT62" i="7"/>
  <c r="BJ62" i="7"/>
  <c r="BZ62" i="7"/>
  <c r="CA8" i="7"/>
  <c r="BK8" i="7"/>
  <c r="CB8" i="7"/>
  <c r="BL8" i="7"/>
  <c r="AU62" i="7"/>
  <c r="CA62" i="7"/>
  <c r="BK62" i="7"/>
  <c r="BK12" i="7"/>
  <c r="CA12" i="7"/>
  <c r="AN40" i="7"/>
  <c r="BD40" i="7"/>
  <c r="BT40" i="7"/>
  <c r="AT49" i="7"/>
  <c r="BZ49" i="7"/>
  <c r="BJ49" i="7"/>
  <c r="BE7" i="7"/>
  <c r="BU7" i="7"/>
  <c r="BL74" i="7"/>
  <c r="AV74" i="7"/>
  <c r="CB74" i="7"/>
  <c r="AL16" i="7"/>
  <c r="BB16" i="7"/>
  <c r="BR16" i="7"/>
  <c r="BY42" i="7"/>
  <c r="BI42" i="7"/>
  <c r="AS42" i="7"/>
  <c r="H40" i="6"/>
  <c r="U41" i="7" s="1"/>
  <c r="AY41" i="7"/>
  <c r="BO41" i="7"/>
  <c r="BT13" i="7"/>
  <c r="BD13" i="7"/>
  <c r="AI26" i="7"/>
  <c r="AY26" i="7"/>
  <c r="BO26" i="7"/>
  <c r="BP6" i="7"/>
  <c r="AZ6" i="7"/>
  <c r="BV30" i="7"/>
  <c r="AP30" i="7"/>
  <c r="BF30" i="7"/>
  <c r="BO55" i="7"/>
  <c r="AI55" i="7"/>
  <c r="AY55" i="7"/>
  <c r="BR25" i="7"/>
  <c r="AL25" i="7"/>
  <c r="BB25" i="7"/>
  <c r="AO25" i="7"/>
  <c r="BU25" i="7"/>
  <c r="BE25" i="7"/>
  <c r="BY25" i="7"/>
  <c r="BI25" i="7"/>
  <c r="AS25" i="7"/>
  <c r="BV6" i="7"/>
  <c r="BF6" i="7"/>
  <c r="BH38" i="7"/>
  <c r="BX38" i="7"/>
  <c r="AR38" i="7"/>
  <c r="BH68" i="7"/>
  <c r="AR68" i="7"/>
  <c r="BX68" i="7"/>
  <c r="BO9" i="7"/>
  <c r="AY9" i="7"/>
  <c r="BA12" i="7"/>
  <c r="BQ12" i="7"/>
  <c r="BG43" i="7"/>
  <c r="BW43" i="7"/>
  <c r="AQ43" i="7"/>
  <c r="AR23" i="7"/>
  <c r="BX23" i="7"/>
  <c r="BH23" i="7"/>
  <c r="BP62" i="7"/>
  <c r="AJ62" i="7"/>
  <c r="AZ62" i="7"/>
  <c r="AJ51" i="7"/>
  <c r="AZ51" i="7"/>
  <c r="BP51" i="7"/>
  <c r="BK9" i="7"/>
  <c r="CA9" i="7"/>
  <c r="BK40" i="7"/>
  <c r="AU40" i="7"/>
  <c r="CA40" i="7"/>
  <c r="BG9" i="7"/>
  <c r="BW9" i="7"/>
  <c r="BO70" i="7"/>
  <c r="AI70" i="7"/>
  <c r="AY70" i="7"/>
  <c r="BI20" i="7"/>
  <c r="BY20" i="7"/>
  <c r="AS20" i="7"/>
  <c r="BF42" i="7"/>
  <c r="BV42" i="7"/>
  <c r="AP42" i="7"/>
  <c r="BW27" i="7"/>
  <c r="AQ27" i="7"/>
  <c r="BG27" i="7"/>
  <c r="AJ78" i="7"/>
  <c r="BP66" i="7"/>
  <c r="AJ66" i="7"/>
  <c r="AZ66" i="7"/>
  <c r="BK55" i="7"/>
  <c r="AU55" i="7"/>
  <c r="CA55" i="7"/>
  <c r="BF26" i="7"/>
  <c r="BV26" i="7"/>
  <c r="AP26" i="7"/>
  <c r="BJ58" i="7"/>
  <c r="BZ58" i="7"/>
  <c r="AT58" i="7"/>
  <c r="AM58" i="7"/>
  <c r="BC58" i="7"/>
  <c r="BS58" i="7"/>
  <c r="AP58" i="7"/>
  <c r="BF58" i="7"/>
  <c r="BV58" i="7"/>
  <c r="BG68" i="7"/>
  <c r="BW68" i="7"/>
  <c r="AQ68" i="7"/>
  <c r="CA61" i="7"/>
  <c r="AU61" i="7"/>
  <c r="BK61" i="7"/>
  <c r="BQ33" i="7"/>
  <c r="BA33" i="7"/>
  <c r="AK33" i="7"/>
  <c r="AI32" i="7"/>
  <c r="AY32" i="7"/>
  <c r="BO32" i="7"/>
  <c r="BB35" i="7"/>
  <c r="BR35" i="7"/>
  <c r="AL35" i="7"/>
  <c r="AQ73" i="7"/>
  <c r="BW73" i="7"/>
  <c r="BG73" i="7"/>
  <c r="AZ10" i="7"/>
  <c r="BP10" i="7"/>
  <c r="BA56" i="7"/>
  <c r="BQ56" i="7"/>
  <c r="AK56" i="7"/>
  <c r="BA47" i="7"/>
  <c r="BQ47" i="7"/>
  <c r="AK47" i="7"/>
  <c r="BK39" i="7"/>
  <c r="AU39" i="7"/>
  <c r="CA39" i="7"/>
  <c r="BH52" i="7"/>
  <c r="BX52" i="7"/>
  <c r="AR52" i="7"/>
  <c r="H65" i="6"/>
  <c r="U66" i="7" s="1"/>
  <c r="BA67" i="7" s="1"/>
  <c r="BN66" i="7"/>
  <c r="AX66" i="7"/>
  <c r="AH66" i="7"/>
  <c r="F12" i="6"/>
  <c r="S13" i="7" s="1"/>
  <c r="AH13" i="7"/>
  <c r="BN13" i="7"/>
  <c r="AX13" i="7"/>
  <c r="BG35" i="7"/>
  <c r="BW35" i="7"/>
  <c r="AQ35" i="7"/>
  <c r="AN55" i="7"/>
  <c r="BD55" i="7"/>
  <c r="BT55" i="7"/>
  <c r="AH30" i="7"/>
  <c r="AX30" i="7"/>
  <c r="BN30" i="7"/>
  <c r="BT30" i="7"/>
  <c r="BD30" i="7"/>
  <c r="AN30" i="7"/>
  <c r="BJ40" i="7"/>
  <c r="AT40" i="7"/>
  <c r="BZ40" i="7"/>
  <c r="AZ5" i="7"/>
  <c r="BP5" i="7"/>
  <c r="CB7" i="7"/>
  <c r="BL7" i="7"/>
  <c r="BN59" i="7"/>
  <c r="AH59" i="7"/>
  <c r="AX59" i="7"/>
  <c r="CA74" i="7"/>
  <c r="AU74" i="7"/>
  <c r="BK74" i="7"/>
  <c r="BI60" i="7"/>
  <c r="AS60" i="7"/>
  <c r="BY60" i="7"/>
  <c r="AX67" i="7"/>
  <c r="BN67" i="7"/>
  <c r="AH67" i="7"/>
  <c r="BZ16" i="7"/>
  <c r="BJ16" i="7"/>
  <c r="AT16" i="7"/>
  <c r="BF46" i="7"/>
  <c r="BV46" i="7"/>
  <c r="AP46" i="7"/>
  <c r="BS56" i="7"/>
  <c r="AM56" i="7"/>
  <c r="BC56" i="7"/>
  <c r="BH25" i="7"/>
  <c r="AR25" i="7"/>
  <c r="BX25" i="7"/>
  <c r="BJ9" i="7"/>
  <c r="BZ9" i="7"/>
  <c r="CA25" i="7"/>
  <c r="AU25" i="7"/>
  <c r="BK25" i="7"/>
  <c r="BV4" i="7"/>
  <c r="BF4" i="7"/>
  <c r="BE48" i="7"/>
  <c r="BU48" i="7"/>
  <c r="AO48" i="7"/>
  <c r="AR24" i="7"/>
  <c r="BX24" i="7"/>
  <c r="BH24" i="7"/>
  <c r="AT69" i="7"/>
  <c r="BZ69" i="7"/>
  <c r="BJ69" i="7"/>
  <c r="BO33" i="7"/>
  <c r="AY33" i="7"/>
  <c r="AI33" i="7"/>
  <c r="BO4" i="7"/>
  <c r="AX47" i="7"/>
  <c r="BN47" i="7"/>
  <c r="AH47" i="7"/>
  <c r="BL72" i="7"/>
  <c r="CB72" i="7"/>
  <c r="AV72" i="7"/>
  <c r="BT43" i="7"/>
  <c r="BD43" i="7"/>
  <c r="AN43" i="7"/>
  <c r="BX39" i="7"/>
  <c r="BH39" i="7"/>
  <c r="AR39" i="7"/>
  <c r="BT20" i="7"/>
  <c r="BD20" i="7"/>
  <c r="AN20" i="7"/>
  <c r="N51" i="6"/>
  <c r="AA52" i="7" s="1"/>
  <c r="AQ64" i="7" s="1"/>
  <c r="BH78" i="7"/>
  <c r="BX78" i="7"/>
  <c r="AR78" i="7"/>
  <c r="BH79" i="7"/>
  <c r="BI46" i="7"/>
  <c r="BY46" i="7"/>
  <c r="AS46" i="7"/>
  <c r="BW67" i="7"/>
  <c r="BG67" i="7"/>
  <c r="AQ79" i="7"/>
  <c r="AQ67" i="7"/>
  <c r="AM48" i="7"/>
  <c r="BS48" i="7"/>
  <c r="BC48" i="7"/>
  <c r="AU35" i="7"/>
  <c r="CA35" i="7"/>
  <c r="BK35" i="7"/>
  <c r="AR69" i="7"/>
  <c r="BH69" i="7"/>
  <c r="BX69" i="7"/>
  <c r="BJ52" i="7"/>
  <c r="AT52" i="7"/>
  <c r="BZ52" i="7"/>
  <c r="BX58" i="7"/>
  <c r="AR58" i="7"/>
  <c r="BH58" i="7"/>
  <c r="AK18" i="7"/>
  <c r="BA18" i="7"/>
  <c r="BQ18" i="7"/>
  <c r="BR31" i="7"/>
  <c r="BB31" i="7"/>
  <c r="AL31" i="7"/>
  <c r="AK73" i="7"/>
  <c r="BQ73" i="7"/>
  <c r="BA73" i="7"/>
  <c r="CA14" i="7"/>
  <c r="BK14" i="7"/>
  <c r="BP11" i="7"/>
  <c r="AZ11" i="7"/>
  <c r="BA35" i="7"/>
  <c r="BQ35" i="7"/>
  <c r="BV33" i="7"/>
  <c r="AP33" i="7"/>
  <c r="BF33" i="7"/>
  <c r="AR29" i="7"/>
  <c r="BH29" i="7"/>
  <c r="BX29" i="7"/>
  <c r="BK64" i="7"/>
  <c r="CA64" i="7"/>
  <c r="AU64" i="7"/>
  <c r="AV51" i="7"/>
  <c r="BL51" i="7"/>
  <c r="CB51" i="7"/>
  <c r="AL41" i="7"/>
  <c r="BB41" i="7"/>
  <c r="BR41" i="7"/>
  <c r="F45" i="6"/>
  <c r="S46" i="7" s="1"/>
  <c r="BN46" i="7"/>
  <c r="AX46" i="7"/>
  <c r="AH46" i="7"/>
  <c r="AU49" i="7"/>
  <c r="CA49" i="7"/>
  <c r="BK49" i="7"/>
  <c r="AZ43" i="7"/>
  <c r="BP43" i="7"/>
  <c r="AJ43" i="7"/>
  <c r="BG21" i="7"/>
  <c r="BW21" i="7"/>
  <c r="AQ21" i="7"/>
  <c r="BS75" i="7"/>
  <c r="AM75" i="7"/>
  <c r="BC75" i="7"/>
  <c r="BW36" i="7"/>
  <c r="AQ36" i="7"/>
  <c r="BG36" i="7"/>
  <c r="AQ25" i="7"/>
  <c r="BG25" i="7"/>
  <c r="BW25" i="7"/>
  <c r="AN21" i="7"/>
  <c r="BT21" i="7"/>
  <c r="BD21" i="7"/>
  <c r="BR3" i="7"/>
  <c r="BX36" i="7"/>
  <c r="AR36" i="7"/>
  <c r="BH36" i="7"/>
  <c r="AT71" i="7"/>
  <c r="BJ71" i="7"/>
  <c r="BZ71" i="7"/>
  <c r="AS48" i="7"/>
  <c r="BY48" i="7"/>
  <c r="BI48" i="7"/>
  <c r="BC49" i="7"/>
  <c r="AM49" i="7"/>
  <c r="BS49" i="7"/>
  <c r="AX26" i="7"/>
  <c r="BN26" i="7"/>
  <c r="AH26" i="7"/>
  <c r="BF59" i="7"/>
  <c r="AP59" i="7"/>
  <c r="BV59" i="7"/>
  <c r="BT56" i="7"/>
  <c r="BD56" i="7"/>
  <c r="AN56" i="7"/>
  <c r="AY64" i="7"/>
  <c r="BO64" i="7"/>
  <c r="AI64" i="7"/>
  <c r="BC64" i="7"/>
  <c r="BS64" i="7"/>
  <c r="AM64" i="7"/>
  <c r="BB64" i="7"/>
  <c r="BR64" i="7"/>
  <c r="AL64" i="7"/>
  <c r="BR43" i="7"/>
  <c r="BB43" i="7"/>
  <c r="AL43" i="7"/>
  <c r="BS5" i="7"/>
  <c r="BC5" i="7"/>
  <c r="BE34" i="7"/>
  <c r="BU34" i="7"/>
  <c r="AO34" i="7"/>
  <c r="BD4" i="7"/>
  <c r="BT4" i="7"/>
  <c r="BH5" i="7"/>
  <c r="BX5" i="7"/>
  <c r="AZ42" i="7"/>
  <c r="AJ42" i="7"/>
  <c r="BP42" i="7"/>
  <c r="AO42" i="7"/>
  <c r="BE42" i="7"/>
  <c r="BU42" i="7"/>
  <c r="BK22" i="7"/>
  <c r="AU22" i="7"/>
  <c r="CA22" i="7"/>
  <c r="BJ8" i="7"/>
  <c r="BZ8" i="7"/>
  <c r="BG64" i="7"/>
  <c r="BW64" i="7"/>
  <c r="BH64" i="7"/>
  <c r="AR64" i="7"/>
  <c r="BX64" i="7"/>
  <c r="BT64" i="7"/>
  <c r="AN64" i="7"/>
  <c r="BD64" i="7"/>
  <c r="AX64" i="7"/>
  <c r="BN64" i="7"/>
  <c r="AH64" i="7"/>
  <c r="AJ64" i="7"/>
  <c r="BP64" i="7"/>
  <c r="AZ64" i="7"/>
  <c r="BA64" i="7"/>
  <c r="AK64" i="7"/>
  <c r="BQ64" i="7"/>
  <c r="AQ15" i="7"/>
  <c r="BW15" i="7"/>
  <c r="BG15" i="7"/>
  <c r="BW28" i="7"/>
  <c r="AQ28" i="7"/>
  <c r="BG28" i="7"/>
  <c r="BL15" i="7"/>
  <c r="AV15" i="7"/>
  <c r="CB15" i="7"/>
  <c r="BT45" i="7"/>
  <c r="AN45" i="7"/>
  <c r="BD45" i="7"/>
  <c r="BV63" i="7"/>
  <c r="BF63" i="7"/>
  <c r="AP63" i="7"/>
  <c r="BX22" i="7"/>
  <c r="BH22" i="7"/>
  <c r="AR22" i="7"/>
  <c r="CB40" i="7"/>
  <c r="AV40" i="7"/>
  <c r="BL40" i="7"/>
  <c r="AM38" i="7"/>
  <c r="BS38" i="7"/>
  <c r="BC38" i="7"/>
  <c r="BE26" i="7"/>
  <c r="AO26" i="7"/>
  <c r="BU26" i="7"/>
  <c r="AH42" i="7"/>
  <c r="BN42" i="7"/>
  <c r="AX42" i="7"/>
  <c r="AK42" i="7"/>
  <c r="BQ42" i="7"/>
  <c r="BA42" i="7"/>
  <c r="BK42" i="7"/>
  <c r="AU42" i="7"/>
  <c r="CA42" i="7"/>
  <c r="AT72" i="7"/>
  <c r="BZ72" i="7"/>
  <c r="BJ72" i="7"/>
  <c r="BB69" i="7"/>
  <c r="BR69" i="7"/>
  <c r="AL69" i="7"/>
  <c r="CA58" i="7"/>
  <c r="BK58" i="7"/>
  <c r="AU58" i="7"/>
  <c r="AT43" i="7"/>
  <c r="BZ43" i="7"/>
  <c r="BJ43" i="7"/>
  <c r="AK29" i="7"/>
  <c r="BA29" i="7"/>
  <c r="BQ29" i="7"/>
  <c r="AQ24" i="7"/>
  <c r="BW24" i="7"/>
  <c r="BG24" i="7"/>
  <c r="CB14" i="7"/>
  <c r="BL14" i="7"/>
  <c r="AX14" i="7"/>
  <c r="BN14" i="7"/>
  <c r="AH14" i="7"/>
  <c r="BI14" i="7"/>
  <c r="BY14" i="7"/>
  <c r="BT16" i="7"/>
  <c r="BD16" i="7"/>
  <c r="AN16" i="7"/>
  <c r="CA36" i="7"/>
  <c r="AU36" i="7"/>
  <c r="BK36" i="7"/>
  <c r="BO38" i="7"/>
  <c r="AY38" i="7"/>
  <c r="AI38" i="7"/>
  <c r="BU53" i="7"/>
  <c r="AO53" i="7"/>
  <c r="BE53" i="7"/>
  <c r="BS62" i="7"/>
  <c r="AM62" i="7"/>
  <c r="BC62" i="7"/>
  <c r="BE31" i="7"/>
  <c r="AO31" i="7"/>
  <c r="BU31" i="7"/>
  <c r="BV9" i="7"/>
  <c r="BF9" i="7"/>
  <c r="BF25" i="7"/>
  <c r="AP25" i="7"/>
  <c r="BV25" i="7"/>
  <c r="AO73" i="7"/>
  <c r="BE73" i="7"/>
  <c r="BU73" i="7"/>
  <c r="BB14" i="7"/>
  <c r="BR14" i="7"/>
  <c r="AJ36" i="7"/>
  <c r="AZ36" i="7"/>
  <c r="BP36" i="7"/>
  <c r="BQ49" i="7"/>
  <c r="AK49" i="7"/>
  <c r="BA49" i="7"/>
  <c r="CB21" i="7"/>
  <c r="AV21" i="7"/>
  <c r="BL21" i="7"/>
  <c r="AH21" i="7"/>
  <c r="BN21" i="7"/>
  <c r="AX21" i="7"/>
  <c r="AK21" i="7"/>
  <c r="BA21" i="7"/>
  <c r="BQ21" i="7"/>
  <c r="BI21" i="7"/>
  <c r="BY21" i="7"/>
  <c r="AS21" i="7"/>
  <c r="AI28" i="7"/>
  <c r="AY28" i="7"/>
  <c r="BO28" i="7"/>
  <c r="AH61" i="7"/>
  <c r="BN61" i="7"/>
  <c r="AX61" i="7"/>
  <c r="AM61" i="7"/>
  <c r="BC61" i="7"/>
  <c r="BS61" i="7"/>
  <c r="BY61" i="7"/>
  <c r="AS61" i="7"/>
  <c r="BI61" i="7"/>
  <c r="AN33" i="7"/>
  <c r="BT33" i="7"/>
  <c r="BD33" i="7"/>
  <c r="BW37" i="7"/>
  <c r="BG37" i="7"/>
  <c r="AQ37" i="7"/>
  <c r="BU20" i="7"/>
  <c r="BE20" i="7"/>
  <c r="AO20" i="7"/>
  <c r="BG34" i="7"/>
  <c r="AQ34" i="7"/>
  <c r="BW34" i="7"/>
  <c r="BA11" i="7"/>
  <c r="BQ11" i="7"/>
  <c r="BD67" i="7"/>
  <c r="AN67" i="7"/>
  <c r="AN79" i="7"/>
  <c r="BT67" i="7"/>
  <c r="BG58" i="7"/>
  <c r="AQ58" i="7"/>
  <c r="BW58" i="7"/>
  <c r="BV68" i="7"/>
  <c r="BF68" i="7"/>
  <c r="AP68" i="7"/>
  <c r="BU10" i="7"/>
  <c r="BE10" i="7"/>
  <c r="BW51" i="7"/>
  <c r="AQ51" i="7"/>
  <c r="BG51" i="7"/>
  <c r="AQ60" i="7"/>
  <c r="BW60" i="7"/>
  <c r="BG60" i="7"/>
  <c r="AS67" i="7"/>
  <c r="BY67" i="7"/>
  <c r="BI67" i="7"/>
  <c r="AS79" i="7"/>
  <c r="BL5" i="7"/>
  <c r="CB5" i="7"/>
  <c r="AT54" i="7"/>
  <c r="BJ54" i="7"/>
  <c r="BZ54" i="7"/>
  <c r="BK54" i="7"/>
  <c r="AU54" i="7"/>
  <c r="CA54" i="7"/>
  <c r="AX54" i="7"/>
  <c r="AH54" i="7"/>
  <c r="BN54" i="7"/>
  <c r="BP54" i="7"/>
  <c r="AJ54" i="7"/>
  <c r="AZ54" i="7"/>
  <c r="K23" i="6"/>
  <c r="X24" i="7" s="1"/>
  <c r="BQ24" i="7"/>
  <c r="AK24" i="7"/>
  <c r="BN24" i="7"/>
  <c r="AX24" i="7"/>
  <c r="AH24" i="7"/>
  <c r="BI24" i="7"/>
  <c r="AS24" i="7"/>
  <c r="BY24" i="7"/>
  <c r="BP76" i="7"/>
  <c r="AZ76" i="7"/>
  <c r="AJ76" i="7"/>
  <c r="BT76" i="7"/>
  <c r="BD76" i="7"/>
  <c r="AN76" i="7"/>
  <c r="BJ76" i="7"/>
  <c r="BZ76" i="7"/>
  <c r="AT76" i="7"/>
  <c r="BV76" i="7"/>
  <c r="BF76" i="7"/>
  <c r="AP76" i="7"/>
  <c r="BC76" i="7"/>
  <c r="BS76" i="7"/>
  <c r="AM76" i="7"/>
  <c r="AY68" i="7"/>
  <c r="BO68" i="7"/>
  <c r="AI68" i="7"/>
  <c r="BL68" i="7"/>
  <c r="AV68" i="7"/>
  <c r="CB68" i="7"/>
  <c r="AX68" i="7"/>
  <c r="BN68" i="7"/>
  <c r="AH68" i="7"/>
  <c r="BD68" i="7"/>
  <c r="AN68" i="7"/>
  <c r="BT68" i="7"/>
  <c r="BC68" i="7"/>
  <c r="AM68" i="7"/>
  <c r="BS68" i="7"/>
  <c r="BY6" i="7"/>
  <c r="BI6" i="7"/>
  <c r="AK72" i="7"/>
  <c r="BA72" i="7"/>
  <c r="BQ72" i="7"/>
  <c r="BP73" i="7"/>
  <c r="AJ73" i="7"/>
  <c r="AZ73" i="7"/>
  <c r="BR6" i="7"/>
  <c r="BB6" i="7"/>
  <c r="BA32" i="7"/>
  <c r="AK32" i="7"/>
  <c r="BQ32" i="7"/>
  <c r="BV36" i="7"/>
  <c r="AP36" i="7"/>
  <c r="BF36" i="7"/>
  <c r="AX36" i="7"/>
  <c r="BN36" i="7"/>
  <c r="AH36" i="7"/>
  <c r="BT36" i="7"/>
  <c r="BD36" i="7"/>
  <c r="AY56" i="7"/>
  <c r="BO56" i="7"/>
  <c r="AI56" i="7"/>
  <c r="BN3" i="7"/>
  <c r="AX3" i="7"/>
  <c r="AH3" i="7"/>
  <c r="AI67" i="7"/>
  <c r="AI79" i="7"/>
  <c r="BO67" i="7"/>
  <c r="AY67" i="7"/>
  <c r="AJ46" i="7"/>
  <c r="AZ46" i="7"/>
  <c r="BP46" i="7"/>
  <c r="CA43" i="7"/>
  <c r="AU43" i="7"/>
  <c r="BK43" i="7"/>
  <c r="AL60" i="7"/>
  <c r="BR60" i="7"/>
  <c r="BB60" i="7"/>
  <c r="BC77" i="7"/>
  <c r="AM77" i="7"/>
  <c r="BS77" i="7"/>
  <c r="AZ28" i="7"/>
  <c r="BP28" i="7"/>
  <c r="AJ28" i="7"/>
  <c r="BV28" i="7"/>
  <c r="AP28" i="7"/>
  <c r="BF28" i="7"/>
  <c r="BX28" i="7"/>
  <c r="BH28" i="7"/>
  <c r="AK28" i="7"/>
  <c r="BA28" i="7"/>
  <c r="BQ28" i="7"/>
  <c r="BI15" i="7"/>
  <c r="AS15" i="7"/>
  <c r="BY15" i="7"/>
  <c r="BT15" i="7"/>
  <c r="BD15" i="7"/>
  <c r="AN15" i="7"/>
  <c r="AH15" i="7"/>
  <c r="BN15" i="7"/>
  <c r="AX15" i="7"/>
  <c r="BA15" i="7"/>
  <c r="BQ15" i="7"/>
  <c r="AK15" i="7"/>
  <c r="BE6" i="7"/>
  <c r="BU6" i="7"/>
  <c r="BS39" i="7"/>
  <c r="AM39" i="7"/>
  <c r="BC39" i="7"/>
  <c r="BN39" i="7"/>
  <c r="AH39" i="7"/>
  <c r="AX39" i="7"/>
  <c r="BB39" i="7"/>
  <c r="BR39" i="7"/>
  <c r="AL39" i="7"/>
  <c r="BO39" i="7"/>
  <c r="AY39" i="7"/>
  <c r="AI39" i="7"/>
  <c r="BG10" i="7"/>
  <c r="BW10" i="7"/>
  <c r="BE30" i="7"/>
  <c r="AO30" i="7"/>
  <c r="BU30" i="7"/>
  <c r="BK30" i="7"/>
  <c r="CA30" i="7"/>
  <c r="AU30" i="7"/>
  <c r="BX56" i="7"/>
  <c r="AR56" i="7"/>
  <c r="BP56" i="7"/>
  <c r="AJ56" i="7"/>
  <c r="AZ56" i="7"/>
  <c r="BG56" i="7"/>
  <c r="BW56" i="7"/>
  <c r="AQ56" i="7"/>
  <c r="AH56" i="7"/>
  <c r="AX56" i="7"/>
  <c r="BN56" i="7"/>
  <c r="AS56" i="7"/>
  <c r="BY56" i="7"/>
  <c r="BI56" i="7"/>
  <c r="BP17" i="7"/>
  <c r="AZ17" i="7"/>
  <c r="AJ17" i="7"/>
  <c r="AO47" i="7"/>
  <c r="BE47" i="7"/>
  <c r="BU47" i="7"/>
  <c r="BZ33" i="7"/>
  <c r="BJ33" i="7"/>
  <c r="AT33" i="7"/>
  <c r="AV33" i="7"/>
  <c r="BL33" i="7"/>
  <c r="CB33" i="7"/>
  <c r="BR73" i="7"/>
  <c r="BB73" i="7"/>
  <c r="AL73" i="7"/>
  <c r="BC50" i="7"/>
  <c r="AM50" i="7"/>
  <c r="BS50" i="7"/>
  <c r="BU58" i="7"/>
  <c r="BE58" i="7"/>
  <c r="AO58" i="7"/>
  <c r="BS4" i="7"/>
  <c r="BC4" i="7"/>
  <c r="CA13" i="7"/>
  <c r="BK13" i="7"/>
  <c r="BD54" i="7"/>
  <c r="BT54" i="7"/>
  <c r="AN54" i="7"/>
  <c r="AT79" i="7"/>
  <c r="BZ67" i="7"/>
  <c r="AT67" i="7"/>
  <c r="BV10" i="7"/>
  <c r="BF10" i="7"/>
  <c r="BS17" i="7"/>
  <c r="AM17" i="7"/>
  <c r="BC17" i="7"/>
  <c r="AK17" i="7"/>
  <c r="BA17" i="7"/>
  <c r="BQ17" i="7"/>
  <c r="AY17" i="7"/>
  <c r="AI17" i="7"/>
  <c r="BO17" i="7"/>
  <c r="BJ7" i="7"/>
  <c r="BZ7" i="7"/>
  <c r="BI32" i="7"/>
  <c r="AS32" i="7"/>
  <c r="BY32" i="7"/>
  <c r="BB23" i="7"/>
  <c r="AL23" i="7"/>
  <c r="BR23" i="7"/>
  <c r="BO34" i="7"/>
  <c r="AI34" i="7"/>
  <c r="AY34" i="7"/>
  <c r="BV72" i="7"/>
  <c r="BF72" i="7"/>
  <c r="AP72" i="7"/>
  <c r="CA34" i="7"/>
  <c r="BK34" i="7"/>
  <c r="AU34" i="7"/>
  <c r="BV8" i="7"/>
  <c r="BF8" i="7"/>
  <c r="AN61" i="7"/>
  <c r="BT61" i="7"/>
  <c r="BD61" i="7"/>
  <c r="BY47" i="7"/>
  <c r="AS47" i="7"/>
  <c r="BI47" i="7"/>
  <c r="BZ12" i="7"/>
  <c r="BJ12" i="7"/>
  <c r="CB60" i="7"/>
  <c r="BL60" i="7"/>
  <c r="AV60" i="7"/>
  <c r="BI11" i="7"/>
  <c r="BY11" i="7"/>
  <c r="BY73" i="7"/>
  <c r="BI73" i="7"/>
  <c r="AS73" i="7"/>
  <c r="BD71" i="7"/>
  <c r="BT71" i="7"/>
  <c r="AN71" i="7"/>
  <c r="BP35" i="7"/>
  <c r="AJ35" i="7"/>
  <c r="AZ35" i="7"/>
  <c r="AH72" i="7"/>
  <c r="BN72" i="7"/>
  <c r="AX72" i="7"/>
  <c r="AM72" i="7"/>
  <c r="BC72" i="7"/>
  <c r="BS72" i="7"/>
  <c r="CA72" i="7"/>
  <c r="BK72" i="7"/>
  <c r="AU72" i="7"/>
  <c r="BW72" i="7"/>
  <c r="BG72" i="7"/>
  <c r="AQ72" i="7"/>
  <c r="BK5" i="7"/>
  <c r="CA5" i="7"/>
  <c r="CB27" i="7"/>
  <c r="AV27" i="7"/>
  <c r="BL27" i="7"/>
  <c r="BI54" i="7"/>
  <c r="AS54" i="7"/>
  <c r="BY54" i="7"/>
  <c r="AX62" i="7"/>
  <c r="AH62" i="7"/>
  <c r="BN62" i="7"/>
  <c r="AI62" i="7"/>
  <c r="BO62" i="7"/>
  <c r="AY62" i="7"/>
  <c r="AN62" i="7"/>
  <c r="BD62" i="7"/>
  <c r="BT62" i="7"/>
  <c r="BW62" i="7"/>
  <c r="AQ62" i="7"/>
  <c r="BG62" i="7"/>
  <c r="BE62" i="7"/>
  <c r="AO62" i="7"/>
  <c r="BU62" i="7"/>
  <c r="BS6" i="7"/>
  <c r="BC6" i="7"/>
  <c r="H44" i="6"/>
  <c r="U45" i="7" s="1"/>
  <c r="AK57" i="7" s="1"/>
  <c r="AX45" i="7"/>
  <c r="BN45" i="7"/>
  <c r="AH45" i="7"/>
  <c r="AL45" i="7"/>
  <c r="BR45" i="7"/>
  <c r="BB45" i="7"/>
  <c r="AX77" i="7"/>
  <c r="BN77" i="7"/>
  <c r="AH77" i="7"/>
  <c r="BZ77" i="7"/>
  <c r="BJ77" i="7"/>
  <c r="AT77" i="7"/>
  <c r="BX77" i="7"/>
  <c r="BH77" i="7"/>
  <c r="AR77" i="7"/>
  <c r="AY78" i="7"/>
  <c r="AI77" i="7"/>
  <c r="AY77" i="7"/>
  <c r="BO77" i="7"/>
  <c r="BR77" i="7"/>
  <c r="BB77" i="7"/>
  <c r="AL77" i="7"/>
  <c r="BU77" i="7"/>
  <c r="BE77" i="7"/>
  <c r="AO77" i="7"/>
  <c r="AV77" i="7"/>
  <c r="CB77" i="7"/>
  <c r="BL77" i="7"/>
  <c r="BI7" i="7"/>
  <c r="BY7" i="7"/>
  <c r="AV46" i="7"/>
  <c r="CB46" i="7"/>
  <c r="BL46" i="7"/>
  <c r="BF48" i="7"/>
  <c r="BV48" i="7"/>
  <c r="AP48" i="7"/>
  <c r="AV24" i="7"/>
  <c r="BL24" i="7"/>
  <c r="CB24" i="7"/>
  <c r="BR74" i="7"/>
  <c r="AL74" i="7"/>
  <c r="BB74" i="7"/>
  <c r="BE36" i="7"/>
  <c r="AO36" i="7"/>
  <c r="BU36" i="7"/>
  <c r="AY45" i="7"/>
  <c r="AI45" i="7"/>
  <c r="BO45" i="7"/>
  <c r="BO53" i="7"/>
  <c r="AI53" i="7"/>
  <c r="AY53" i="7"/>
  <c r="AX53" i="7"/>
  <c r="AH53" i="7"/>
  <c r="BN53" i="7"/>
  <c r="BX53" i="7"/>
  <c r="BH53" i="7"/>
  <c r="AR53" i="7"/>
  <c r="BH32" i="7"/>
  <c r="BX32" i="7"/>
  <c r="AX63" i="7"/>
  <c r="BN63" i="7"/>
  <c r="AH63" i="7"/>
  <c r="AV63" i="7"/>
  <c r="BL63" i="7"/>
  <c r="CB63" i="7"/>
  <c r="BA63" i="7"/>
  <c r="AK63" i="7"/>
  <c r="BQ63" i="7"/>
  <c r="BJ63" i="7"/>
  <c r="AT63" i="7"/>
  <c r="BZ63" i="7"/>
  <c r="BQ9" i="7"/>
  <c r="BA9" i="7"/>
  <c r="BX7" i="7"/>
  <c r="BH7" i="7"/>
  <c r="BR4" i="7"/>
  <c r="BB4" i="7"/>
  <c r="BU19" i="7"/>
  <c r="AO19" i="7"/>
  <c r="BE19" i="7"/>
  <c r="BQ19" i="7"/>
  <c r="AK19" i="7"/>
  <c r="BA19" i="7"/>
  <c r="BB19" i="7"/>
  <c r="AL19" i="7"/>
  <c r="BR19" i="7"/>
  <c r="BC19" i="7"/>
  <c r="AM19" i="7"/>
  <c r="BS19" i="7"/>
  <c r="AR19" i="7"/>
  <c r="BH19" i="7"/>
  <c r="BX19" i="7"/>
  <c r="BS54" i="7"/>
  <c r="AM54" i="7"/>
  <c r="BC54" i="7"/>
  <c r="BZ4" i="7"/>
  <c r="BJ4" i="7"/>
  <c r="BQ4" i="7"/>
  <c r="BA4" i="7"/>
  <c r="BR8" i="7"/>
  <c r="BB8" i="7"/>
  <c r="AU75" i="7"/>
  <c r="CA75" i="7"/>
  <c r="BK75" i="7"/>
  <c r="AV61" i="7"/>
  <c r="BL61" i="7"/>
  <c r="CB61" i="7"/>
  <c r="CA7" i="7"/>
  <c r="BK7" i="7"/>
  <c r="BE57" i="7"/>
  <c r="AO57" i="7"/>
  <c r="BU57" i="7"/>
  <c r="AR47" i="7"/>
  <c r="BX47" i="7"/>
  <c r="BH47" i="7"/>
  <c r="AY74" i="7"/>
  <c r="AI74" i="7"/>
  <c r="BO74" i="7"/>
  <c r="BS37" i="7"/>
  <c r="BC37" i="7"/>
  <c r="AM37" i="7"/>
  <c r="CB37" i="7"/>
  <c r="BL37" i="7"/>
  <c r="AV37" i="7"/>
  <c r="CB13" i="7"/>
  <c r="BL13" i="7"/>
  <c r="BC12" i="7"/>
  <c r="BS12" i="7"/>
  <c r="AN28" i="7"/>
  <c r="BT28" i="7"/>
  <c r="BD28" i="7"/>
  <c r="AL72" i="7"/>
  <c r="BB72" i="7"/>
  <c r="BR72" i="7"/>
  <c r="BZ75" i="7"/>
  <c r="AT75" i="7"/>
  <c r="BJ75" i="7"/>
  <c r="BZ18" i="7"/>
  <c r="BJ18" i="7"/>
  <c r="AT18" i="7"/>
  <c r="AJ19" i="7"/>
  <c r="BP19" i="7"/>
  <c r="AZ19" i="7"/>
  <c r="BL9" i="7"/>
  <c r="CB9" i="7"/>
  <c r="AO61" i="7"/>
  <c r="BU61" i="7"/>
  <c r="BE61" i="7"/>
  <c r="M37" i="6"/>
  <c r="Z38" i="7" s="1"/>
  <c r="AP50" i="7" s="1"/>
  <c r="BJ38" i="7"/>
  <c r="BZ38" i="7"/>
  <c r="AT38" i="7"/>
  <c r="CA38" i="7"/>
  <c r="BK38" i="7"/>
  <c r="AU38" i="7"/>
  <c r="AH38" i="7"/>
  <c r="BN38" i="7"/>
  <c r="AX38" i="7"/>
  <c r="BB38" i="7"/>
  <c r="BR38" i="7"/>
  <c r="AL38" i="7"/>
  <c r="AR66" i="7"/>
  <c r="BX66" i="7"/>
  <c r="BH66" i="7"/>
  <c r="BV60" i="7"/>
  <c r="BF60" i="7"/>
  <c r="AP60" i="7"/>
  <c r="BS78" i="7"/>
  <c r="BC78" i="7"/>
  <c r="AM78" i="7"/>
  <c r="BC79" i="7"/>
  <c r="BZ44" i="7"/>
  <c r="AT44" i="7"/>
  <c r="BJ44" i="7"/>
  <c r="BX71" i="7"/>
  <c r="BH71" i="7"/>
  <c r="AR71" i="7"/>
  <c r="AL57" i="7"/>
  <c r="BR57" i="7"/>
  <c r="BB57" i="7"/>
  <c r="BG79" i="7"/>
  <c r="BW78" i="7"/>
  <c r="BG78" i="7"/>
  <c r="AQ78" i="7"/>
  <c r="CB41" i="7"/>
  <c r="BL41" i="7"/>
  <c r="AV41" i="7"/>
  <c r="AJ70" i="7"/>
  <c r="BP70" i="7"/>
  <c r="AZ70" i="7"/>
  <c r="BT11" i="7"/>
  <c r="BD11" i="7"/>
  <c r="BT9" i="7"/>
  <c r="BD9" i="7"/>
  <c r="BY34" i="7"/>
  <c r="BI34" i="7"/>
  <c r="AS34" i="7"/>
  <c r="AR33" i="7"/>
  <c r="BX33" i="7"/>
  <c r="BH33" i="7"/>
  <c r="BE69" i="7"/>
  <c r="AO69" i="7"/>
  <c r="BU69" i="7"/>
  <c r="AU33" i="7"/>
  <c r="BK33" i="7"/>
  <c r="CA33" i="7"/>
  <c r="AM57" i="7"/>
  <c r="BS57" i="7"/>
  <c r="BC57" i="7"/>
  <c r="AI57" i="7"/>
  <c r="AY57" i="7"/>
  <c r="BO57" i="7"/>
  <c r="CB31" i="7"/>
  <c r="AV31" i="7"/>
  <c r="BL31" i="7"/>
  <c r="Q26" i="6"/>
  <c r="AD27" i="7" s="1"/>
  <c r="AU27" i="7"/>
  <c r="CA27" i="7"/>
  <c r="BK27" i="7"/>
  <c r="BN27" i="7"/>
  <c r="AH27" i="7"/>
  <c r="AX27" i="7"/>
  <c r="BW39" i="7"/>
  <c r="AQ39" i="7"/>
  <c r="BG39" i="7"/>
  <c r="CB25" i="7"/>
  <c r="AV25" i="7"/>
  <c r="BL25" i="7"/>
  <c r="BX42" i="7"/>
  <c r="AR42" i="7"/>
  <c r="BH42" i="7"/>
  <c r="BW46" i="7"/>
  <c r="BG46" i="7"/>
  <c r="AQ46" i="7"/>
  <c r="BD44" i="7"/>
  <c r="BT44" i="7"/>
  <c r="AN44" i="7"/>
  <c r="CB26" i="7"/>
  <c r="AV26" i="7"/>
  <c r="BL26" i="7"/>
  <c r="CB44" i="7"/>
  <c r="BL44" i="7"/>
  <c r="AV44" i="7"/>
  <c r="AS41" i="7"/>
  <c r="BI41" i="7"/>
  <c r="BY41" i="7"/>
  <c r="BR54" i="7"/>
  <c r="AL54" i="7"/>
  <c r="BB54" i="7"/>
  <c r="BE46" i="7"/>
  <c r="BU46" i="7"/>
  <c r="AO46" i="7"/>
  <c r="BK41" i="7"/>
  <c r="AU41" i="7"/>
  <c r="CA41" i="7"/>
  <c r="AX48" i="7"/>
  <c r="AH48" i="7"/>
  <c r="BN48" i="7"/>
  <c r="AI48" i="7"/>
  <c r="AY48" i="7"/>
  <c r="BO48" i="7"/>
  <c r="BD73" i="7"/>
  <c r="BT73" i="7"/>
  <c r="AN73" i="7"/>
  <c r="AS69" i="7"/>
  <c r="BI69" i="7"/>
  <c r="BY69" i="7"/>
  <c r="AM67" i="7"/>
  <c r="BS67" i="7"/>
  <c r="AM79" i="7"/>
  <c r="BC67" i="7"/>
  <c r="AL22" i="7"/>
  <c r="BB22" i="7"/>
  <c r="BR22" i="7"/>
  <c r="BF52" i="7"/>
  <c r="BL52" i="7"/>
  <c r="AV52" i="7"/>
  <c r="CB52" i="7"/>
  <c r="BR58" i="7"/>
  <c r="BB58" i="7"/>
  <c r="AL58" i="7"/>
  <c r="BA53" i="7"/>
  <c r="BQ53" i="7"/>
  <c r="BZ6" i="7"/>
  <c r="BJ6" i="7"/>
  <c r="BG69" i="7"/>
  <c r="BW69" i="7"/>
  <c r="AQ69" i="7"/>
  <c r="BE44" i="7"/>
  <c r="AO44" i="7"/>
  <c r="BU44" i="7"/>
  <c r="BO14" i="7"/>
  <c r="AY14" i="7"/>
  <c r="AM23" i="7"/>
  <c r="BS23" i="7"/>
  <c r="BC23" i="7"/>
  <c r="AJ44" i="7"/>
  <c r="AZ44" i="7"/>
  <c r="BP44" i="7"/>
  <c r="AQ19" i="7"/>
  <c r="BG19" i="7"/>
  <c r="BW19" i="7"/>
  <c r="AR17" i="7"/>
  <c r="BX17" i="7"/>
  <c r="AR35" i="7"/>
  <c r="BX35" i="7"/>
  <c r="BH35" i="7"/>
  <c r="AJ41" i="7"/>
  <c r="AZ41" i="7"/>
  <c r="BP41" i="7"/>
  <c r="BV54" i="7"/>
  <c r="AP54" i="7"/>
  <c r="AP61" i="7"/>
  <c r="BV61" i="7"/>
  <c r="BF61" i="7"/>
  <c r="CA71" i="7"/>
  <c r="BK71" i="7"/>
  <c r="AU71" i="7"/>
  <c r="BA71" i="7"/>
  <c r="BQ71" i="7"/>
  <c r="AK71" i="7"/>
  <c r="AS71" i="7"/>
  <c r="BI71" i="7"/>
  <c r="BY71" i="7"/>
  <c r="AI71" i="7"/>
  <c r="AY71" i="7"/>
  <c r="BO71" i="7"/>
  <c r="AV71" i="7"/>
  <c r="CB71" i="7"/>
  <c r="BL71" i="7"/>
  <c r="AZ8" i="7"/>
  <c r="BP8" i="7"/>
  <c r="AS64" i="7"/>
  <c r="BY64" i="7"/>
  <c r="BI64" i="7"/>
  <c r="AI21" i="7"/>
  <c r="BO21" i="7"/>
  <c r="AY21" i="7"/>
  <c r="BJ46" i="7"/>
  <c r="BZ46" i="7"/>
  <c r="BE51" i="7"/>
  <c r="BU51" i="7"/>
  <c r="AO51" i="7"/>
  <c r="AX51" i="7"/>
  <c r="BN51" i="7"/>
  <c r="AH51" i="7"/>
  <c r="BT51" i="7"/>
  <c r="BD51" i="7"/>
  <c r="AN51" i="7"/>
  <c r="BQ5" i="7"/>
  <c r="BA5" i="7"/>
  <c r="CA73" i="7"/>
  <c r="AU73" i="7"/>
  <c r="BK73" i="7"/>
  <c r="AY27" i="7"/>
  <c r="BO27" i="7"/>
  <c r="AI27" i="7"/>
  <c r="BC70" i="7"/>
  <c r="BS70" i="7"/>
  <c r="AM70" i="7"/>
  <c r="CA69" i="7"/>
  <c r="BK69" i="7"/>
  <c r="AU69" i="7"/>
  <c r="BR5" i="7"/>
  <c r="BB5" i="7"/>
  <c r="BE50" i="7"/>
  <c r="AO50" i="7"/>
  <c r="BU50" i="7"/>
  <c r="BF69" i="7"/>
  <c r="AP69" i="7"/>
  <c r="BV69" i="7"/>
  <c r="AZ12" i="7"/>
  <c r="BP12" i="7"/>
  <c r="BQ30" i="7"/>
  <c r="BA30" i="7"/>
  <c r="AK30" i="7"/>
  <c r="BF12" i="7"/>
  <c r="BV12" i="7"/>
  <c r="AV57" i="7"/>
  <c r="BL57" i="7"/>
  <c r="CB57" i="7"/>
  <c r="AP34" i="7"/>
  <c r="BV34" i="7"/>
  <c r="BF34" i="7"/>
  <c r="BW12" i="7"/>
  <c r="BG12" i="7"/>
  <c r="AQ18" i="7"/>
  <c r="BW18" i="7"/>
  <c r="BG18" i="7"/>
  <c r="BV29" i="7"/>
  <c r="AP29" i="7"/>
  <c r="BF29" i="7"/>
  <c r="BW26" i="7"/>
  <c r="BG26" i="7"/>
  <c r="AQ26" i="7"/>
  <c r="BJ20" i="7"/>
  <c r="BZ20" i="7"/>
  <c r="AT20" i="7"/>
  <c r="BG74" i="7"/>
  <c r="AQ74" i="7"/>
  <c r="BW74" i="7"/>
  <c r="AX75" i="7"/>
  <c r="BN75" i="7"/>
  <c r="AH75" i="7"/>
  <c r="AJ18" i="7"/>
  <c r="BP18" i="7"/>
  <c r="AZ18" i="7"/>
  <c r="BK23" i="7"/>
  <c r="AU23" i="7"/>
  <c r="CA23" i="7"/>
  <c r="AZ55" i="7"/>
  <c r="BP55" i="7"/>
  <c r="AJ55" i="7"/>
  <c r="AR30" i="7"/>
  <c r="BH30" i="7"/>
  <c r="BX30" i="7"/>
  <c r="BJ79" i="7"/>
  <c r="BJ78" i="7"/>
  <c r="BZ78" i="7"/>
  <c r="BS63" i="7"/>
  <c r="AM63" i="7"/>
  <c r="BC63" i="7"/>
  <c r="BF13" i="7"/>
  <c r="BV13" i="7"/>
  <c r="BH4" i="7"/>
  <c r="BX4" i="7"/>
  <c r="AM27" i="7"/>
  <c r="BC27" i="7"/>
  <c r="BS27" i="7"/>
  <c r="AT15" i="7"/>
  <c r="BJ15" i="7"/>
  <c r="BZ15" i="7"/>
  <c r="BO44" i="7"/>
  <c r="AY44" i="7"/>
  <c r="AI44" i="7"/>
  <c r="AM36" i="7"/>
  <c r="BC36" i="7"/>
  <c r="BS36" i="7"/>
  <c r="BO12" i="7"/>
  <c r="AY12" i="7"/>
  <c r="AJ16" i="7"/>
  <c r="BP16" i="7"/>
  <c r="AZ16" i="7"/>
  <c r="BA34" i="7"/>
  <c r="BQ34" i="7"/>
  <c r="BQ51" i="7"/>
  <c r="AK51" i="7"/>
  <c r="BB40" i="7"/>
  <c r="AL40" i="7"/>
  <c r="BR40" i="7"/>
  <c r="AZ40" i="7"/>
  <c r="AJ40" i="7"/>
  <c r="BP40" i="7"/>
  <c r="BF27" i="7"/>
  <c r="AP27" i="7"/>
  <c r="BV27" i="7"/>
  <c r="BX13" i="7"/>
  <c r="BH13" i="7"/>
  <c r="BO23" i="7"/>
  <c r="AY23" i="7"/>
  <c r="AI23" i="7"/>
  <c r="BT57" i="7"/>
  <c r="BD57" i="7"/>
  <c r="AN57" i="7"/>
  <c r="BY28" i="7"/>
  <c r="BI28" i="7"/>
  <c r="AS28" i="7"/>
  <c r="BS45" i="7"/>
  <c r="AM45" i="7"/>
  <c r="BC45" i="7"/>
  <c r="M52" i="6"/>
  <c r="Z53" i="7" s="1"/>
  <c r="BF54" i="7" s="1"/>
  <c r="AY35" i="7"/>
  <c r="BO35" i="7"/>
  <c r="AI35" i="7"/>
  <c r="AI75" i="7"/>
  <c r="AY75" i="7"/>
  <c r="BO75" i="7"/>
  <c r="BO63" i="7"/>
  <c r="AI63" i="7"/>
  <c r="AY63" i="7"/>
  <c r="BW75" i="7"/>
  <c r="AQ75" i="7"/>
  <c r="BG75" i="7"/>
  <c r="BJ25" i="7"/>
  <c r="BZ25" i="7"/>
  <c r="AT25" i="7"/>
  <c r="AN58" i="7"/>
  <c r="BT58" i="7"/>
  <c r="BD58" i="7"/>
  <c r="BI12" i="7"/>
  <c r="BY12" i="7"/>
  <c r="BQ57" i="7"/>
  <c r="BA57" i="7"/>
  <c r="BS18" i="7"/>
  <c r="AM18" i="7"/>
  <c r="BC18" i="7"/>
  <c r="CA10" i="7"/>
  <c r="BK10" i="7"/>
  <c r="BC20" i="7"/>
  <c r="BS20" i="7"/>
  <c r="AM20" i="7"/>
  <c r="AY72" i="7"/>
  <c r="BO72" i="7"/>
  <c r="AI72" i="7"/>
  <c r="H21" i="6"/>
  <c r="U22" i="7" s="1"/>
  <c r="BD22" i="7"/>
  <c r="AN22" i="7"/>
  <c r="BT22" i="7"/>
  <c r="BO22" i="7"/>
  <c r="AY22" i="7"/>
  <c r="AI22" i="7"/>
  <c r="AO22" i="7"/>
  <c r="BE22" i="7"/>
  <c r="BU22" i="7"/>
  <c r="AZ22" i="7"/>
  <c r="AJ22" i="7"/>
  <c r="BP22" i="7"/>
  <c r="BU4" i="7"/>
  <c r="BE4" i="7"/>
  <c r="Q33" i="6"/>
  <c r="AD34" i="7" s="1"/>
  <c r="BJ35" i="7" s="1"/>
  <c r="AJ34" i="7"/>
  <c r="AZ34" i="7"/>
  <c r="BP34" i="7"/>
  <c r="BD34" i="7"/>
  <c r="AN34" i="7"/>
  <c r="BT34" i="7"/>
  <c r="BX34" i="7"/>
  <c r="BH34" i="7"/>
  <c r="AR34" i="7"/>
  <c r="BG30" i="7"/>
  <c r="BW30" i="7"/>
  <c r="AQ30" i="7"/>
  <c r="AM69" i="7"/>
  <c r="BS69" i="7"/>
  <c r="BC69" i="7"/>
  <c r="BK60" i="7"/>
  <c r="AU60" i="7"/>
  <c r="CA60" i="7"/>
  <c r="BB59" i="7"/>
  <c r="AL59" i="7"/>
  <c r="BR59" i="7"/>
  <c r="BI63" i="7"/>
  <c r="AS63" i="7"/>
  <c r="BY63" i="7"/>
  <c r="BX45" i="7"/>
  <c r="AR45" i="7"/>
  <c r="BH45" i="7"/>
  <c r="AP67" i="7"/>
  <c r="AP79" i="7"/>
  <c r="BV67" i="7"/>
  <c r="BF67" i="7"/>
  <c r="BI52" i="7"/>
  <c r="BY52" i="7"/>
  <c r="AS52" i="7"/>
  <c r="AJ49" i="7"/>
  <c r="BP49" i="7"/>
  <c r="AZ49" i="7"/>
  <c r="AL51" i="7"/>
  <c r="BB51" i="7"/>
  <c r="BR51" i="7"/>
  <c r="AQ22" i="7"/>
  <c r="BG22" i="7"/>
  <c r="BW22" i="7"/>
  <c r="BO58" i="7"/>
  <c r="AY58" i="7"/>
  <c r="AI58" i="7"/>
  <c r="AL75" i="7"/>
  <c r="BR75" i="7"/>
  <c r="BB75" i="7"/>
  <c r="BR65" i="7"/>
  <c r="BB65" i="7"/>
  <c r="AL65" i="7"/>
  <c r="BO10" i="7"/>
  <c r="AY10" i="7"/>
  <c r="BX6" i="7"/>
  <c r="BH6" i="7"/>
  <c r="AM65" i="7"/>
  <c r="BS65" i="7"/>
  <c r="BC65" i="7"/>
  <c r="BY65" i="7"/>
  <c r="BI65" i="7"/>
  <c r="AS65" i="7"/>
  <c r="BV65" i="7"/>
  <c r="BF65" i="7"/>
  <c r="AZ32" i="7"/>
  <c r="AJ32" i="7"/>
  <c r="BP32" i="7"/>
  <c r="H22" i="6"/>
  <c r="U23" i="7" s="1"/>
  <c r="AZ23" i="7"/>
  <c r="AJ23" i="7"/>
  <c r="BP23" i="7"/>
  <c r="AX23" i="7"/>
  <c r="AH23" i="7"/>
  <c r="BN23" i="7"/>
  <c r="AR41" i="7"/>
  <c r="BX41" i="7"/>
  <c r="BH41" i="7"/>
  <c r="AJ25" i="7"/>
  <c r="AZ25" i="7"/>
  <c r="BP25" i="7"/>
  <c r="AZ60" i="7"/>
  <c r="BP60" i="7"/>
  <c r="AJ60" i="7"/>
  <c r="AX60" i="7"/>
  <c r="BN60" i="7"/>
  <c r="AH60" i="7"/>
  <c r="H49" i="6"/>
  <c r="U50" i="7" s="1"/>
  <c r="AK62" i="7" s="1"/>
  <c r="AX50" i="7"/>
  <c r="AH50" i="7"/>
  <c r="BN50" i="7"/>
  <c r="CB50" i="7"/>
  <c r="AV50" i="7"/>
  <c r="BL50" i="7"/>
  <c r="CA15" i="7"/>
  <c r="AU15" i="7"/>
  <c r="BK15" i="7"/>
  <c r="AN37" i="7"/>
  <c r="BD37" i="7"/>
  <c r="BT37" i="7"/>
  <c r="BS9" i="7"/>
  <c r="BC9" i="7"/>
  <c r="AP66" i="7"/>
  <c r="BF66" i="7"/>
  <c r="BV66" i="7"/>
  <c r="O15" i="6"/>
  <c r="AB16" i="7" s="1"/>
  <c r="AR28" i="7" s="1"/>
  <c r="CA16" i="7"/>
  <c r="BK16" i="7"/>
  <c r="AU16" i="7"/>
  <c r="BS16" i="7"/>
  <c r="AM16" i="7"/>
  <c r="BC16" i="7"/>
  <c r="AS31" i="7"/>
  <c r="BI31" i="7"/>
  <c r="BY31" i="7"/>
  <c r="AP49" i="7"/>
  <c r="BF49" i="7"/>
  <c r="BV49" i="7"/>
  <c r="BD48" i="7"/>
  <c r="BT48" i="7"/>
  <c r="AN48" i="7"/>
  <c r="BL18" i="7"/>
  <c r="AV18" i="7"/>
  <c r="CB18" i="7"/>
  <c r="AN41" i="7"/>
  <c r="BD41" i="7"/>
  <c r="BT41" i="7"/>
  <c r="BJ55" i="7"/>
  <c r="BZ55" i="7"/>
  <c r="AT55" i="7"/>
  <c r="AV59" i="7"/>
  <c r="BL59" i="7"/>
  <c r="CB59" i="7"/>
  <c r="BB70" i="7"/>
  <c r="BR70" i="7"/>
  <c r="AL70" i="7"/>
  <c r="CB70" i="7"/>
  <c r="BL70" i="7"/>
  <c r="AV70" i="7"/>
  <c r="BQ20" i="7"/>
  <c r="BA20" i="7"/>
  <c r="AK20" i="7"/>
  <c r="AV42" i="7"/>
  <c r="CB42" i="7"/>
  <c r="BL42" i="7"/>
  <c r="BJ50" i="7"/>
  <c r="AT50" i="7"/>
  <c r="BZ50" i="7"/>
  <c r="AM30" i="7"/>
  <c r="BS30" i="7"/>
  <c r="BC30" i="7"/>
  <c r="BW4" i="7"/>
  <c r="BG4" i="7"/>
  <c r="BF14" i="7"/>
  <c r="BV14" i="7"/>
  <c r="AM53" i="7"/>
  <c r="BS53" i="7"/>
  <c r="BC53" i="7"/>
  <c r="AV75" i="7"/>
  <c r="BL75" i="7"/>
  <c r="CB75" i="7"/>
  <c r="BG49" i="7"/>
  <c r="BW49" i="7"/>
  <c r="AQ49" i="7"/>
  <c r="AH49" i="7"/>
  <c r="BN49" i="7"/>
  <c r="AX49" i="7"/>
  <c r="BY49" i="7"/>
  <c r="AS49" i="7"/>
  <c r="BI49" i="7"/>
  <c r="AI49" i="7"/>
  <c r="BO49" i="7"/>
  <c r="AY49" i="7"/>
  <c r="BN74" i="7"/>
  <c r="AH74" i="7"/>
  <c r="AX74" i="7"/>
  <c r="BD74" i="7"/>
  <c r="AN74" i="7"/>
  <c r="BT74" i="7"/>
  <c r="BV45" i="7"/>
  <c r="AP45" i="7"/>
  <c r="BF45" i="7"/>
  <c r="BT8" i="7"/>
  <c r="BD8" i="7"/>
  <c r="S3" i="7"/>
  <c r="BO3" i="7" s="1"/>
  <c r="BY58" i="7"/>
  <c r="BI58" i="7"/>
  <c r="AS58" i="7"/>
  <c r="BQ58" i="7"/>
  <c r="AK58" i="7"/>
  <c r="BA58" i="7"/>
  <c r="AQ59" i="7"/>
  <c r="BW59" i="7"/>
  <c r="BG59" i="7"/>
  <c r="BG41" i="7"/>
  <c r="BW41" i="7"/>
  <c r="AQ41" i="7"/>
  <c r="AH41" i="7"/>
  <c r="AX41" i="7"/>
  <c r="BN41" i="7"/>
  <c r="AL67" i="7"/>
  <c r="BR67" i="7"/>
  <c r="AL79" i="7"/>
  <c r="BB67" i="7"/>
  <c r="AP20" i="7"/>
  <c r="BV20" i="7"/>
  <c r="BF20" i="7"/>
  <c r="BL20" i="7"/>
  <c r="CB20" i="7"/>
  <c r="AV20" i="7"/>
  <c r="AL15" i="7"/>
  <c r="BR15" i="7"/>
  <c r="BB15" i="7"/>
  <c r="AT21" i="7"/>
  <c r="BJ21" i="7"/>
  <c r="BZ21" i="7"/>
  <c r="AM59" i="7"/>
  <c r="BS59" i="7"/>
  <c r="BC59" i="7"/>
  <c r="BC7" i="7"/>
  <c r="BS7" i="7"/>
  <c r="CB29" i="7"/>
  <c r="BL29" i="7"/>
  <c r="AV29" i="7"/>
  <c r="BO31" i="7"/>
  <c r="AI31" i="7"/>
  <c r="AY31" i="7"/>
  <c r="BS25" i="7"/>
  <c r="BC25" i="7"/>
  <c r="AM25" i="7"/>
  <c r="AH25" i="7"/>
  <c r="AX25" i="7"/>
  <c r="BN25" i="7"/>
  <c r="BD18" i="7"/>
  <c r="BT18" i="7"/>
  <c r="AN18" i="7"/>
  <c r="AR60" i="7"/>
  <c r="BH60" i="7"/>
  <c r="BX60" i="7"/>
  <c r="BQ14" i="7"/>
  <c r="BA14" i="7"/>
  <c r="AY25" i="7"/>
  <c r="BO25" i="7"/>
  <c r="AI25" i="7"/>
  <c r="BE28" i="7"/>
  <c r="AO28" i="7"/>
  <c r="BU28" i="7"/>
  <c r="BV51" i="7"/>
  <c r="AP51" i="7"/>
  <c r="BF51" i="7"/>
  <c r="BR29" i="7"/>
  <c r="BB29" i="7"/>
  <c r="AL29" i="7"/>
  <c r="AO45" i="7"/>
  <c r="BU45" i="7"/>
  <c r="BE45" i="7"/>
  <c r="AN59" i="7"/>
  <c r="BD59" i="7"/>
  <c r="BT59" i="7"/>
  <c r="AN26" i="7"/>
  <c r="BT26" i="7"/>
  <c r="BD26" i="7"/>
  <c r="BY59" i="7"/>
  <c r="BI59" i="7"/>
  <c r="AS59" i="7"/>
  <c r="BB18" i="7"/>
  <c r="AL18" i="7"/>
  <c r="BR18" i="7"/>
  <c r="BP59" i="7"/>
  <c r="AZ59" i="7"/>
  <c r="AJ59" i="7"/>
  <c r="BN43" i="7"/>
  <c r="AH43" i="7"/>
  <c r="AX43" i="7"/>
  <c r="CA68" i="7"/>
  <c r="BK68" i="7"/>
  <c r="AU68" i="7"/>
  <c r="AO55" i="7"/>
  <c r="BU55" i="7"/>
  <c r="BE55" i="7"/>
  <c r="BK32" i="7"/>
  <c r="CA32" i="7"/>
  <c r="AU32" i="7"/>
  <c r="BQ55" i="7"/>
  <c r="AK55" i="7"/>
  <c r="BA55" i="7"/>
  <c r="BN58" i="7"/>
  <c r="AX58" i="7"/>
  <c r="AH58" i="7"/>
  <c r="AJ29" i="7"/>
  <c r="BP29" i="7"/>
  <c r="AZ29" i="7"/>
  <c r="BU37" i="7"/>
  <c r="BE37" i="7"/>
  <c r="AO37" i="7"/>
  <c r="AL21" i="7"/>
  <c r="BB21" i="7"/>
  <c r="BR21" i="7"/>
  <c r="BT78" i="7"/>
  <c r="AN78" i="7"/>
  <c r="BD79" i="7"/>
  <c r="BD78" i="7"/>
  <c r="AO59" i="7"/>
  <c r="BU59" i="7"/>
  <c r="BE59" i="7"/>
  <c r="BF70" i="7"/>
  <c r="BV70" i="7"/>
  <c r="AP70" i="7"/>
  <c r="BG55" i="7"/>
  <c r="AQ55" i="7"/>
  <c r="BW55" i="7"/>
  <c r="BE11" i="7"/>
  <c r="BU11" i="7"/>
  <c r="AK70" i="7"/>
  <c r="BA70" i="7"/>
  <c r="BQ70" i="7"/>
  <c r="CA28" i="7"/>
  <c r="AU28" i="7"/>
  <c r="BK28" i="7"/>
  <c r="AK46" i="7"/>
  <c r="BQ46" i="7"/>
  <c r="BX70" i="7"/>
  <c r="BH70" i="7"/>
  <c r="AR70" i="7"/>
  <c r="O19" i="6"/>
  <c r="AB20" i="7" s="1"/>
  <c r="AX20" i="7"/>
  <c r="BN20" i="7"/>
  <c r="AH20" i="7"/>
  <c r="Q65" i="6"/>
  <c r="AD66" i="7" s="1"/>
  <c r="BD66" i="7"/>
  <c r="BT66" i="7"/>
  <c r="AN66" i="7"/>
  <c r="BY36" i="7"/>
  <c r="BI36" i="7"/>
  <c r="AS36" i="7"/>
  <c r="BH37" i="7"/>
  <c r="AR37" i="7"/>
  <c r="BX37" i="7"/>
  <c r="BU29" i="7"/>
  <c r="BE29" i="7"/>
  <c r="AO29" i="7"/>
  <c r="AH69" i="7"/>
  <c r="AX69" i="7"/>
  <c r="BN69" i="7"/>
  <c r="BL30" i="7"/>
  <c r="AV30" i="7"/>
  <c r="CB30" i="7"/>
  <c r="BO18" i="7"/>
  <c r="AI18" i="7"/>
  <c r="AY18" i="7"/>
  <c r="BU5" i="7"/>
  <c r="BE5" i="7"/>
  <c r="AK31" i="7"/>
  <c r="BA31" i="7"/>
  <c r="BQ31" i="7"/>
  <c r="BP58" i="7"/>
  <c r="AJ58" i="7"/>
  <c r="AZ58" i="7"/>
  <c r="O54" i="6"/>
  <c r="AB55" i="7" s="1"/>
  <c r="BL55" i="7"/>
  <c r="AV55" i="7"/>
  <c r="CB55" i="7"/>
  <c r="AX55" i="7"/>
  <c r="AH55" i="7"/>
  <c r="BN55" i="7"/>
  <c r="BR30" i="7"/>
  <c r="BB30" i="7"/>
  <c r="AL30" i="7"/>
  <c r="CA4" i="7"/>
  <c r="BK4" i="7"/>
  <c r="BJ5" i="7"/>
  <c r="BZ5" i="7"/>
  <c r="BZ73" i="7"/>
  <c r="AT73" i="7"/>
  <c r="BJ73" i="7"/>
  <c r="AL42" i="7"/>
  <c r="BB42" i="7"/>
  <c r="BR42" i="7"/>
  <c r="BB13" i="7"/>
  <c r="BR13" i="7"/>
  <c r="BG13" i="7"/>
  <c r="BW13" i="7"/>
  <c r="BB76" i="7"/>
  <c r="BR76" i="7"/>
  <c r="AL76" i="7"/>
  <c r="BU18" i="7"/>
  <c r="BE18" i="7"/>
  <c r="AO18" i="7"/>
  <c r="BL76" i="7"/>
  <c r="AV76" i="7"/>
  <c r="CB76" i="7"/>
  <c r="AN52" i="7"/>
  <c r="BD52" i="7"/>
  <c r="BT52" i="7"/>
  <c r="BP9" i="7"/>
  <c r="AZ9" i="7"/>
  <c r="BZ11" i="7"/>
  <c r="BJ11" i="7"/>
  <c r="AI36" i="7"/>
  <c r="AY36" i="7"/>
  <c r="BO36" i="7"/>
  <c r="BL4" i="7"/>
  <c r="CB4" i="7"/>
  <c r="AM66" i="7"/>
  <c r="BC66" i="7"/>
  <c r="BS66" i="7"/>
  <c r="BU52" i="7"/>
  <c r="AO52" i="7"/>
  <c r="BE52" i="7"/>
  <c r="M72" i="6"/>
  <c r="Z73" i="7" s="1"/>
  <c r="BN73" i="7"/>
  <c r="AH73" i="7"/>
  <c r="AX73" i="7"/>
  <c r="AZ47" i="7"/>
  <c r="AJ47" i="7"/>
  <c r="BP47" i="7"/>
  <c r="BS43" i="7"/>
  <c r="AM43" i="7"/>
  <c r="BC43" i="7"/>
  <c r="AO35" i="7"/>
  <c r="BE35" i="7"/>
  <c r="BU35" i="7"/>
  <c r="BP33" i="7"/>
  <c r="AZ33" i="7"/>
  <c r="AJ33" i="7"/>
  <c r="AT41" i="7"/>
  <c r="BZ41" i="7"/>
  <c r="BJ41" i="7"/>
  <c r="BY8" i="7"/>
  <c r="BI8" i="7"/>
  <c r="AO75" i="7"/>
  <c r="BE75" i="7"/>
  <c r="BU75" i="7"/>
  <c r="BK47" i="7"/>
  <c r="AU47" i="7"/>
  <c r="CA47" i="7"/>
  <c r="BD46" i="7"/>
  <c r="AN46" i="7"/>
  <c r="BT46" i="7"/>
  <c r="BA10" i="7"/>
  <c r="BQ10" i="7"/>
  <c r="CB39" i="7"/>
  <c r="BL39" i="7"/>
  <c r="AV39" i="7"/>
  <c r="BW57" i="7"/>
  <c r="BG57" i="7"/>
  <c r="AQ57" i="7"/>
  <c r="BS13" i="7"/>
  <c r="BC13" i="7"/>
  <c r="BG61" i="7"/>
  <c r="BW61" i="7"/>
  <c r="AQ61" i="7"/>
  <c r="AY43" i="7"/>
  <c r="BO43" i="7"/>
  <c r="AI43" i="7"/>
  <c r="BI9" i="7"/>
  <c r="BY9" i="7"/>
  <c r="AO27" i="7"/>
  <c r="BE27" i="7"/>
  <c r="BU27" i="7"/>
  <c r="BT53" i="7"/>
  <c r="BD53" i="7"/>
  <c r="AN53" i="7"/>
  <c r="AJ21" i="7"/>
  <c r="BP21" i="7"/>
  <c r="AZ21" i="7"/>
  <c r="BR47" i="7"/>
  <c r="AL47" i="7"/>
  <c r="BB47" i="7"/>
  <c r="AY69" i="7"/>
  <c r="BO69" i="7"/>
  <c r="AI69" i="7"/>
  <c r="BN32" i="7"/>
  <c r="AH32" i="7"/>
  <c r="AX32" i="7"/>
  <c r="BX65" i="7"/>
  <c r="BH65" i="7"/>
  <c r="AR65" i="7"/>
  <c r="AK44" i="7"/>
  <c r="BQ44" i="7"/>
  <c r="BA44" i="7"/>
  <c r="BY13" i="7"/>
  <c r="BI13" i="7"/>
  <c r="BK57" i="7"/>
  <c r="AU57" i="7"/>
  <c r="CA57" i="7"/>
  <c r="BC8" i="7"/>
  <c r="BS8" i="7"/>
  <c r="AU37" i="7"/>
  <c r="BK37" i="7"/>
  <c r="CA37" i="7"/>
  <c r="AS66" i="7"/>
  <c r="BY66" i="7"/>
  <c r="BI66" i="7"/>
  <c r="BE70" i="7"/>
  <c r="BU70" i="7"/>
  <c r="AO70" i="7"/>
  <c r="CA65" i="7"/>
  <c r="AU65" i="7"/>
  <c r="BK65" i="7"/>
  <c r="BC47" i="7"/>
  <c r="AM47" i="7"/>
  <c r="BS47" i="7"/>
  <c r="AR46" i="7"/>
  <c r="BX46" i="7"/>
  <c r="BH46" i="7"/>
  <c r="F28" i="6"/>
  <c r="S29" i="7" s="1"/>
  <c r="AY30" i="7" s="1"/>
  <c r="AH29" i="7"/>
  <c r="BN29" i="7"/>
  <c r="AX29" i="7"/>
  <c r="BI43" i="7"/>
  <c r="BY43" i="7"/>
  <c r="AS43" i="7"/>
  <c r="BQ6" i="7"/>
  <c r="BA6" i="7"/>
  <c r="AK59" i="7"/>
  <c r="BQ59" i="7"/>
  <c r="BA59" i="7"/>
  <c r="AJ26" i="7"/>
  <c r="AZ26" i="7"/>
  <c r="BP26" i="7"/>
  <c r="AP64" i="7"/>
  <c r="BF64" i="7"/>
  <c r="BV64" i="7"/>
  <c r="AX70" i="7"/>
  <c r="BN70" i="7"/>
  <c r="AH70" i="7"/>
  <c r="AY24" i="7"/>
  <c r="BO24" i="7"/>
  <c r="AI24" i="7"/>
  <c r="AU20" i="7"/>
  <c r="BK20" i="7"/>
  <c r="CA20" i="7"/>
  <c r="BB49" i="7"/>
  <c r="AL49" i="7"/>
  <c r="BR49" i="7"/>
  <c r="BY74" i="7"/>
  <c r="AS74" i="7"/>
  <c r="BI74" i="7"/>
  <c r="BX26" i="7"/>
  <c r="AR26" i="7"/>
  <c r="BH26" i="7"/>
  <c r="AM52" i="7"/>
  <c r="BS52" i="7"/>
  <c r="BC52" i="7"/>
  <c r="BX9" i="7"/>
  <c r="BH9" i="7"/>
  <c r="BS10" i="7"/>
  <c r="BC10" i="7"/>
  <c r="AQ77" i="7"/>
  <c r="BG77" i="7"/>
  <c r="BW77" i="7"/>
  <c r="CB12" i="7"/>
  <c r="BL12" i="7"/>
  <c r="AM24" i="7"/>
  <c r="BS24" i="7"/>
  <c r="BC24" i="7"/>
  <c r="AS75" i="7"/>
  <c r="BI75" i="7"/>
  <c r="BY75" i="7"/>
  <c r="BK63" i="7"/>
  <c r="AU63" i="7"/>
  <c r="CA63" i="7"/>
  <c r="BA46" i="7" l="1"/>
  <c r="AP52" i="7"/>
  <c r="AP56" i="7"/>
  <c r="AP65" i="7"/>
  <c r="AR67" i="7"/>
  <c r="BH55" i="7"/>
  <c r="BX55" i="7"/>
  <c r="AR55" i="7"/>
  <c r="BZ66" i="7"/>
  <c r="BJ66" i="7"/>
  <c r="AT66" i="7"/>
  <c r="AR32" i="7"/>
  <c r="BH20" i="7"/>
  <c r="AR20" i="7"/>
  <c r="BX20" i="7"/>
  <c r="BQ23" i="7"/>
  <c r="BA23" i="7"/>
  <c r="AK23" i="7"/>
  <c r="BQ22" i="7"/>
  <c r="BA22" i="7"/>
  <c r="AK22" i="7"/>
  <c r="AK34" i="7"/>
  <c r="BZ27" i="7"/>
  <c r="AT27" i="7"/>
  <c r="BJ27" i="7"/>
  <c r="AK45" i="7"/>
  <c r="BQ45" i="7"/>
  <c r="BA45" i="7"/>
  <c r="BJ67" i="7"/>
  <c r="BH56" i="7"/>
  <c r="BD25" i="7"/>
  <c r="BT24" i="7"/>
  <c r="AN24" i="7"/>
  <c r="BD24" i="7"/>
  <c r="AI46" i="7"/>
  <c r="BO46" i="7"/>
  <c r="AY46" i="7"/>
  <c r="AK35" i="7"/>
  <c r="AQ52" i="7"/>
  <c r="BW52" i="7"/>
  <c r="BG52" i="7"/>
  <c r="AI41" i="7"/>
  <c r="AT65" i="7"/>
  <c r="BZ65" i="7"/>
  <c r="BJ65" i="7"/>
  <c r="BQ68" i="7"/>
  <c r="AK68" i="7"/>
  <c r="BA68" i="7"/>
  <c r="BH21" i="7"/>
  <c r="AI29" i="7"/>
  <c r="AY29" i="7"/>
  <c r="BO29" i="7"/>
  <c r="AP73" i="7"/>
  <c r="BF73" i="7"/>
  <c r="BV73" i="7"/>
  <c r="P14" i="5"/>
  <c r="BX16" i="7"/>
  <c r="AR16" i="7"/>
  <c r="BH16" i="7"/>
  <c r="BQ50" i="7"/>
  <c r="BA50" i="7"/>
  <c r="AK50" i="7"/>
  <c r="AT34" i="7"/>
  <c r="BZ34" i="7"/>
  <c r="BJ34" i="7"/>
  <c r="AP53" i="7"/>
  <c r="BV53" i="7"/>
  <c r="BF53" i="7"/>
  <c r="BA51" i="7"/>
  <c r="AT78" i="7"/>
  <c r="AT46" i="7"/>
  <c r="BH17" i="7"/>
  <c r="BF39" i="7"/>
  <c r="BF38" i="7"/>
  <c r="AP38" i="7"/>
  <c r="BV38" i="7"/>
  <c r="AN36" i="7"/>
  <c r="BA24" i="7"/>
  <c r="AY4" i="7"/>
  <c r="BO13" i="7"/>
  <c r="AY13" i="7"/>
  <c r="AK78" i="7"/>
  <c r="BQ66" i="7"/>
  <c r="AK66" i="7"/>
  <c r="BA66" i="7"/>
  <c r="AK53" i="7"/>
  <c r="AK41" i="7"/>
  <c r="BQ41" i="7"/>
  <c r="BA41" i="7"/>
  <c r="AT39" i="7"/>
  <c r="BC22" i="7"/>
  <c r="BS22" i="7"/>
  <c r="AM22" i="7"/>
  <c r="BF74" i="7"/>
  <c r="BG53" i="7"/>
  <c r="BJ28" i="7"/>
  <c r="BF56" i="7"/>
  <c r="BV56" i="7"/>
  <c r="AY47" i="7"/>
  <c r="AI15" i="7"/>
</calcChain>
</file>

<file path=xl/sharedStrings.xml><?xml version="1.0" encoding="utf-8"?>
<sst xmlns="http://schemas.openxmlformats.org/spreadsheetml/2006/main" count="2679" uniqueCount="182">
  <si>
    <t>机构</t>
  </si>
  <si>
    <t>月份</t>
  </si>
  <si>
    <t>非中短存续期趸缴</t>
  </si>
  <si>
    <t>期缴</t>
  </si>
  <si>
    <t>中短存续期</t>
  </si>
  <si>
    <t>总保费</t>
  </si>
  <si>
    <t>中行</t>
  </si>
  <si>
    <t>农行</t>
  </si>
  <si>
    <t>工行</t>
  </si>
  <si>
    <t>建行</t>
  </si>
  <si>
    <t>邮储</t>
  </si>
  <si>
    <t>银保月末人力</t>
  </si>
  <si>
    <t>人员活动率</t>
  </si>
  <si>
    <t>趸缴人员活动率</t>
  </si>
  <si>
    <t>期缴人员活动率</t>
  </si>
  <si>
    <t>月末网点</t>
  </si>
  <si>
    <t>网点活动率</t>
  </si>
  <si>
    <t>人均产能</t>
  </si>
  <si>
    <t>网均产能</t>
  </si>
  <si>
    <t>保费契撤率</t>
  </si>
  <si>
    <t>考核退保率</t>
  </si>
  <si>
    <t>银保13月保费继续率</t>
  </si>
  <si>
    <t>个险规模保费</t>
  </si>
  <si>
    <t>价值保费</t>
  </si>
  <si>
    <t>承保件数</t>
  </si>
  <si>
    <t>人均产能_价值</t>
  </si>
  <si>
    <t>件均保费_价值</t>
  </si>
  <si>
    <t>个险月末人力</t>
  </si>
  <si>
    <t>月末可出单人力</t>
  </si>
  <si>
    <t>月均人力</t>
  </si>
  <si>
    <t>增员</t>
  </si>
  <si>
    <t>增员率</t>
  </si>
  <si>
    <t>脱落</t>
  </si>
  <si>
    <t>脱落率</t>
  </si>
  <si>
    <t>转正率_3月</t>
  </si>
  <si>
    <t>留存率_6月</t>
  </si>
  <si>
    <t>活动人力</t>
  </si>
  <si>
    <t>活动率</t>
  </si>
  <si>
    <t>星人力</t>
  </si>
  <si>
    <t>入星率</t>
  </si>
  <si>
    <t>个险13月保费继续率</t>
  </si>
  <si>
    <t>团险规模保费</t>
  </si>
  <si>
    <t>短险保费</t>
  </si>
  <si>
    <t>短险_中介</t>
  </si>
  <si>
    <t>短险_直销</t>
  </si>
  <si>
    <t>短险_新渠道</t>
  </si>
  <si>
    <t>银保续期实收保费</t>
  </si>
  <si>
    <t>个险续期实收保费</t>
  </si>
  <si>
    <t>东莞</t>
  </si>
  <si>
    <t>2012-06</t>
  </si>
  <si>
    <t>佛山</t>
  </si>
  <si>
    <t>广东</t>
  </si>
  <si>
    <t>广州</t>
  </si>
  <si>
    <t>湖北</t>
  </si>
  <si>
    <t>江苏</t>
  </si>
  <si>
    <t>山东</t>
  </si>
  <si>
    <t>上海</t>
  </si>
  <si>
    <t>深圳</t>
  </si>
  <si>
    <t>四川</t>
  </si>
  <si>
    <t>苏州</t>
  </si>
  <si>
    <t>中山</t>
  </si>
  <si>
    <t>珠海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</si>
  <si>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</si>
  <si>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</si>
  <si>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</si>
  <si>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</si>
  <si>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</si>
  <si>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</si>
  <si>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</si>
  <si>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</si>
  <si>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</si>
  <si>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</si>
  <si>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</si>
  <si>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</si>
  <si>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</si>
  <si>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</si>
  <si>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</si>
  <si>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</si>
  <si>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</si>
  <si>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</si>
  <si>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</si>
  <si>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</si>
  <si>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</si>
  <si>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</si>
  <si>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</si>
  <si>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</si>
  <si>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</si>
  <si>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</si>
  <si>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</si>
  <si>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</si>
  <si>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</si>
  <si>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</si>
  <si>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</si>
  <si>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</si>
  <si>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</si>
  <si>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</si>
  <si>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</si>
  <si>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</si>
  <si>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</si>
  <si>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</si>
  <si>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</si>
  <si>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</si>
  <si>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</si>
  <si>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</si>
  <si>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</si>
  <si>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</si>
  <si>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</si>
  <si>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</si>
  <si>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</si>
  <si>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</si>
  <si>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</si>
  <si>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</si>
  <si>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</si>
  <si>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</si>
  <si>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</si>
  <si>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</si>
  <si>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</si>
  <si>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</si>
  <si>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</si>
  <si>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</si>
  <si>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</si>
  <si>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</si>
  <si>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</si>
  <si>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</si>
  <si>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</si>
  <si>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</si>
  <si>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</si>
  <si>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</si>
  <si>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</si>
  <si>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</si>
  <si>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</si>
  <si>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2018-04</t>
  </si>
  <si>
    <t>2018-05</t>
  </si>
  <si>
    <t>2018-06</t>
  </si>
  <si>
    <t>2018-07</t>
  </si>
  <si>
    <t>2018-08</t>
  </si>
  <si>
    <t>渠道</t>
    <phoneticPr fontId="3" type="noConversion"/>
  </si>
  <si>
    <t>指标</t>
    <phoneticPr fontId="3" type="noConversion"/>
  </si>
  <si>
    <t>银保渠道</t>
    <phoneticPr fontId="3" type="noConversion"/>
  </si>
  <si>
    <t>个险渠道</t>
    <phoneticPr fontId="3" type="noConversion"/>
  </si>
  <si>
    <t>团险渠道</t>
    <phoneticPr fontId="3" type="noConversion"/>
  </si>
  <si>
    <t>续期渠道</t>
    <phoneticPr fontId="3" type="noConversion"/>
  </si>
  <si>
    <t>公司渠道</t>
    <phoneticPr fontId="3" type="noConversion"/>
  </si>
  <si>
    <t>银保渠道</t>
    <phoneticPr fontId="3" type="noConversion"/>
  </si>
  <si>
    <t>个险渠道</t>
    <phoneticPr fontId="3" type="noConversion"/>
  </si>
  <si>
    <t>团险渠道</t>
    <phoneticPr fontId="3" type="noConversion"/>
  </si>
  <si>
    <t>续期渠道</t>
    <phoneticPr fontId="3" type="noConversion"/>
  </si>
  <si>
    <t>用户选择索引号（一级）</t>
    <phoneticPr fontId="3" type="noConversion"/>
  </si>
  <si>
    <t>用户选择索引号（二级）</t>
    <phoneticPr fontId="3" type="noConversion"/>
  </si>
  <si>
    <t>辅佐公式</t>
    <phoneticPr fontId="3" type="noConversion"/>
  </si>
  <si>
    <t>选择的列号</t>
    <phoneticPr fontId="3" type="noConversion"/>
  </si>
  <si>
    <t>2018-09</t>
  </si>
  <si>
    <t>同比</t>
    <phoneticPr fontId="3" type="noConversion"/>
  </si>
  <si>
    <t>原始</t>
    <phoneticPr fontId="3" type="noConversion"/>
  </si>
  <si>
    <t>环比</t>
    <phoneticPr fontId="3" type="noConversion"/>
  </si>
  <si>
    <t>占比</t>
    <phoneticPr fontId="3" type="noConversion"/>
  </si>
  <si>
    <t>-</t>
  </si>
  <si>
    <t>-</t>
    <phoneticPr fontId="3" type="noConversion"/>
  </si>
  <si>
    <t>数据框</t>
    <phoneticPr fontId="3" type="noConversion"/>
  </si>
  <si>
    <t>年份</t>
    <phoneticPr fontId="3" type="noConversion"/>
  </si>
  <si>
    <t>月份</t>
    <phoneticPr fontId="3" type="noConversion"/>
  </si>
  <si>
    <t>起始</t>
    <phoneticPr fontId="3" type="noConversion"/>
  </si>
  <si>
    <t>结束</t>
    <phoneticPr fontId="3" type="noConversion"/>
  </si>
  <si>
    <t>DD64</t>
    <phoneticPr fontId="3" type="noConversion"/>
  </si>
  <si>
    <t>DD65</t>
    <phoneticPr fontId="3" type="noConversion"/>
  </si>
  <si>
    <t>DD66</t>
    <phoneticPr fontId="3" type="noConversion"/>
  </si>
  <si>
    <t>DD67</t>
    <phoneticPr fontId="3" type="noConversion"/>
  </si>
  <si>
    <t>序列</t>
    <phoneticPr fontId="3" type="noConversion"/>
  </si>
  <si>
    <t>月份序号</t>
    <phoneticPr fontId="3" type="noConversion"/>
  </si>
  <si>
    <t>判断是否显示为百分数</t>
    <phoneticPr fontId="3" type="noConversion"/>
  </si>
  <si>
    <t>用户的选择</t>
    <phoneticPr fontId="3" type="noConversion"/>
  </si>
  <si>
    <t>指标</t>
    <phoneticPr fontId="3" type="noConversion"/>
  </si>
  <si>
    <t>数据类型</t>
    <phoneticPr fontId="3" type="noConversion"/>
  </si>
  <si>
    <t>应该显示的类型</t>
    <phoneticPr fontId="3" type="noConversion"/>
  </si>
  <si>
    <t>整数</t>
    <phoneticPr fontId="3" type="noConversion"/>
  </si>
  <si>
    <t>百分数</t>
    <phoneticPr fontId="3" type="noConversion"/>
  </si>
  <si>
    <t>注：处理用户选择的时间轴。</t>
    <phoneticPr fontId="3" type="noConversion"/>
  </si>
  <si>
    <t>请先选定渠道和指标</t>
    <phoneticPr fontId="3" type="noConversion"/>
  </si>
  <si>
    <t>2018-10</t>
  </si>
  <si>
    <t>银保渠道</t>
  </si>
  <si>
    <t>2018-11</t>
  </si>
  <si>
    <t>2018-12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</si>
</sst>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10" x14ac:knownFonts="1">
    <font>
      <sz val="11"/>
      <color theme="1"/>
      <name val="宋体"/>
      <family val="2"/>
      <scheme val="minor"/>
    </font>
    <font>
      <b/>
      <sz val="11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b/>
      <sz val="9"/>
      <color rgb="FFC00000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none">
        <fgColor rgb="FF000000"/>
        <bgColor rgb="FFFFFFFF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</xf>
    <xf numFmtId="0" fontId="4" fillId="0" borderId="0" xfId="0" applyFont="1"/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5" borderId="0" xfId="0" applyFont="1" applyFill="1"/>
    <xf numFmtId="0" fontId="6" fillId="5" borderId="8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2" fillId="3" borderId="2" xfId="0" applyFont="1" applyFill="1" applyBorder="1" applyAlignment="1" applyProtection="1">
      <alignment vertical="center" wrapText="1"/>
    </xf>
    <xf numFmtId="0" fontId="2" fillId="3" borderId="2" xfId="0" applyFont="1" applyFill="1" applyBorder="1" applyAlignment="1" applyProtection="1">
      <alignment horizontal="right" vertical="center" wrapText="1"/>
    </xf>
    <xf numFmtId="9" fontId="4" fillId="0" borderId="1" xfId="0" applyNumberFormat="1" applyFont="1" applyBorder="1" applyAlignment="1">
      <alignment horizontal="center" vertical="center"/>
    </xf>
    <xf numFmtId="9" fontId="4" fillId="0" borderId="1" xfId="0" applyNumberFormat="1" applyFont="1" applyFill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9" fillId="0" borderId="0" xfId="0" applyFont="1"/>
    <xf numFmtId="0" fontId="9" fillId="5" borderId="0" xfId="0" applyFont="1" applyFill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智能分析!$C$2</c:f>
              <c:strCache>
                <c:ptCount val="1"/>
                <c:pt idx="0">
                  <c:v>东莞</c:v>
                </c:pt>
              </c:strCache>
            </c:strRef>
          </c:tx>
          <c:cat>
            <c:strRef>
              <c:f>智能分析!$B$3:$B$80</c:f>
              <c:strCache>
                <c:ptCount val="23"/>
                <c:pt idx="0">
                  <c:v>2017-01</c:v>
                </c:pt>
                <c:pt idx="1">
                  <c:v>2017-02</c:v>
                </c:pt>
                <c:pt idx="2">
                  <c:v>2017-03</c:v>
                </c:pt>
                <c:pt idx="3">
                  <c:v>2017-04</c:v>
                </c:pt>
                <c:pt idx="4">
                  <c:v>2017-05</c:v>
                </c:pt>
                <c:pt idx="5">
                  <c:v>2017-06</c:v>
                </c:pt>
                <c:pt idx="6">
                  <c:v>2017-07</c:v>
                </c:pt>
                <c:pt idx="7">
                  <c:v>2017-08</c:v>
                </c:pt>
                <c:pt idx="8">
                  <c:v>2017-09</c:v>
                </c:pt>
                <c:pt idx="9">
                  <c:v>2017-10</c:v>
                </c:pt>
                <c:pt idx="10">
                  <c:v>2017-11</c:v>
                </c:pt>
                <c:pt idx="11">
                  <c:v>2017-12</c:v>
                </c:pt>
                <c:pt idx="12">
                  <c:v>2018-01</c:v>
                </c:pt>
                <c:pt idx="13">
                  <c:v>2018-02</c:v>
                </c:pt>
                <c:pt idx="14">
                  <c:v>2018-03</c:v>
                </c:pt>
                <c:pt idx="15">
                  <c:v>2018-04</c:v>
                </c:pt>
                <c:pt idx="16">
                  <c:v>2018-05</c:v>
                </c:pt>
                <c:pt idx="17">
                  <c:v>2018-06</c:v>
                </c:pt>
                <c:pt idx="18">
                  <c:v>2018-07</c:v>
                </c:pt>
                <c:pt idx="19">
                  <c:v>2018-08</c:v>
                </c:pt>
                <c:pt idx="20">
                  <c:v>2018-09</c:v>
                </c:pt>
                <c:pt idx="21">
                  <c:v>2018-10</c:v>
                </c:pt>
                <c:pt idx="22">
                  <c:v>2018-11</c:v>
                </c:pt>
              </c:strCache>
            </c:strRef>
          </c:cat>
          <c:val>
            <c:numRef>
              <c:f>智能分析!$C$3:$C$80</c:f>
            </c:numRef>
          </c:val>
          <c:smooth val="0"/>
        </c:ser>
        <c:ser>
          <c:idx val="1"/>
          <c:order val="1"/>
          <c:tx>
            <c:strRef>
              <c:f>智能分析!$D$2</c:f>
              <c:strCache>
                <c:ptCount val="1"/>
                <c:pt idx="0">
                  <c:v>佛山</c:v>
                </c:pt>
              </c:strCache>
            </c:strRef>
          </c:tx>
          <c:cat>
            <c:strRef>
              <c:f>智能分析!$B$3:$B$80</c:f>
              <c:strCache>
                <c:ptCount val="23"/>
                <c:pt idx="0">
                  <c:v>2017-01</c:v>
                </c:pt>
                <c:pt idx="1">
                  <c:v>2017-02</c:v>
                </c:pt>
                <c:pt idx="2">
                  <c:v>2017-03</c:v>
                </c:pt>
                <c:pt idx="3">
                  <c:v>2017-04</c:v>
                </c:pt>
                <c:pt idx="4">
                  <c:v>2017-05</c:v>
                </c:pt>
                <c:pt idx="5">
                  <c:v>2017-06</c:v>
                </c:pt>
                <c:pt idx="6">
                  <c:v>2017-07</c:v>
                </c:pt>
                <c:pt idx="7">
                  <c:v>2017-08</c:v>
                </c:pt>
                <c:pt idx="8">
                  <c:v>2017-09</c:v>
                </c:pt>
                <c:pt idx="9">
                  <c:v>2017-10</c:v>
                </c:pt>
                <c:pt idx="10">
                  <c:v>2017-11</c:v>
                </c:pt>
                <c:pt idx="11">
                  <c:v>2017-12</c:v>
                </c:pt>
                <c:pt idx="12">
                  <c:v>2018-01</c:v>
                </c:pt>
                <c:pt idx="13">
                  <c:v>2018-02</c:v>
                </c:pt>
                <c:pt idx="14">
                  <c:v>2018-03</c:v>
                </c:pt>
                <c:pt idx="15">
                  <c:v>2018-04</c:v>
                </c:pt>
                <c:pt idx="16">
                  <c:v>2018-05</c:v>
                </c:pt>
                <c:pt idx="17">
                  <c:v>2018-06</c:v>
                </c:pt>
                <c:pt idx="18">
                  <c:v>2018-07</c:v>
                </c:pt>
                <c:pt idx="19">
                  <c:v>2018-08</c:v>
                </c:pt>
                <c:pt idx="20">
                  <c:v>2018-09</c:v>
                </c:pt>
                <c:pt idx="21">
                  <c:v>2018-10</c:v>
                </c:pt>
                <c:pt idx="22">
                  <c:v>2018-11</c:v>
                </c:pt>
              </c:strCache>
            </c:strRef>
          </c:cat>
          <c:val>
            <c:numRef>
              <c:f>智能分析!$D$3:$D$80</c:f>
            </c:numRef>
          </c:val>
          <c:smooth val="0"/>
        </c:ser>
        <c:ser>
          <c:idx val="2"/>
          <c:order val="2"/>
          <c:tx>
            <c:strRef>
              <c:f>智能分析!$E$2</c:f>
              <c:strCache>
                <c:ptCount val="1"/>
                <c:pt idx="0">
                  <c:v>广东</c:v>
                </c:pt>
              </c:strCache>
            </c:strRef>
          </c:tx>
          <c:dLbls>
            <c:txPr>
              <a:bodyPr/>
              <a:lstStyle/>
              <a:p>
                <a:pPr>
                  <a:defRPr b="1">
                    <a:latin typeface="微软雅黑"/>
                    <a:ea typeface="微软雅黑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智能分析!$B$3:$B$80</c:f>
              <c:strCache>
                <c:ptCount val="23"/>
                <c:pt idx="0">
                  <c:v>2017-01</c:v>
                </c:pt>
                <c:pt idx="1">
                  <c:v>2017-02</c:v>
                </c:pt>
                <c:pt idx="2">
                  <c:v>2017-03</c:v>
                </c:pt>
                <c:pt idx="3">
                  <c:v>2017-04</c:v>
                </c:pt>
                <c:pt idx="4">
                  <c:v>2017-05</c:v>
                </c:pt>
                <c:pt idx="5">
                  <c:v>2017-06</c:v>
                </c:pt>
                <c:pt idx="6">
                  <c:v>2017-07</c:v>
                </c:pt>
                <c:pt idx="7">
                  <c:v>2017-08</c:v>
                </c:pt>
                <c:pt idx="8">
                  <c:v>2017-09</c:v>
                </c:pt>
                <c:pt idx="9">
                  <c:v>2017-10</c:v>
                </c:pt>
                <c:pt idx="10">
                  <c:v>2017-11</c:v>
                </c:pt>
                <c:pt idx="11">
                  <c:v>2017-12</c:v>
                </c:pt>
                <c:pt idx="12">
                  <c:v>2018-01</c:v>
                </c:pt>
                <c:pt idx="13">
                  <c:v>2018-02</c:v>
                </c:pt>
                <c:pt idx="14">
                  <c:v>2018-03</c:v>
                </c:pt>
                <c:pt idx="15">
                  <c:v>2018-04</c:v>
                </c:pt>
                <c:pt idx="16">
                  <c:v>2018-05</c:v>
                </c:pt>
                <c:pt idx="17">
                  <c:v>2018-06</c:v>
                </c:pt>
                <c:pt idx="18">
                  <c:v>2018-07</c:v>
                </c:pt>
                <c:pt idx="19">
                  <c:v>2018-08</c:v>
                </c:pt>
                <c:pt idx="20">
                  <c:v>2018-09</c:v>
                </c:pt>
                <c:pt idx="21">
                  <c:v>2018-10</c:v>
                </c:pt>
                <c:pt idx="22">
                  <c:v>2018-11</c:v>
                </c:pt>
              </c:strCache>
            </c:strRef>
          </c:cat>
          <c:val>
            <c:numRef>
              <c:f>智能分析!$E$3:$E$80</c:f>
            </c:numRef>
          </c:val>
          <c:smooth val="0"/>
        </c:ser>
        <c:ser>
          <c:idx val="3"/>
          <c:order val="3"/>
          <c:tx>
            <c:strRef>
              <c:f>智能分析!$F$2</c:f>
              <c:strCache>
                <c:ptCount val="1"/>
                <c:pt idx="0">
                  <c:v>广州</c:v>
                </c:pt>
              </c:strCache>
            </c:strRef>
          </c:tx>
          <c:cat>
            <c:strRef>
              <c:f>智能分析!$B$3:$B$80</c:f>
              <c:strCache>
                <c:ptCount val="23"/>
                <c:pt idx="0">
                  <c:v>2017-01</c:v>
                </c:pt>
                <c:pt idx="1">
                  <c:v>2017-02</c:v>
                </c:pt>
                <c:pt idx="2">
                  <c:v>2017-03</c:v>
                </c:pt>
                <c:pt idx="3">
                  <c:v>2017-04</c:v>
                </c:pt>
                <c:pt idx="4">
                  <c:v>2017-05</c:v>
                </c:pt>
                <c:pt idx="5">
                  <c:v>2017-06</c:v>
                </c:pt>
                <c:pt idx="6">
                  <c:v>2017-07</c:v>
                </c:pt>
                <c:pt idx="7">
                  <c:v>2017-08</c:v>
                </c:pt>
                <c:pt idx="8">
                  <c:v>2017-09</c:v>
                </c:pt>
                <c:pt idx="9">
                  <c:v>2017-10</c:v>
                </c:pt>
                <c:pt idx="10">
                  <c:v>2017-11</c:v>
                </c:pt>
                <c:pt idx="11">
                  <c:v>2017-12</c:v>
                </c:pt>
                <c:pt idx="12">
                  <c:v>2018-01</c:v>
                </c:pt>
                <c:pt idx="13">
                  <c:v>2018-02</c:v>
                </c:pt>
                <c:pt idx="14">
                  <c:v>2018-03</c:v>
                </c:pt>
                <c:pt idx="15">
                  <c:v>2018-04</c:v>
                </c:pt>
                <c:pt idx="16">
                  <c:v>2018-05</c:v>
                </c:pt>
                <c:pt idx="17">
                  <c:v>2018-06</c:v>
                </c:pt>
                <c:pt idx="18">
                  <c:v>2018-07</c:v>
                </c:pt>
                <c:pt idx="19">
                  <c:v>2018-08</c:v>
                </c:pt>
                <c:pt idx="20">
                  <c:v>2018-09</c:v>
                </c:pt>
                <c:pt idx="21">
                  <c:v>2018-10</c:v>
                </c:pt>
                <c:pt idx="22">
                  <c:v>2018-11</c:v>
                </c:pt>
              </c:strCache>
            </c:strRef>
          </c:cat>
          <c:val>
            <c:numRef>
              <c:f>智能分析!$F$3:$F$80</c:f>
            </c:numRef>
          </c:val>
          <c:smooth val="0"/>
        </c:ser>
        <c:ser>
          <c:idx val="4"/>
          <c:order val="4"/>
          <c:tx>
            <c:strRef>
              <c:f>智能分析!$G$2</c:f>
              <c:strCache>
                <c:ptCount val="1"/>
                <c:pt idx="0">
                  <c:v>湖北</c:v>
                </c:pt>
              </c:strCache>
            </c:strRef>
          </c:tx>
          <c:dLbls>
            <c:txPr>
              <a:bodyPr/>
              <a:lstStyle/>
              <a:p>
                <a:pPr>
                  <a:defRPr b="1">
                    <a:latin typeface="微软雅黑"/>
                    <a:ea typeface="微软雅黑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智能分析!$B$3:$B$80</c:f>
              <c:strCache>
                <c:ptCount val="23"/>
                <c:pt idx="0">
                  <c:v>2017-01</c:v>
                </c:pt>
                <c:pt idx="1">
                  <c:v>2017-02</c:v>
                </c:pt>
                <c:pt idx="2">
                  <c:v>2017-03</c:v>
                </c:pt>
                <c:pt idx="3">
                  <c:v>2017-04</c:v>
                </c:pt>
                <c:pt idx="4">
                  <c:v>2017-05</c:v>
                </c:pt>
                <c:pt idx="5">
                  <c:v>2017-06</c:v>
                </c:pt>
                <c:pt idx="6">
                  <c:v>2017-07</c:v>
                </c:pt>
                <c:pt idx="7">
                  <c:v>2017-08</c:v>
                </c:pt>
                <c:pt idx="8">
                  <c:v>2017-09</c:v>
                </c:pt>
                <c:pt idx="9">
                  <c:v>2017-10</c:v>
                </c:pt>
                <c:pt idx="10">
                  <c:v>2017-11</c:v>
                </c:pt>
                <c:pt idx="11">
                  <c:v>2017-12</c:v>
                </c:pt>
                <c:pt idx="12">
                  <c:v>2018-01</c:v>
                </c:pt>
                <c:pt idx="13">
                  <c:v>2018-02</c:v>
                </c:pt>
                <c:pt idx="14">
                  <c:v>2018-03</c:v>
                </c:pt>
                <c:pt idx="15">
                  <c:v>2018-04</c:v>
                </c:pt>
                <c:pt idx="16">
                  <c:v>2018-05</c:v>
                </c:pt>
                <c:pt idx="17">
                  <c:v>2018-06</c:v>
                </c:pt>
                <c:pt idx="18">
                  <c:v>2018-07</c:v>
                </c:pt>
                <c:pt idx="19">
                  <c:v>2018-08</c:v>
                </c:pt>
                <c:pt idx="20">
                  <c:v>2018-09</c:v>
                </c:pt>
                <c:pt idx="21">
                  <c:v>2018-10</c:v>
                </c:pt>
                <c:pt idx="22">
                  <c:v>2018-11</c:v>
                </c:pt>
              </c:strCache>
            </c:strRef>
          </c:cat>
          <c:val>
            <c:numRef>
              <c:f>智能分析!$G$3:$G$80</c:f>
            </c:numRef>
          </c:val>
          <c:smooth val="0"/>
        </c:ser>
        <c:ser>
          <c:idx val="5"/>
          <c:order val="5"/>
          <c:tx>
            <c:strRef>
              <c:f>智能分析!$H$2</c:f>
              <c:strCache>
                <c:ptCount val="1"/>
                <c:pt idx="0">
                  <c:v>江苏</c:v>
                </c:pt>
              </c:strCache>
            </c:strRef>
          </c:tx>
          <c:dLbls>
            <c:txPr>
              <a:bodyPr/>
              <a:lstStyle/>
              <a:p>
                <a:pPr>
                  <a:defRPr b="1">
                    <a:latin typeface="微软雅黑"/>
                    <a:ea typeface="微软雅黑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智能分析!$B$3:$B$80</c:f>
              <c:strCache>
                <c:ptCount val="23"/>
                <c:pt idx="0">
                  <c:v>2017-01</c:v>
                </c:pt>
                <c:pt idx="1">
                  <c:v>2017-02</c:v>
                </c:pt>
                <c:pt idx="2">
                  <c:v>2017-03</c:v>
                </c:pt>
                <c:pt idx="3">
                  <c:v>2017-04</c:v>
                </c:pt>
                <c:pt idx="4">
                  <c:v>2017-05</c:v>
                </c:pt>
                <c:pt idx="5">
                  <c:v>2017-06</c:v>
                </c:pt>
                <c:pt idx="6">
                  <c:v>2017-07</c:v>
                </c:pt>
                <c:pt idx="7">
                  <c:v>2017-08</c:v>
                </c:pt>
                <c:pt idx="8">
                  <c:v>2017-09</c:v>
                </c:pt>
                <c:pt idx="9">
                  <c:v>2017-10</c:v>
                </c:pt>
                <c:pt idx="10">
                  <c:v>2017-11</c:v>
                </c:pt>
                <c:pt idx="11">
                  <c:v>2017-12</c:v>
                </c:pt>
                <c:pt idx="12">
                  <c:v>2018-01</c:v>
                </c:pt>
                <c:pt idx="13">
                  <c:v>2018-02</c:v>
                </c:pt>
                <c:pt idx="14">
                  <c:v>2018-03</c:v>
                </c:pt>
                <c:pt idx="15">
                  <c:v>2018-04</c:v>
                </c:pt>
                <c:pt idx="16">
                  <c:v>2018-05</c:v>
                </c:pt>
                <c:pt idx="17">
                  <c:v>2018-06</c:v>
                </c:pt>
                <c:pt idx="18">
                  <c:v>2018-07</c:v>
                </c:pt>
                <c:pt idx="19">
                  <c:v>2018-08</c:v>
                </c:pt>
                <c:pt idx="20">
                  <c:v>2018-09</c:v>
                </c:pt>
                <c:pt idx="21">
                  <c:v>2018-10</c:v>
                </c:pt>
                <c:pt idx="22">
                  <c:v>2018-11</c:v>
                </c:pt>
              </c:strCache>
            </c:strRef>
          </c:cat>
          <c:val>
            <c:numRef>
              <c:f>智能分析!$H$3:$H$80</c:f>
            </c:numRef>
          </c:val>
          <c:smooth val="0"/>
        </c:ser>
        <c:ser>
          <c:idx val="6"/>
          <c:order val="6"/>
          <c:tx>
            <c:strRef>
              <c:f>智能分析!$I$2</c:f>
              <c:strCache>
                <c:ptCount val="1"/>
                <c:pt idx="0">
                  <c:v>山东</c:v>
                </c:pt>
              </c:strCache>
            </c:strRef>
          </c:tx>
          <c:dLbls>
            <c:txPr>
              <a:bodyPr/>
              <a:lstStyle/>
              <a:p>
                <a:pPr>
                  <a:defRPr b="1">
                    <a:latin typeface="微软雅黑"/>
                    <a:ea typeface="微软雅黑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智能分析!$B$3:$B$80</c:f>
              <c:strCache>
                <c:ptCount val="23"/>
                <c:pt idx="0">
                  <c:v>2017-01</c:v>
                </c:pt>
                <c:pt idx="1">
                  <c:v>2017-02</c:v>
                </c:pt>
                <c:pt idx="2">
                  <c:v>2017-03</c:v>
                </c:pt>
                <c:pt idx="3">
                  <c:v>2017-04</c:v>
                </c:pt>
                <c:pt idx="4">
                  <c:v>2017-05</c:v>
                </c:pt>
                <c:pt idx="5">
                  <c:v>2017-06</c:v>
                </c:pt>
                <c:pt idx="6">
                  <c:v>2017-07</c:v>
                </c:pt>
                <c:pt idx="7">
                  <c:v>2017-08</c:v>
                </c:pt>
                <c:pt idx="8">
                  <c:v>2017-09</c:v>
                </c:pt>
                <c:pt idx="9">
                  <c:v>2017-10</c:v>
                </c:pt>
                <c:pt idx="10">
                  <c:v>2017-11</c:v>
                </c:pt>
                <c:pt idx="11">
                  <c:v>2017-12</c:v>
                </c:pt>
                <c:pt idx="12">
                  <c:v>2018-01</c:v>
                </c:pt>
                <c:pt idx="13">
                  <c:v>2018-02</c:v>
                </c:pt>
                <c:pt idx="14">
                  <c:v>2018-03</c:v>
                </c:pt>
                <c:pt idx="15">
                  <c:v>2018-04</c:v>
                </c:pt>
                <c:pt idx="16">
                  <c:v>2018-05</c:v>
                </c:pt>
                <c:pt idx="17">
                  <c:v>2018-06</c:v>
                </c:pt>
                <c:pt idx="18">
                  <c:v>2018-07</c:v>
                </c:pt>
                <c:pt idx="19">
                  <c:v>2018-08</c:v>
                </c:pt>
                <c:pt idx="20">
                  <c:v>2018-09</c:v>
                </c:pt>
                <c:pt idx="21">
                  <c:v>2018-10</c:v>
                </c:pt>
                <c:pt idx="22">
                  <c:v>2018-11</c:v>
                </c:pt>
              </c:strCache>
            </c:strRef>
          </c:cat>
          <c:val>
            <c:numRef>
              <c:f>智能分析!$I$3:$I$80</c:f>
            </c:numRef>
          </c:val>
          <c:smooth val="0"/>
        </c:ser>
        <c:ser>
          <c:idx val="7"/>
          <c:order val="7"/>
          <c:tx>
            <c:strRef>
              <c:f>智能分析!$J$2</c:f>
              <c:strCache>
                <c:ptCount val="1"/>
                <c:pt idx="0">
                  <c:v>上海</c:v>
                </c:pt>
              </c:strCache>
            </c:strRef>
          </c:tx>
          <c:dLbls>
            <c:txPr>
              <a:bodyPr/>
              <a:lstStyle/>
              <a:p>
                <a:pPr>
                  <a:defRPr b="1">
                    <a:latin typeface="微软雅黑"/>
                    <a:ea typeface="微软雅黑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智能分析!$B$3:$B$80</c:f>
              <c:strCache>
                <c:ptCount val="23"/>
                <c:pt idx="0">
                  <c:v>2017-01</c:v>
                </c:pt>
                <c:pt idx="1">
                  <c:v>2017-02</c:v>
                </c:pt>
                <c:pt idx="2">
                  <c:v>2017-03</c:v>
                </c:pt>
                <c:pt idx="3">
                  <c:v>2017-04</c:v>
                </c:pt>
                <c:pt idx="4">
                  <c:v>2017-05</c:v>
                </c:pt>
                <c:pt idx="5">
                  <c:v>2017-06</c:v>
                </c:pt>
                <c:pt idx="6">
                  <c:v>2017-07</c:v>
                </c:pt>
                <c:pt idx="7">
                  <c:v>2017-08</c:v>
                </c:pt>
                <c:pt idx="8">
                  <c:v>2017-09</c:v>
                </c:pt>
                <c:pt idx="9">
                  <c:v>2017-10</c:v>
                </c:pt>
                <c:pt idx="10">
                  <c:v>2017-11</c:v>
                </c:pt>
                <c:pt idx="11">
                  <c:v>2017-12</c:v>
                </c:pt>
                <c:pt idx="12">
                  <c:v>2018-01</c:v>
                </c:pt>
                <c:pt idx="13">
                  <c:v>2018-02</c:v>
                </c:pt>
                <c:pt idx="14">
                  <c:v>2018-03</c:v>
                </c:pt>
                <c:pt idx="15">
                  <c:v>2018-04</c:v>
                </c:pt>
                <c:pt idx="16">
                  <c:v>2018-05</c:v>
                </c:pt>
                <c:pt idx="17">
                  <c:v>2018-06</c:v>
                </c:pt>
                <c:pt idx="18">
                  <c:v>2018-07</c:v>
                </c:pt>
                <c:pt idx="19">
                  <c:v>2018-08</c:v>
                </c:pt>
                <c:pt idx="20">
                  <c:v>2018-09</c:v>
                </c:pt>
                <c:pt idx="21">
                  <c:v>2018-10</c:v>
                </c:pt>
                <c:pt idx="22">
                  <c:v>2018-11</c:v>
                </c:pt>
              </c:strCache>
            </c:strRef>
          </c:cat>
          <c:val>
            <c:numRef>
              <c:f>智能分析!$J$3:$J$80</c:f>
            </c:numRef>
          </c:val>
          <c:smooth val="0"/>
        </c:ser>
        <c:ser>
          <c:idx val="8"/>
          <c:order val="8"/>
          <c:tx>
            <c:strRef>
              <c:f>智能分析!$K$2</c:f>
              <c:strCache>
                <c:ptCount val="1"/>
                <c:pt idx="0">
                  <c:v>深圳</c:v>
                </c:pt>
              </c:strCache>
            </c:strRef>
          </c:tx>
          <c:dLbls>
            <c:txPr>
              <a:bodyPr/>
              <a:lstStyle/>
              <a:p>
                <a:pPr>
                  <a:defRPr b="1">
                    <a:latin typeface="微软雅黑"/>
                    <a:ea typeface="微软雅黑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智能分析!$B$3:$B$80</c:f>
              <c:strCache>
                <c:ptCount val="23"/>
                <c:pt idx="0">
                  <c:v>2017-01</c:v>
                </c:pt>
                <c:pt idx="1">
                  <c:v>2017-02</c:v>
                </c:pt>
                <c:pt idx="2">
                  <c:v>2017-03</c:v>
                </c:pt>
                <c:pt idx="3">
                  <c:v>2017-04</c:v>
                </c:pt>
                <c:pt idx="4">
                  <c:v>2017-05</c:v>
                </c:pt>
                <c:pt idx="5">
                  <c:v>2017-06</c:v>
                </c:pt>
                <c:pt idx="6">
                  <c:v>2017-07</c:v>
                </c:pt>
                <c:pt idx="7">
                  <c:v>2017-08</c:v>
                </c:pt>
                <c:pt idx="8">
                  <c:v>2017-09</c:v>
                </c:pt>
                <c:pt idx="9">
                  <c:v>2017-10</c:v>
                </c:pt>
                <c:pt idx="10">
                  <c:v>2017-11</c:v>
                </c:pt>
                <c:pt idx="11">
                  <c:v>2017-12</c:v>
                </c:pt>
                <c:pt idx="12">
                  <c:v>2018-01</c:v>
                </c:pt>
                <c:pt idx="13">
                  <c:v>2018-02</c:v>
                </c:pt>
                <c:pt idx="14">
                  <c:v>2018-03</c:v>
                </c:pt>
                <c:pt idx="15">
                  <c:v>2018-04</c:v>
                </c:pt>
                <c:pt idx="16">
                  <c:v>2018-05</c:v>
                </c:pt>
                <c:pt idx="17">
                  <c:v>2018-06</c:v>
                </c:pt>
                <c:pt idx="18">
                  <c:v>2018-07</c:v>
                </c:pt>
                <c:pt idx="19">
                  <c:v>2018-08</c:v>
                </c:pt>
                <c:pt idx="20">
                  <c:v>2018-09</c:v>
                </c:pt>
                <c:pt idx="21">
                  <c:v>2018-10</c:v>
                </c:pt>
                <c:pt idx="22">
                  <c:v>2018-11</c:v>
                </c:pt>
              </c:strCache>
            </c:strRef>
          </c:cat>
          <c:val>
            <c:numRef>
              <c:f>智能分析!$K$3:$K$80</c:f>
              <c:numCache>
                <c:formatCode>General</c:formatCode>
                <c:ptCount val="23"/>
                <c:pt idx="0">
                  <c:v>9244</c:v>
                </c:pt>
                <c:pt idx="1">
                  <c:v>8977</c:v>
                </c:pt>
                <c:pt idx="2">
                  <c:v>14212</c:v>
                </c:pt>
                <c:pt idx="3">
                  <c:v>8692</c:v>
                </c:pt>
                <c:pt idx="4">
                  <c:v>7620</c:v>
                </c:pt>
                <c:pt idx="5">
                  <c:v>3674</c:v>
                </c:pt>
                <c:pt idx="6">
                  <c:v>2327</c:v>
                </c:pt>
                <c:pt idx="7">
                  <c:v>14790</c:v>
                </c:pt>
                <c:pt idx="8">
                  <c:v>12390</c:v>
                </c:pt>
                <c:pt idx="9">
                  <c:v>-97</c:v>
                </c:pt>
                <c:pt idx="10">
                  <c:v>3920</c:v>
                </c:pt>
                <c:pt idx="11">
                  <c:v>4919</c:v>
                </c:pt>
                <c:pt idx="12">
                  <c:v>26307</c:v>
                </c:pt>
                <c:pt idx="13">
                  <c:v>11224</c:v>
                </c:pt>
                <c:pt idx="14">
                  <c:v>23206</c:v>
                </c:pt>
                <c:pt idx="15">
                  <c:v>17558</c:v>
                </c:pt>
                <c:pt idx="16">
                  <c:v>27681</c:v>
                </c:pt>
                <c:pt idx="17">
                  <c:v>17216</c:v>
                </c:pt>
                <c:pt idx="18">
                  <c:v>7109</c:v>
                </c:pt>
                <c:pt idx="19">
                  <c:v>9473</c:v>
                </c:pt>
                <c:pt idx="20">
                  <c:v>8890</c:v>
                </c:pt>
                <c:pt idx="21">
                  <c:v>17282</c:v>
                </c:pt>
                <c:pt idx="22">
                  <c:v>24641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智能分析!$L$2</c:f>
              <c:strCache>
                <c:ptCount val="1"/>
                <c:pt idx="0">
                  <c:v>四川</c:v>
                </c:pt>
              </c:strCache>
            </c:strRef>
          </c:tx>
          <c:dLbls>
            <c:txPr>
              <a:bodyPr/>
              <a:lstStyle/>
              <a:p>
                <a:pPr>
                  <a:defRPr b="1">
                    <a:latin typeface="微软雅黑"/>
                    <a:ea typeface="微软雅黑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智能分析!$B$3:$B$80</c:f>
              <c:strCache>
                <c:ptCount val="23"/>
                <c:pt idx="0">
                  <c:v>2017-01</c:v>
                </c:pt>
                <c:pt idx="1">
                  <c:v>2017-02</c:v>
                </c:pt>
                <c:pt idx="2">
                  <c:v>2017-03</c:v>
                </c:pt>
                <c:pt idx="3">
                  <c:v>2017-04</c:v>
                </c:pt>
                <c:pt idx="4">
                  <c:v>2017-05</c:v>
                </c:pt>
                <c:pt idx="5">
                  <c:v>2017-06</c:v>
                </c:pt>
                <c:pt idx="6">
                  <c:v>2017-07</c:v>
                </c:pt>
                <c:pt idx="7">
                  <c:v>2017-08</c:v>
                </c:pt>
                <c:pt idx="8">
                  <c:v>2017-09</c:v>
                </c:pt>
                <c:pt idx="9">
                  <c:v>2017-10</c:v>
                </c:pt>
                <c:pt idx="10">
                  <c:v>2017-11</c:v>
                </c:pt>
                <c:pt idx="11">
                  <c:v>2017-12</c:v>
                </c:pt>
                <c:pt idx="12">
                  <c:v>2018-01</c:v>
                </c:pt>
                <c:pt idx="13">
                  <c:v>2018-02</c:v>
                </c:pt>
                <c:pt idx="14">
                  <c:v>2018-03</c:v>
                </c:pt>
                <c:pt idx="15">
                  <c:v>2018-04</c:v>
                </c:pt>
                <c:pt idx="16">
                  <c:v>2018-05</c:v>
                </c:pt>
                <c:pt idx="17">
                  <c:v>2018-06</c:v>
                </c:pt>
                <c:pt idx="18">
                  <c:v>2018-07</c:v>
                </c:pt>
                <c:pt idx="19">
                  <c:v>2018-08</c:v>
                </c:pt>
                <c:pt idx="20">
                  <c:v>2018-09</c:v>
                </c:pt>
                <c:pt idx="21">
                  <c:v>2018-10</c:v>
                </c:pt>
                <c:pt idx="22">
                  <c:v>2018-11</c:v>
                </c:pt>
              </c:strCache>
            </c:strRef>
          </c:cat>
          <c:val>
            <c:numRef>
              <c:f>智能分析!$L$3:$L$80</c:f>
            </c:numRef>
          </c:val>
          <c:smooth val="0"/>
        </c:ser>
        <c:ser>
          <c:idx val="10"/>
          <c:order val="10"/>
          <c:tx>
            <c:strRef>
              <c:f>智能分析!$M$2</c:f>
              <c:strCache>
                <c:ptCount val="1"/>
                <c:pt idx="0">
                  <c:v>苏州</c:v>
                </c:pt>
              </c:strCache>
            </c:strRef>
          </c:tx>
          <c:dLbls>
            <c:txPr>
              <a:bodyPr/>
              <a:lstStyle/>
              <a:p>
                <a:pPr>
                  <a:defRPr b="1">
                    <a:latin typeface="微软雅黑"/>
                    <a:ea typeface="微软雅黑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智能分析!$B$3:$B$80</c:f>
              <c:strCache>
                <c:ptCount val="23"/>
                <c:pt idx="0">
                  <c:v>2017-01</c:v>
                </c:pt>
                <c:pt idx="1">
                  <c:v>2017-02</c:v>
                </c:pt>
                <c:pt idx="2">
                  <c:v>2017-03</c:v>
                </c:pt>
                <c:pt idx="3">
                  <c:v>2017-04</c:v>
                </c:pt>
                <c:pt idx="4">
                  <c:v>2017-05</c:v>
                </c:pt>
                <c:pt idx="5">
                  <c:v>2017-06</c:v>
                </c:pt>
                <c:pt idx="6">
                  <c:v>2017-07</c:v>
                </c:pt>
                <c:pt idx="7">
                  <c:v>2017-08</c:v>
                </c:pt>
                <c:pt idx="8">
                  <c:v>2017-09</c:v>
                </c:pt>
                <c:pt idx="9">
                  <c:v>2017-10</c:v>
                </c:pt>
                <c:pt idx="10">
                  <c:v>2017-11</c:v>
                </c:pt>
                <c:pt idx="11">
                  <c:v>2017-12</c:v>
                </c:pt>
                <c:pt idx="12">
                  <c:v>2018-01</c:v>
                </c:pt>
                <c:pt idx="13">
                  <c:v>2018-02</c:v>
                </c:pt>
                <c:pt idx="14">
                  <c:v>2018-03</c:v>
                </c:pt>
                <c:pt idx="15">
                  <c:v>2018-04</c:v>
                </c:pt>
                <c:pt idx="16">
                  <c:v>2018-05</c:v>
                </c:pt>
                <c:pt idx="17">
                  <c:v>2018-06</c:v>
                </c:pt>
                <c:pt idx="18">
                  <c:v>2018-07</c:v>
                </c:pt>
                <c:pt idx="19">
                  <c:v>2018-08</c:v>
                </c:pt>
                <c:pt idx="20">
                  <c:v>2018-09</c:v>
                </c:pt>
                <c:pt idx="21">
                  <c:v>2018-10</c:v>
                </c:pt>
                <c:pt idx="22">
                  <c:v>2018-11</c:v>
                </c:pt>
              </c:strCache>
            </c:strRef>
          </c:cat>
          <c:val>
            <c:numRef>
              <c:f>智能分析!$M$3:$M$80</c:f>
            </c:numRef>
          </c:val>
          <c:smooth val="0"/>
        </c:ser>
        <c:ser>
          <c:idx val="11"/>
          <c:order val="11"/>
          <c:tx>
            <c:strRef>
              <c:f>智能分析!$N$2</c:f>
              <c:strCache>
                <c:ptCount val="1"/>
                <c:pt idx="0">
                  <c:v>中山</c:v>
                </c:pt>
              </c:strCache>
            </c:strRef>
          </c:tx>
          <c:cat>
            <c:strRef>
              <c:f>智能分析!$B$3:$B$80</c:f>
              <c:strCache>
                <c:ptCount val="23"/>
                <c:pt idx="0">
                  <c:v>2017-01</c:v>
                </c:pt>
                <c:pt idx="1">
                  <c:v>2017-02</c:v>
                </c:pt>
                <c:pt idx="2">
                  <c:v>2017-03</c:v>
                </c:pt>
                <c:pt idx="3">
                  <c:v>2017-04</c:v>
                </c:pt>
                <c:pt idx="4">
                  <c:v>2017-05</c:v>
                </c:pt>
                <c:pt idx="5">
                  <c:v>2017-06</c:v>
                </c:pt>
                <c:pt idx="6">
                  <c:v>2017-07</c:v>
                </c:pt>
                <c:pt idx="7">
                  <c:v>2017-08</c:v>
                </c:pt>
                <c:pt idx="8">
                  <c:v>2017-09</c:v>
                </c:pt>
                <c:pt idx="9">
                  <c:v>2017-10</c:v>
                </c:pt>
                <c:pt idx="10">
                  <c:v>2017-11</c:v>
                </c:pt>
                <c:pt idx="11">
                  <c:v>2017-12</c:v>
                </c:pt>
                <c:pt idx="12">
                  <c:v>2018-01</c:v>
                </c:pt>
                <c:pt idx="13">
                  <c:v>2018-02</c:v>
                </c:pt>
                <c:pt idx="14">
                  <c:v>2018-03</c:v>
                </c:pt>
                <c:pt idx="15">
                  <c:v>2018-04</c:v>
                </c:pt>
                <c:pt idx="16">
                  <c:v>2018-05</c:v>
                </c:pt>
                <c:pt idx="17">
                  <c:v>2018-06</c:v>
                </c:pt>
                <c:pt idx="18">
                  <c:v>2018-07</c:v>
                </c:pt>
                <c:pt idx="19">
                  <c:v>2018-08</c:v>
                </c:pt>
                <c:pt idx="20">
                  <c:v>2018-09</c:v>
                </c:pt>
                <c:pt idx="21">
                  <c:v>2018-10</c:v>
                </c:pt>
                <c:pt idx="22">
                  <c:v>2018-11</c:v>
                </c:pt>
              </c:strCache>
            </c:strRef>
          </c:cat>
          <c:val>
            <c:numRef>
              <c:f>智能分析!$N$3:$N$80</c:f>
            </c:numRef>
          </c:val>
          <c:smooth val="0"/>
        </c:ser>
        <c:ser>
          <c:idx val="12"/>
          <c:order val="12"/>
          <c:tx>
            <c:strRef>
              <c:f>智能分析!$O$2</c:f>
              <c:strCache>
                <c:ptCount val="1"/>
                <c:pt idx="0">
                  <c:v>珠海</c:v>
                </c:pt>
              </c:strCache>
            </c:strRef>
          </c:tx>
          <c:cat>
            <c:strRef>
              <c:f>智能分析!$B$3:$B$80</c:f>
              <c:strCache>
                <c:ptCount val="23"/>
                <c:pt idx="0">
                  <c:v>2017-01</c:v>
                </c:pt>
                <c:pt idx="1">
                  <c:v>2017-02</c:v>
                </c:pt>
                <c:pt idx="2">
                  <c:v>2017-03</c:v>
                </c:pt>
                <c:pt idx="3">
                  <c:v>2017-04</c:v>
                </c:pt>
                <c:pt idx="4">
                  <c:v>2017-05</c:v>
                </c:pt>
                <c:pt idx="5">
                  <c:v>2017-06</c:v>
                </c:pt>
                <c:pt idx="6">
                  <c:v>2017-07</c:v>
                </c:pt>
                <c:pt idx="7">
                  <c:v>2017-08</c:v>
                </c:pt>
                <c:pt idx="8">
                  <c:v>2017-09</c:v>
                </c:pt>
                <c:pt idx="9">
                  <c:v>2017-10</c:v>
                </c:pt>
                <c:pt idx="10">
                  <c:v>2017-11</c:v>
                </c:pt>
                <c:pt idx="11">
                  <c:v>2017-12</c:v>
                </c:pt>
                <c:pt idx="12">
                  <c:v>2018-01</c:v>
                </c:pt>
                <c:pt idx="13">
                  <c:v>2018-02</c:v>
                </c:pt>
                <c:pt idx="14">
                  <c:v>2018-03</c:v>
                </c:pt>
                <c:pt idx="15">
                  <c:v>2018-04</c:v>
                </c:pt>
                <c:pt idx="16">
                  <c:v>2018-05</c:v>
                </c:pt>
                <c:pt idx="17">
                  <c:v>2018-06</c:v>
                </c:pt>
                <c:pt idx="18">
                  <c:v>2018-07</c:v>
                </c:pt>
                <c:pt idx="19">
                  <c:v>2018-08</c:v>
                </c:pt>
                <c:pt idx="20">
                  <c:v>2018-09</c:v>
                </c:pt>
                <c:pt idx="21">
                  <c:v>2018-10</c:v>
                </c:pt>
                <c:pt idx="22">
                  <c:v>2018-11</c:v>
                </c:pt>
              </c:strCache>
            </c:strRef>
          </c:cat>
          <c:val>
            <c:numRef>
              <c:f>智能分析!$O$3:$O$80</c:f>
            </c:numRef>
          </c:val>
          <c:smooth val="0"/>
        </c:ser>
        <c:ser>
          <c:idx val="13"/>
          <c:order val="13"/>
          <c:tx>
            <c:strRef>
              <c:f>智能分析!$P$2</c:f>
              <c:strCache>
                <c:ptCount val="1"/>
                <c:pt idx="0">
                  <c:v>机构</c:v>
                </c:pt>
              </c:strCache>
            </c:strRef>
          </c:tx>
          <c:dLbls>
            <c:txPr>
              <a:bodyPr/>
              <a:lstStyle/>
              <a:p>
                <a:pPr>
                  <a:defRPr b="1">
                    <a:latin typeface="微软雅黑"/>
                    <a:ea typeface="微软雅黑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智能分析!$B$3:$B$80</c:f>
              <c:strCache>
                <c:ptCount val="23"/>
                <c:pt idx="0">
                  <c:v>2017-01</c:v>
                </c:pt>
                <c:pt idx="1">
                  <c:v>2017-02</c:v>
                </c:pt>
                <c:pt idx="2">
                  <c:v>2017-03</c:v>
                </c:pt>
                <c:pt idx="3">
                  <c:v>2017-04</c:v>
                </c:pt>
                <c:pt idx="4">
                  <c:v>2017-05</c:v>
                </c:pt>
                <c:pt idx="5">
                  <c:v>2017-06</c:v>
                </c:pt>
                <c:pt idx="6">
                  <c:v>2017-07</c:v>
                </c:pt>
                <c:pt idx="7">
                  <c:v>2017-08</c:v>
                </c:pt>
                <c:pt idx="8">
                  <c:v>2017-09</c:v>
                </c:pt>
                <c:pt idx="9">
                  <c:v>2017-10</c:v>
                </c:pt>
                <c:pt idx="10">
                  <c:v>2017-11</c:v>
                </c:pt>
                <c:pt idx="11">
                  <c:v>2017-12</c:v>
                </c:pt>
                <c:pt idx="12">
                  <c:v>2018-01</c:v>
                </c:pt>
                <c:pt idx="13">
                  <c:v>2018-02</c:v>
                </c:pt>
                <c:pt idx="14">
                  <c:v>2018-03</c:v>
                </c:pt>
                <c:pt idx="15">
                  <c:v>2018-04</c:v>
                </c:pt>
                <c:pt idx="16">
                  <c:v>2018-05</c:v>
                </c:pt>
                <c:pt idx="17">
                  <c:v>2018-06</c:v>
                </c:pt>
                <c:pt idx="18">
                  <c:v>2018-07</c:v>
                </c:pt>
                <c:pt idx="19">
                  <c:v>2018-08</c:v>
                </c:pt>
                <c:pt idx="20">
                  <c:v>2018-09</c:v>
                </c:pt>
                <c:pt idx="21">
                  <c:v>2018-10</c:v>
                </c:pt>
                <c:pt idx="22">
                  <c:v>2018-11</c:v>
                </c:pt>
              </c:strCache>
            </c:strRef>
          </c:cat>
          <c:val>
            <c:numRef>
              <c:f>智能分析!$P$3:$P$80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30048"/>
        <c:axId val="76531584"/>
      </c:lineChart>
      <c:catAx>
        <c:axId val="765300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b="1">
                <a:latin typeface="微软雅黑" pitchFamily="34" charset="-122"/>
                <a:ea typeface="微软雅黑" pitchFamily="34" charset="-122"/>
              </a:defRPr>
            </a:pPr>
            <a:endParaRPr lang="zh-CN"/>
          </a:p>
        </c:txPr>
        <c:crossAx val="76531584"/>
        <c:crosses val="autoZero"/>
        <c:auto val="1"/>
        <c:lblAlgn val="ctr"/>
        <c:lblOffset val="100"/>
        <c:noMultiLvlLbl val="0"/>
      </c:catAx>
      <c:valAx>
        <c:axId val="765315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>
                <a:latin typeface="微软雅黑" pitchFamily="34" charset="-122"/>
                <a:ea typeface="微软雅黑" pitchFamily="34" charset="-122"/>
              </a:defRPr>
            </a:pPr>
            <a:endParaRPr lang="zh-CN"/>
          </a:p>
        </c:txPr>
        <c:crossAx val="76530048"/>
        <c:crosses val="autoZero"/>
        <c:crossBetween val="between"/>
      </c:valAx>
    </c:plotArea>
    <c:legend>
      <c:legendPos val="r"/>
      <c:layout/>
      <c:overlay val="0"/>
      <c:spPr>
        <a:noFill/>
      </c:spPr>
      <c:txPr>
        <a:bodyPr/>
        <a:lstStyle/>
        <a:p>
          <a:pPr>
            <a:defRPr b="1">
              <a:latin typeface="微软雅黑" pitchFamily="34" charset="-122"/>
              <a:ea typeface="微软雅黑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ln w="19050">
      <a:solidFill>
        <a:schemeClr val="tx2">
          <a:lumMod val="60000"/>
          <a:lumOff val="40000"/>
        </a:schemeClr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Sheet4!$M$3" fmlaRange="Sheet4!$K$3:$K$9" sel="6" val="0"/>
</file>

<file path=xl/ctrlProps/ctrlProp3.xml><?xml version="1.0" encoding="utf-8"?>
<formControlPr xmlns="http://schemas.microsoft.com/office/spreadsheetml/2009/9/main" objectType="Drop" dropStyle="combo" dx="16" fmlaLink="Sheet4!$N$3" fmlaRange="Sheet4!$L$3:$L$14" val="0"/>
</file>

<file path=xl/ctrlProps/ctrlProp4.xml><?xml version="1.0" encoding="utf-8"?>
<formControlPr xmlns="http://schemas.microsoft.com/office/spreadsheetml/2009/9/main" objectType="Drop" dropStyle="combo" dx="16" fmlaLink="Sheet4!$O$3" fmlaRange="Sheet4!$K$3:$K$9" sel="7" val="0"/>
</file>

<file path=xl/ctrlProps/ctrlProp5.xml><?xml version="1.0" encoding="utf-8"?>
<formControlPr xmlns="http://schemas.microsoft.com/office/spreadsheetml/2009/9/main" objectType="Drop" dropStyle="combo" dx="16" fmlaLink="Sheet4!$P$3" fmlaRange="Sheet4!$L$3:$L$14" sel="11" val="4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7.emf"/><Relationship Id="rId18" Type="http://schemas.openxmlformats.org/officeDocument/2006/relationships/image" Target="../media/image2.emf"/><Relationship Id="rId3" Type="http://schemas.openxmlformats.org/officeDocument/2006/relationships/image" Target="../media/image7.emf"/><Relationship Id="rId21" Type="http://schemas.openxmlformats.org/officeDocument/2006/relationships/image" Target="../media/image21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17" Type="http://schemas.openxmlformats.org/officeDocument/2006/relationships/image" Target="../media/image3.emf"/><Relationship Id="rId2" Type="http://schemas.openxmlformats.org/officeDocument/2006/relationships/image" Target="../media/image6.emf"/><Relationship Id="rId16" Type="http://schemas.openxmlformats.org/officeDocument/2006/relationships/image" Target="../media/image4.emf"/><Relationship Id="rId20" Type="http://schemas.openxmlformats.org/officeDocument/2006/relationships/image" Target="../media/image20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5" Type="http://schemas.openxmlformats.org/officeDocument/2006/relationships/image" Target="../media/image19.emf"/><Relationship Id="rId10" Type="http://schemas.openxmlformats.org/officeDocument/2006/relationships/image" Target="../media/image14.emf"/><Relationship Id="rId19" Type="http://schemas.openxmlformats.org/officeDocument/2006/relationships/image" Target="../media/image1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2</xdr:row>
          <xdr:rowOff>114300</xdr:rowOff>
        </xdr:from>
        <xdr:to>
          <xdr:col>4</xdr:col>
          <xdr:colOff>19050</xdr:colOff>
          <xdr:row>3</xdr:row>
          <xdr:rowOff>228600</xdr:rowOff>
        </xdr:to>
        <xdr:sp macro="" textlink="">
          <xdr:nvSpPr>
            <xdr:cNvPr id="4133" name="CheckBox1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114300</xdr:rowOff>
        </xdr:from>
        <xdr:to>
          <xdr:col>8</xdr:col>
          <xdr:colOff>85725</xdr:colOff>
          <xdr:row>3</xdr:row>
          <xdr:rowOff>228600</xdr:rowOff>
        </xdr:to>
        <xdr:sp macro="" textlink="">
          <xdr:nvSpPr>
            <xdr:cNvPr id="4135" name="CheckBox2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2</xdr:row>
          <xdr:rowOff>114300</xdr:rowOff>
        </xdr:from>
        <xdr:to>
          <xdr:col>9</xdr:col>
          <xdr:colOff>104775</xdr:colOff>
          <xdr:row>3</xdr:row>
          <xdr:rowOff>228600</xdr:rowOff>
        </xdr:to>
        <xdr:sp macro="" textlink="">
          <xdr:nvSpPr>
            <xdr:cNvPr id="4136" name="CheckBox3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342900</xdr:colOff>
          <xdr:row>2</xdr:row>
          <xdr:rowOff>114300</xdr:rowOff>
        </xdr:from>
        <xdr:to>
          <xdr:col>18</xdr:col>
          <xdr:colOff>304800</xdr:colOff>
          <xdr:row>3</xdr:row>
          <xdr:rowOff>228600</xdr:rowOff>
        </xdr:to>
        <xdr:sp macro="" textlink="">
          <xdr:nvSpPr>
            <xdr:cNvPr id="4137" name="CheckBox4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2</xdr:row>
          <xdr:rowOff>114300</xdr:rowOff>
        </xdr:from>
        <xdr:to>
          <xdr:col>6</xdr:col>
          <xdr:colOff>66675</xdr:colOff>
          <xdr:row>3</xdr:row>
          <xdr:rowOff>228600</xdr:rowOff>
        </xdr:to>
        <xdr:sp macro="" textlink="">
          <xdr:nvSpPr>
            <xdr:cNvPr id="4138" name="CheckBox5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276225</xdr:colOff>
          <xdr:row>2</xdr:row>
          <xdr:rowOff>114300</xdr:rowOff>
        </xdr:from>
        <xdr:to>
          <xdr:col>15</xdr:col>
          <xdr:colOff>238125</xdr:colOff>
          <xdr:row>3</xdr:row>
          <xdr:rowOff>228600</xdr:rowOff>
        </xdr:to>
        <xdr:sp macro="" textlink="">
          <xdr:nvSpPr>
            <xdr:cNvPr id="4139" name="CheckBox6" hidden="1">
              <a:extLst>
                <a:ext uri="{63B3BB69-23CF-44E3-9099-C40C66FF867C}">
                  <a14:compatExt spid="_x0000_s4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</xdr:row>
          <xdr:rowOff>114300</xdr:rowOff>
        </xdr:from>
        <xdr:to>
          <xdr:col>13</xdr:col>
          <xdr:colOff>190500</xdr:colOff>
          <xdr:row>3</xdr:row>
          <xdr:rowOff>228600</xdr:rowOff>
        </xdr:to>
        <xdr:sp macro="" textlink="">
          <xdr:nvSpPr>
            <xdr:cNvPr id="4140" name="CheckBox7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2</xdr:row>
          <xdr:rowOff>114300</xdr:rowOff>
        </xdr:from>
        <xdr:to>
          <xdr:col>17</xdr:col>
          <xdr:colOff>285750</xdr:colOff>
          <xdr:row>3</xdr:row>
          <xdr:rowOff>228600</xdr:rowOff>
        </xdr:to>
        <xdr:sp macro="" textlink="">
          <xdr:nvSpPr>
            <xdr:cNvPr id="4141" name="CheckBox8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2</xdr:row>
          <xdr:rowOff>114300</xdr:rowOff>
        </xdr:from>
        <xdr:to>
          <xdr:col>12</xdr:col>
          <xdr:colOff>171450</xdr:colOff>
          <xdr:row>3</xdr:row>
          <xdr:rowOff>228600</xdr:rowOff>
        </xdr:to>
        <xdr:sp macro="" textlink="">
          <xdr:nvSpPr>
            <xdr:cNvPr id="4142" name="CheckBox9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</xdr:row>
          <xdr:rowOff>114300</xdr:rowOff>
        </xdr:from>
        <xdr:to>
          <xdr:col>5</xdr:col>
          <xdr:colOff>38100</xdr:colOff>
          <xdr:row>3</xdr:row>
          <xdr:rowOff>228600</xdr:rowOff>
        </xdr:to>
        <xdr:sp macro="" textlink="">
          <xdr:nvSpPr>
            <xdr:cNvPr id="4143" name="CheckBox10" hidden="1">
              <a:extLst>
                <a:ext uri="{63B3BB69-23CF-44E3-9099-C40C66FF867C}">
                  <a14:compatExt spid="_x0000_s4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2</xdr:row>
          <xdr:rowOff>114300</xdr:rowOff>
        </xdr:from>
        <xdr:to>
          <xdr:col>14</xdr:col>
          <xdr:colOff>219075</xdr:colOff>
          <xdr:row>3</xdr:row>
          <xdr:rowOff>228600</xdr:rowOff>
        </xdr:to>
        <xdr:sp macro="" textlink="">
          <xdr:nvSpPr>
            <xdr:cNvPr id="4144" name="CheckBox11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2</xdr:row>
          <xdr:rowOff>114300</xdr:rowOff>
        </xdr:from>
        <xdr:to>
          <xdr:col>16</xdr:col>
          <xdr:colOff>257175</xdr:colOff>
          <xdr:row>3</xdr:row>
          <xdr:rowOff>228600</xdr:rowOff>
        </xdr:to>
        <xdr:sp macro="" textlink="">
          <xdr:nvSpPr>
            <xdr:cNvPr id="4145" name="CheckBox12" hidden="1">
              <a:extLst>
                <a:ext uri="{63B3BB69-23CF-44E3-9099-C40C66FF867C}">
                  <a14:compatExt spid="_x0000_s4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2</xdr:row>
          <xdr:rowOff>114300</xdr:rowOff>
        </xdr:from>
        <xdr:to>
          <xdr:col>10</xdr:col>
          <xdr:colOff>133350</xdr:colOff>
          <xdr:row>3</xdr:row>
          <xdr:rowOff>228600</xdr:rowOff>
        </xdr:to>
        <xdr:sp macro="" textlink="">
          <xdr:nvSpPr>
            <xdr:cNvPr id="4146" name="CheckBox13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</xdr:row>
          <xdr:rowOff>114300</xdr:rowOff>
        </xdr:from>
        <xdr:to>
          <xdr:col>11</xdr:col>
          <xdr:colOff>152400</xdr:colOff>
          <xdr:row>3</xdr:row>
          <xdr:rowOff>228600</xdr:rowOff>
        </xdr:to>
        <xdr:sp macro="" textlink="">
          <xdr:nvSpPr>
            <xdr:cNvPr id="4147" name="CheckBox14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895350</xdr:colOff>
      <xdr:row>0</xdr:row>
      <xdr:rowOff>28575</xdr:rowOff>
    </xdr:from>
    <xdr:to>
      <xdr:col>20</xdr:col>
      <xdr:colOff>65100</xdr:colOff>
      <xdr:row>1</xdr:row>
      <xdr:rowOff>152625</xdr:rowOff>
    </xdr:to>
    <xdr:sp macro="" textlink="">
      <xdr:nvSpPr>
        <xdr:cNvPr id="23" name="TextBox 22"/>
        <xdr:cNvSpPr txBox="1"/>
      </xdr:nvSpPr>
      <xdr:spPr>
        <a:xfrm>
          <a:off x="1085850" y="28575"/>
          <a:ext cx="12600000" cy="486000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3200" b="1">
              <a:latin typeface="微软雅黑" pitchFamily="34" charset="-122"/>
              <a:ea typeface="微软雅黑" pitchFamily="34" charset="-122"/>
            </a:rPr>
            <a:t>前海人寿经营数据指标视图平台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409575</xdr:colOff>
          <xdr:row>0</xdr:row>
          <xdr:rowOff>238125</xdr:rowOff>
        </xdr:from>
        <xdr:to>
          <xdr:col>18</xdr:col>
          <xdr:colOff>295275</xdr:colOff>
          <xdr:row>2</xdr:row>
          <xdr:rowOff>47625</xdr:rowOff>
        </xdr:to>
        <xdr:sp macro="" textlink="">
          <xdr:nvSpPr>
            <xdr:cNvPr id="4159" name="CheckBox15" hidden="1">
              <a:extLst>
                <a:ext uri="{63B3BB69-23CF-44E3-9099-C40C66FF867C}">
                  <a14:compatExt spid="_x0000_s4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22</xdr:row>
          <xdr:rowOff>114300</xdr:rowOff>
        </xdr:from>
        <xdr:to>
          <xdr:col>8</xdr:col>
          <xdr:colOff>190500</xdr:colOff>
          <xdr:row>23</xdr:row>
          <xdr:rowOff>180975</xdr:rowOff>
        </xdr:to>
        <xdr:sp macro="" textlink="">
          <xdr:nvSpPr>
            <xdr:cNvPr id="4160" name="Drop Down 64" hidden="1">
              <a:extLst>
                <a:ext uri="{63B3BB69-23CF-44E3-9099-C40C66FF867C}">
                  <a14:compatExt spid="_x0000_s4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22</xdr:row>
          <xdr:rowOff>114300</xdr:rowOff>
        </xdr:from>
        <xdr:to>
          <xdr:col>9</xdr:col>
          <xdr:colOff>180975</xdr:colOff>
          <xdr:row>23</xdr:row>
          <xdr:rowOff>180975</xdr:rowOff>
        </xdr:to>
        <xdr:sp macro="" textlink="">
          <xdr:nvSpPr>
            <xdr:cNvPr id="4161" name="Drop Down 65" hidden="1">
              <a:extLst>
                <a:ext uri="{63B3BB69-23CF-44E3-9099-C40C66FF867C}">
                  <a14:compatExt spid="_x0000_s4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22</xdr:row>
          <xdr:rowOff>114300</xdr:rowOff>
        </xdr:from>
        <xdr:to>
          <xdr:col>11</xdr:col>
          <xdr:colOff>95250</xdr:colOff>
          <xdr:row>23</xdr:row>
          <xdr:rowOff>180975</xdr:rowOff>
        </xdr:to>
        <xdr:sp macro="" textlink="">
          <xdr:nvSpPr>
            <xdr:cNvPr id="4162" name="Drop Down 66" hidden="1">
              <a:extLst>
                <a:ext uri="{63B3BB69-23CF-44E3-9099-C40C66FF867C}">
                  <a14:compatExt spid="_x0000_s4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22</xdr:row>
          <xdr:rowOff>114300</xdr:rowOff>
        </xdr:from>
        <xdr:to>
          <xdr:col>12</xdr:col>
          <xdr:colOff>95250</xdr:colOff>
          <xdr:row>23</xdr:row>
          <xdr:rowOff>180975</xdr:rowOff>
        </xdr:to>
        <xdr:sp macro="" textlink="">
          <xdr:nvSpPr>
            <xdr:cNvPr id="4163" name="Drop Down 67" hidden="1">
              <a:extLst>
                <a:ext uri="{63B3BB69-23CF-44E3-9099-C40C66FF867C}">
                  <a14:compatExt spid="_x0000_s4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22</xdr:row>
          <xdr:rowOff>104775</xdr:rowOff>
        </xdr:from>
        <xdr:to>
          <xdr:col>13</xdr:col>
          <xdr:colOff>76200</xdr:colOff>
          <xdr:row>24</xdr:row>
          <xdr:rowOff>9525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确定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247650</xdr:colOff>
      <xdr:row>22</xdr:row>
      <xdr:rowOff>114300</xdr:rowOff>
    </xdr:from>
    <xdr:to>
      <xdr:col>6</xdr:col>
      <xdr:colOff>180975</xdr:colOff>
      <xdr:row>24</xdr:row>
      <xdr:rowOff>0</xdr:rowOff>
    </xdr:to>
    <xdr:sp macro="" textlink="">
      <xdr:nvSpPr>
        <xdr:cNvPr id="2" name="TextBox 1"/>
        <xdr:cNvSpPr txBox="1"/>
      </xdr:nvSpPr>
      <xdr:spPr>
        <a:xfrm>
          <a:off x="4267200" y="5267325"/>
          <a:ext cx="1304925" cy="342900"/>
        </a:xfrm>
        <a:prstGeom prst="rect">
          <a:avLst/>
        </a:prstGeom>
        <a:solidFill>
          <a:schemeClr val="lt1"/>
        </a:solidFill>
        <a:ln w="19050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 b="1">
              <a:latin typeface="微软雅黑" pitchFamily="34" charset="-122"/>
              <a:ea typeface="微软雅黑" pitchFamily="34" charset="-122"/>
            </a:rPr>
            <a:t>观测时间为：</a:t>
          </a:r>
        </a:p>
      </xdr:txBody>
    </xdr:sp>
    <xdr:clientData/>
  </xdr:twoCellAnchor>
  <xdr:twoCellAnchor>
    <xdr:from>
      <xdr:col>2</xdr:col>
      <xdr:colOff>619125</xdr:colOff>
      <xdr:row>5</xdr:row>
      <xdr:rowOff>4759</xdr:rowOff>
    </xdr:from>
    <xdr:to>
      <xdr:col>17</xdr:col>
      <xdr:colOff>212100</xdr:colOff>
      <xdr:row>22</xdr:row>
      <xdr:rowOff>78559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7</xdr:row>
          <xdr:rowOff>104775</xdr:rowOff>
        </xdr:from>
        <xdr:to>
          <xdr:col>18</xdr:col>
          <xdr:colOff>514350</xdr:colOff>
          <xdr:row>13</xdr:row>
          <xdr:rowOff>171450</xdr:rowOff>
        </xdr:to>
        <xdr:sp macro="" textlink="">
          <xdr:nvSpPr>
            <xdr:cNvPr id="4152" name="ToggleButton1" hidden="1">
              <a:extLst>
                <a:ext uri="{63B3BB69-23CF-44E3-9099-C40C66FF867C}">
                  <a14:compatExt spid="_x0000_s4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</xdr:row>
          <xdr:rowOff>57150</xdr:rowOff>
        </xdr:from>
        <xdr:to>
          <xdr:col>2</xdr:col>
          <xdr:colOff>485775</xdr:colOff>
          <xdr:row>8</xdr:row>
          <xdr:rowOff>95250</xdr:rowOff>
        </xdr:to>
        <xdr:sp macro="" textlink="">
          <xdr:nvSpPr>
            <xdr:cNvPr id="4153" name="CommandButton1" hidden="1">
              <a:extLst>
                <a:ext uri="{63B3BB69-23CF-44E3-9099-C40C66FF867C}">
                  <a14:compatExt spid="_x0000_s4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9</xdr:row>
          <xdr:rowOff>142875</xdr:rowOff>
        </xdr:from>
        <xdr:to>
          <xdr:col>2</xdr:col>
          <xdr:colOff>485775</xdr:colOff>
          <xdr:row>11</xdr:row>
          <xdr:rowOff>180975</xdr:rowOff>
        </xdr:to>
        <xdr:sp macro="" textlink="">
          <xdr:nvSpPr>
            <xdr:cNvPr id="4154" name="CommandButton2" hidden="1">
              <a:extLst>
                <a:ext uri="{63B3BB69-23CF-44E3-9099-C40C66FF867C}">
                  <a14:compatExt spid="_x0000_s4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13</xdr:row>
          <xdr:rowOff>0</xdr:rowOff>
        </xdr:from>
        <xdr:to>
          <xdr:col>2</xdr:col>
          <xdr:colOff>485775</xdr:colOff>
          <xdr:row>15</xdr:row>
          <xdr:rowOff>38100</xdr:rowOff>
        </xdr:to>
        <xdr:sp macro="" textlink="">
          <xdr:nvSpPr>
            <xdr:cNvPr id="4155" name="CommandButton3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16</xdr:row>
          <xdr:rowOff>85725</xdr:rowOff>
        </xdr:from>
        <xdr:to>
          <xdr:col>2</xdr:col>
          <xdr:colOff>485775</xdr:colOff>
          <xdr:row>18</xdr:row>
          <xdr:rowOff>123825</xdr:rowOff>
        </xdr:to>
        <xdr:sp macro="" textlink="">
          <xdr:nvSpPr>
            <xdr:cNvPr id="4156" name="CommandButton4" hidden="1">
              <a:extLst>
                <a:ext uri="{63B3BB69-23CF-44E3-9099-C40C66FF867C}">
                  <a14:compatExt spid="_x0000_s4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304800</xdr:colOff>
          <xdr:row>5</xdr:row>
          <xdr:rowOff>57150</xdr:rowOff>
        </xdr:from>
        <xdr:to>
          <xdr:col>18</xdr:col>
          <xdr:colOff>514350</xdr:colOff>
          <xdr:row>6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导出图表数据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14</xdr:row>
          <xdr:rowOff>9525</xdr:rowOff>
        </xdr:from>
        <xdr:to>
          <xdr:col>18</xdr:col>
          <xdr:colOff>514350</xdr:colOff>
          <xdr:row>15</xdr:row>
          <xdr:rowOff>209550</xdr:rowOff>
        </xdr:to>
        <xdr:sp macro="" textlink="">
          <xdr:nvSpPr>
            <xdr:cNvPr id="4170" name="ToggleButton2" hidden="1">
              <a:extLst>
                <a:ext uri="{63B3BB69-23CF-44E3-9099-C40C66FF867C}">
                  <a14:compatExt spid="_x0000_s4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276225</xdr:colOff>
      <xdr:row>23</xdr:row>
      <xdr:rowOff>19050</xdr:rowOff>
    </xdr:from>
    <xdr:to>
      <xdr:col>10</xdr:col>
      <xdr:colOff>19050</xdr:colOff>
      <xdr:row>23</xdr:row>
      <xdr:rowOff>19050</xdr:rowOff>
    </xdr:to>
    <xdr:cxnSp macro="">
      <xdr:nvCxnSpPr>
        <xdr:cNvPr id="6" name="直接连接符 5"/>
        <xdr:cNvCxnSpPr/>
      </xdr:nvCxnSpPr>
      <xdr:spPr>
        <a:xfrm>
          <a:off x="7038975" y="5400675"/>
          <a:ext cx="428625" cy="0"/>
        </a:xfrm>
        <a:prstGeom prst="line">
          <a:avLst/>
        </a:prstGeom>
        <a:ln w="762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ctrlProp" Target="../ctrlProps/ctrlProp2.xml"/><Relationship Id="rId50" Type="http://schemas.openxmlformats.org/officeDocument/2006/relationships/ctrlProp" Target="../ctrlProps/ctrlProp5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trlProp" Target="../ctrlProps/ctrlProp3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C5"/>
  <sheetViews>
    <sheetView showGridLines="0" tabSelected="1" workbookViewId="0"/>
  </sheetViews>
  <sheetFormatPr defaultRowHeight="18" x14ac:dyDescent="0.35"/>
  <cols>
    <col min="1" max="1" width="2.5" style="17" customWidth="1"/>
    <col min="2" max="3" width="20.625" style="17" customWidth="1"/>
    <col min="4" max="7" width="9" style="17"/>
    <col min="8" max="8" width="0" style="17" hidden="1" customWidth="1"/>
    <col min="9" max="18" width="9" style="17"/>
    <col min="19" max="19" width="9" style="17" customWidth="1"/>
    <col min="20" max="16384" width="9" style="17"/>
  </cols>
  <sheetData>
    <row r="1" spans="2:3" ht="28.5" customHeight="1" x14ac:dyDescent="0.35"/>
    <row r="2" spans="2:3" ht="15" customHeight="1" thickBot="1" x14ac:dyDescent="0.4">
      <c r="B2" s="38" t="s">
        <v>177</v>
      </c>
    </row>
    <row r="3" spans="2:3" ht="20.100000000000001" customHeight="1" x14ac:dyDescent="0.35">
      <c r="B3" s="12" t="s">
        <v>136</v>
      </c>
      <c r="C3" s="13" t="s">
        <v>137</v>
      </c>
    </row>
    <row r="4" spans="2:3" ht="20.100000000000001" customHeight="1" thickBot="1" x14ac:dyDescent="0.4">
      <c r="B4" s="18" t="s">
        <v>179</v>
      </c>
      <c r="C4" s="19" t="s">
        <v>2</v>
      </c>
    </row>
    <row r="5" spans="2:3" ht="17.25" customHeight="1" x14ac:dyDescent="0.35"/>
  </sheetData>
  <phoneticPr fontId="3" type="noConversion"/>
  <dataValidations count="2">
    <dataValidation type="list" allowBlank="1" showInputMessage="1" showErrorMessage="1" sqref="B4">
      <formula1>公司渠道</formula1>
    </dataValidation>
    <dataValidation type="list" allowBlank="1" showInputMessage="1" showErrorMessage="1" sqref="C4">
      <formula1>INDIRECT($B$4)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56" r:id="rId4" name="CommandButton4">
          <controlPr defaultSize="0" autoLine="0" r:id="rId5">
            <anchor moveWithCells="1">
              <from>
                <xdr:col>1</xdr:col>
                <xdr:colOff>1152525</xdr:colOff>
                <xdr:row>16</xdr:row>
                <xdr:rowOff>85725</xdr:rowOff>
              </from>
              <to>
                <xdr:col>2</xdr:col>
                <xdr:colOff>485775</xdr:colOff>
                <xdr:row>18</xdr:row>
                <xdr:rowOff>123825</xdr:rowOff>
              </to>
            </anchor>
          </controlPr>
        </control>
      </mc:Choice>
      <mc:Fallback>
        <control shapeId="4156" r:id="rId4" name="CommandButton4"/>
      </mc:Fallback>
    </mc:AlternateContent>
    <mc:AlternateContent xmlns:mc="http://schemas.openxmlformats.org/markup-compatibility/2006">
      <mc:Choice Requires="x14">
        <control shapeId="4155" r:id="rId6" name="CommandButton3">
          <controlPr defaultSize="0" autoLine="0" r:id="rId7">
            <anchor moveWithCells="1">
              <from>
                <xdr:col>1</xdr:col>
                <xdr:colOff>1152525</xdr:colOff>
                <xdr:row>13</xdr:row>
                <xdr:rowOff>0</xdr:rowOff>
              </from>
              <to>
                <xdr:col>2</xdr:col>
                <xdr:colOff>485775</xdr:colOff>
                <xdr:row>15</xdr:row>
                <xdr:rowOff>38100</xdr:rowOff>
              </to>
            </anchor>
          </controlPr>
        </control>
      </mc:Choice>
      <mc:Fallback>
        <control shapeId="4155" r:id="rId6" name="CommandButton3"/>
      </mc:Fallback>
    </mc:AlternateContent>
    <mc:AlternateContent xmlns:mc="http://schemas.openxmlformats.org/markup-compatibility/2006">
      <mc:Choice Requires="x14">
        <control shapeId="4154" r:id="rId8" name="CommandButton2">
          <controlPr defaultSize="0" autoLine="0" r:id="rId9">
            <anchor moveWithCells="1">
              <from>
                <xdr:col>1</xdr:col>
                <xdr:colOff>1152525</xdr:colOff>
                <xdr:row>9</xdr:row>
                <xdr:rowOff>142875</xdr:rowOff>
              </from>
              <to>
                <xdr:col>2</xdr:col>
                <xdr:colOff>485775</xdr:colOff>
                <xdr:row>11</xdr:row>
                <xdr:rowOff>180975</xdr:rowOff>
              </to>
            </anchor>
          </controlPr>
        </control>
      </mc:Choice>
      <mc:Fallback>
        <control shapeId="4154" r:id="rId8" name="CommandButton2"/>
      </mc:Fallback>
    </mc:AlternateContent>
    <mc:AlternateContent xmlns:mc="http://schemas.openxmlformats.org/markup-compatibility/2006">
      <mc:Choice Requires="x14">
        <control shapeId="4153" r:id="rId10" name="CommandButton1">
          <controlPr defaultSize="0" autoLine="0" r:id="rId11">
            <anchor moveWithCells="1">
              <from>
                <xdr:col>1</xdr:col>
                <xdr:colOff>1152525</xdr:colOff>
                <xdr:row>6</xdr:row>
                <xdr:rowOff>57150</xdr:rowOff>
              </from>
              <to>
                <xdr:col>2</xdr:col>
                <xdr:colOff>485775</xdr:colOff>
                <xdr:row>8</xdr:row>
                <xdr:rowOff>95250</xdr:rowOff>
              </to>
            </anchor>
          </controlPr>
        </control>
      </mc:Choice>
      <mc:Fallback>
        <control shapeId="4153" r:id="rId10" name="CommandButton1"/>
      </mc:Fallback>
    </mc:AlternateContent>
    <mc:AlternateContent xmlns:mc="http://schemas.openxmlformats.org/markup-compatibility/2006">
      <mc:Choice Requires="x14">
        <control shapeId="4133" r:id="rId12" name="CheckBox1">
          <controlPr defaultSize="0" autoLine="0" r:id="rId13">
            <anchor moveWithCells="1">
              <from>
                <xdr:col>3</xdr:col>
                <xdr:colOff>57150</xdr:colOff>
                <xdr:row>2</xdr:row>
                <xdr:rowOff>114300</xdr:rowOff>
              </from>
              <to>
                <xdr:col>4</xdr:col>
                <xdr:colOff>19050</xdr:colOff>
                <xdr:row>3</xdr:row>
                <xdr:rowOff>228600</xdr:rowOff>
              </to>
            </anchor>
          </controlPr>
        </control>
      </mc:Choice>
      <mc:Fallback>
        <control shapeId="4133" r:id="rId12" name="CheckBox1"/>
      </mc:Fallback>
    </mc:AlternateContent>
    <mc:AlternateContent xmlns:mc="http://schemas.openxmlformats.org/markup-compatibility/2006">
      <mc:Choice Requires="x14">
        <control shapeId="4135" r:id="rId14" name="CheckBox2">
          <controlPr defaultSize="0" autoLine="0" r:id="rId15">
            <anchor moveWithCells="1">
              <from>
                <xdr:col>6</xdr:col>
                <xdr:colOff>123825</xdr:colOff>
                <xdr:row>2</xdr:row>
                <xdr:rowOff>114300</xdr:rowOff>
              </from>
              <to>
                <xdr:col>8</xdr:col>
                <xdr:colOff>85725</xdr:colOff>
                <xdr:row>3</xdr:row>
                <xdr:rowOff>228600</xdr:rowOff>
              </to>
            </anchor>
          </controlPr>
        </control>
      </mc:Choice>
      <mc:Fallback>
        <control shapeId="4135" r:id="rId14" name="CheckBox2"/>
      </mc:Fallback>
    </mc:AlternateContent>
    <mc:AlternateContent xmlns:mc="http://schemas.openxmlformats.org/markup-compatibility/2006">
      <mc:Choice Requires="x14">
        <control shapeId="4136" r:id="rId16" name="CheckBox3">
          <controlPr defaultSize="0" autoLine="0" r:id="rId17">
            <anchor moveWithCells="1">
              <from>
                <xdr:col>8</xdr:col>
                <xdr:colOff>142875</xdr:colOff>
                <xdr:row>2</xdr:row>
                <xdr:rowOff>114300</xdr:rowOff>
              </from>
              <to>
                <xdr:col>9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4136" r:id="rId16" name="CheckBox3"/>
      </mc:Fallback>
    </mc:AlternateContent>
    <mc:AlternateContent xmlns:mc="http://schemas.openxmlformats.org/markup-compatibility/2006">
      <mc:Choice Requires="x14">
        <control shapeId="4137" r:id="rId18" name="CheckBox4">
          <controlPr defaultSize="0" autoLine="0" r:id="rId19">
            <anchor moveWithCells="1">
              <from>
                <xdr:col>17</xdr:col>
                <xdr:colOff>342900</xdr:colOff>
                <xdr:row>2</xdr:row>
                <xdr:rowOff>114300</xdr:rowOff>
              </from>
              <to>
                <xdr:col>18</xdr:col>
                <xdr:colOff>304800</xdr:colOff>
                <xdr:row>3</xdr:row>
                <xdr:rowOff>228600</xdr:rowOff>
              </to>
            </anchor>
          </controlPr>
        </control>
      </mc:Choice>
      <mc:Fallback>
        <control shapeId="4137" r:id="rId18" name="CheckBox4"/>
      </mc:Fallback>
    </mc:AlternateContent>
    <mc:AlternateContent xmlns:mc="http://schemas.openxmlformats.org/markup-compatibility/2006">
      <mc:Choice Requires="x14">
        <control shapeId="4138" r:id="rId20" name="CheckBox5">
          <controlPr defaultSize="0" autoLine="0" r:id="rId21">
            <anchor moveWithCells="1">
              <from>
                <xdr:col>5</xdr:col>
                <xdr:colOff>104775</xdr:colOff>
                <xdr:row>2</xdr:row>
                <xdr:rowOff>114300</xdr:rowOff>
              </from>
              <to>
                <xdr:col>6</xdr:col>
                <xdr:colOff>66675</xdr:colOff>
                <xdr:row>3</xdr:row>
                <xdr:rowOff>228600</xdr:rowOff>
              </to>
            </anchor>
          </controlPr>
        </control>
      </mc:Choice>
      <mc:Fallback>
        <control shapeId="4138" r:id="rId20" name="CheckBox5"/>
      </mc:Fallback>
    </mc:AlternateContent>
    <mc:AlternateContent xmlns:mc="http://schemas.openxmlformats.org/markup-compatibility/2006">
      <mc:Choice Requires="x14">
        <control shapeId="4139" r:id="rId22" name="CheckBox6">
          <controlPr defaultSize="0" autoLine="0" r:id="rId23">
            <anchor moveWithCells="1">
              <from>
                <xdr:col>14</xdr:col>
                <xdr:colOff>276225</xdr:colOff>
                <xdr:row>2</xdr:row>
                <xdr:rowOff>114300</xdr:rowOff>
              </from>
              <to>
                <xdr:col>15</xdr:col>
                <xdr:colOff>238125</xdr:colOff>
                <xdr:row>3</xdr:row>
                <xdr:rowOff>228600</xdr:rowOff>
              </to>
            </anchor>
          </controlPr>
        </control>
      </mc:Choice>
      <mc:Fallback>
        <control shapeId="4139" r:id="rId22" name="CheckBox6"/>
      </mc:Fallback>
    </mc:AlternateContent>
    <mc:AlternateContent xmlns:mc="http://schemas.openxmlformats.org/markup-compatibility/2006">
      <mc:Choice Requires="x14">
        <control shapeId="4140" r:id="rId24" name="CheckBox7">
          <controlPr defaultSize="0" autoLine="0" r:id="rId25">
            <anchor moveWithCells="1">
              <from>
                <xdr:col>12</xdr:col>
                <xdr:colOff>228600</xdr:colOff>
                <xdr:row>2</xdr:row>
                <xdr:rowOff>114300</xdr:rowOff>
              </from>
              <to>
                <xdr:col>13</xdr:col>
                <xdr:colOff>190500</xdr:colOff>
                <xdr:row>3</xdr:row>
                <xdr:rowOff>228600</xdr:rowOff>
              </to>
            </anchor>
          </controlPr>
        </control>
      </mc:Choice>
      <mc:Fallback>
        <control shapeId="4140" r:id="rId24" name="CheckBox7"/>
      </mc:Fallback>
    </mc:AlternateContent>
    <mc:AlternateContent xmlns:mc="http://schemas.openxmlformats.org/markup-compatibility/2006">
      <mc:Choice Requires="x14">
        <control shapeId="4141" r:id="rId26" name="CheckBox8">
          <controlPr defaultSize="0" autoLine="0" r:id="rId27">
            <anchor moveWithCells="1">
              <from>
                <xdr:col>16</xdr:col>
                <xdr:colOff>323850</xdr:colOff>
                <xdr:row>2</xdr:row>
                <xdr:rowOff>114300</xdr:rowOff>
              </from>
              <to>
                <xdr:col>17</xdr:col>
                <xdr:colOff>285750</xdr:colOff>
                <xdr:row>3</xdr:row>
                <xdr:rowOff>228600</xdr:rowOff>
              </to>
            </anchor>
          </controlPr>
        </control>
      </mc:Choice>
      <mc:Fallback>
        <control shapeId="4141" r:id="rId26" name="CheckBox8"/>
      </mc:Fallback>
    </mc:AlternateContent>
    <mc:AlternateContent xmlns:mc="http://schemas.openxmlformats.org/markup-compatibility/2006">
      <mc:Choice Requires="x14">
        <control shapeId="4142" r:id="rId28" name="CheckBox9">
          <controlPr defaultSize="0" autoLine="0" r:id="rId29">
            <anchor moveWithCells="1">
              <from>
                <xdr:col>11</xdr:col>
                <xdr:colOff>209550</xdr:colOff>
                <xdr:row>2</xdr:row>
                <xdr:rowOff>114300</xdr:rowOff>
              </from>
              <to>
                <xdr:col>12</xdr:col>
                <xdr:colOff>171450</xdr:colOff>
                <xdr:row>3</xdr:row>
                <xdr:rowOff>228600</xdr:rowOff>
              </to>
            </anchor>
          </controlPr>
        </control>
      </mc:Choice>
      <mc:Fallback>
        <control shapeId="4142" r:id="rId28" name="CheckBox9"/>
      </mc:Fallback>
    </mc:AlternateContent>
    <mc:AlternateContent xmlns:mc="http://schemas.openxmlformats.org/markup-compatibility/2006">
      <mc:Choice Requires="x14">
        <control shapeId="4143" r:id="rId30" name="CheckBox10">
          <controlPr defaultSize="0" autoLine="0" r:id="rId31">
            <anchor moveWithCells="1">
              <from>
                <xdr:col>4</xdr:col>
                <xdr:colOff>76200</xdr:colOff>
                <xdr:row>2</xdr:row>
                <xdr:rowOff>114300</xdr:rowOff>
              </from>
              <to>
                <xdr:col>5</xdr:col>
                <xdr:colOff>38100</xdr:colOff>
                <xdr:row>3</xdr:row>
                <xdr:rowOff>228600</xdr:rowOff>
              </to>
            </anchor>
          </controlPr>
        </control>
      </mc:Choice>
      <mc:Fallback>
        <control shapeId="4143" r:id="rId30" name="CheckBox10"/>
      </mc:Fallback>
    </mc:AlternateContent>
    <mc:AlternateContent xmlns:mc="http://schemas.openxmlformats.org/markup-compatibility/2006">
      <mc:Choice Requires="x14">
        <control shapeId="4144" r:id="rId32" name="CheckBox11">
          <controlPr defaultSize="0" autoLine="0" r:id="rId33">
            <anchor moveWithCells="1">
              <from>
                <xdr:col>13</xdr:col>
                <xdr:colOff>257175</xdr:colOff>
                <xdr:row>2</xdr:row>
                <xdr:rowOff>114300</xdr:rowOff>
              </from>
              <to>
                <xdr:col>14</xdr:col>
                <xdr:colOff>219075</xdr:colOff>
                <xdr:row>3</xdr:row>
                <xdr:rowOff>228600</xdr:rowOff>
              </to>
            </anchor>
          </controlPr>
        </control>
      </mc:Choice>
      <mc:Fallback>
        <control shapeId="4144" r:id="rId32" name="CheckBox11"/>
      </mc:Fallback>
    </mc:AlternateContent>
    <mc:AlternateContent xmlns:mc="http://schemas.openxmlformats.org/markup-compatibility/2006">
      <mc:Choice Requires="x14">
        <control shapeId="4145" r:id="rId34" name="CheckBox12">
          <controlPr defaultSize="0" autoLine="0" r:id="rId35">
            <anchor moveWithCells="1">
              <from>
                <xdr:col>15</xdr:col>
                <xdr:colOff>295275</xdr:colOff>
                <xdr:row>2</xdr:row>
                <xdr:rowOff>114300</xdr:rowOff>
              </from>
              <to>
                <xdr:col>16</xdr:col>
                <xdr:colOff>257175</xdr:colOff>
                <xdr:row>3</xdr:row>
                <xdr:rowOff>228600</xdr:rowOff>
              </to>
            </anchor>
          </controlPr>
        </control>
      </mc:Choice>
      <mc:Fallback>
        <control shapeId="4145" r:id="rId34" name="CheckBox12"/>
      </mc:Fallback>
    </mc:AlternateContent>
    <mc:AlternateContent xmlns:mc="http://schemas.openxmlformats.org/markup-compatibility/2006">
      <mc:Choice Requires="x14">
        <control shapeId="4146" r:id="rId36" name="CheckBox13">
          <controlPr defaultSize="0" autoLine="0" r:id="rId37">
            <anchor moveWithCells="1">
              <from>
                <xdr:col>9</xdr:col>
                <xdr:colOff>171450</xdr:colOff>
                <xdr:row>2</xdr:row>
                <xdr:rowOff>114300</xdr:rowOff>
              </from>
              <to>
                <xdr:col>10</xdr:col>
                <xdr:colOff>133350</xdr:colOff>
                <xdr:row>3</xdr:row>
                <xdr:rowOff>228600</xdr:rowOff>
              </to>
            </anchor>
          </controlPr>
        </control>
      </mc:Choice>
      <mc:Fallback>
        <control shapeId="4146" r:id="rId36" name="CheckBox13"/>
      </mc:Fallback>
    </mc:AlternateContent>
    <mc:AlternateContent xmlns:mc="http://schemas.openxmlformats.org/markup-compatibility/2006">
      <mc:Choice Requires="x14">
        <control shapeId="4147" r:id="rId38" name="CheckBox14">
          <controlPr defaultSize="0" autoLine="0" r:id="rId39">
            <anchor moveWithCells="1">
              <from>
                <xdr:col>10</xdr:col>
                <xdr:colOff>190500</xdr:colOff>
                <xdr:row>2</xdr:row>
                <xdr:rowOff>114300</xdr:rowOff>
              </from>
              <to>
                <xdr:col>11</xdr:col>
                <xdr:colOff>152400</xdr:colOff>
                <xdr:row>3</xdr:row>
                <xdr:rowOff>228600</xdr:rowOff>
              </to>
            </anchor>
          </controlPr>
        </control>
      </mc:Choice>
      <mc:Fallback>
        <control shapeId="4147" r:id="rId38" name="CheckBox14"/>
      </mc:Fallback>
    </mc:AlternateContent>
    <mc:AlternateContent xmlns:mc="http://schemas.openxmlformats.org/markup-compatibility/2006">
      <mc:Choice Requires="x14">
        <control shapeId="4152" r:id="rId40" name="ToggleButton1">
          <controlPr defaultSize="0" autoLine="0" r:id="rId41">
            <anchor moveWithCells="1">
              <from>
                <xdr:col>17</xdr:col>
                <xdr:colOff>304800</xdr:colOff>
                <xdr:row>7</xdr:row>
                <xdr:rowOff>104775</xdr:rowOff>
              </from>
              <to>
                <xdr:col>18</xdr:col>
                <xdr:colOff>514350</xdr:colOff>
                <xdr:row>13</xdr:row>
                <xdr:rowOff>171450</xdr:rowOff>
              </to>
            </anchor>
          </controlPr>
        </control>
      </mc:Choice>
      <mc:Fallback>
        <control shapeId="4152" r:id="rId40" name="ToggleButton1"/>
      </mc:Fallback>
    </mc:AlternateContent>
    <mc:AlternateContent xmlns:mc="http://schemas.openxmlformats.org/markup-compatibility/2006">
      <mc:Choice Requires="x14">
        <control shapeId="4159" r:id="rId42" name="CheckBox15">
          <controlPr defaultSize="0" autoLine="0" r:id="rId43">
            <anchor moveWithCells="1">
              <from>
                <xdr:col>16</xdr:col>
                <xdr:colOff>409575</xdr:colOff>
                <xdr:row>0</xdr:row>
                <xdr:rowOff>238125</xdr:rowOff>
              </from>
              <to>
                <xdr:col>18</xdr:col>
                <xdr:colOff>295275</xdr:colOff>
                <xdr:row>2</xdr:row>
                <xdr:rowOff>47625</xdr:rowOff>
              </to>
            </anchor>
          </controlPr>
        </control>
      </mc:Choice>
      <mc:Fallback>
        <control shapeId="4159" r:id="rId42" name="CheckBox15"/>
      </mc:Fallback>
    </mc:AlternateContent>
    <mc:AlternateContent xmlns:mc="http://schemas.openxmlformats.org/markup-compatibility/2006">
      <mc:Choice Requires="x14">
        <control shapeId="4170" r:id="rId44" name="ToggleButton2">
          <controlPr defaultSize="0" autoLine="0" r:id="rId45">
            <anchor moveWithCells="1">
              <from>
                <xdr:col>17</xdr:col>
                <xdr:colOff>304800</xdr:colOff>
                <xdr:row>14</xdr:row>
                <xdr:rowOff>9525</xdr:rowOff>
              </from>
              <to>
                <xdr:col>18</xdr:col>
                <xdr:colOff>514350</xdr:colOff>
                <xdr:row>15</xdr:row>
                <xdr:rowOff>209550</xdr:rowOff>
              </to>
            </anchor>
          </controlPr>
        </control>
      </mc:Choice>
      <mc:Fallback>
        <control shapeId="4170" r:id="rId44" name="ToggleButton2"/>
      </mc:Fallback>
    </mc:AlternateContent>
    <mc:AlternateContent xmlns:mc="http://schemas.openxmlformats.org/markup-compatibility/2006">
      <mc:Choice Requires="x14">
        <control shapeId="4158" r:id="rId46" name="Button 62">
          <controlPr defaultSize="0" autoFill="0" autoPict="0" macro="[0]!导出数据">
            <anchor moveWithCells="1" sizeWithCells="1">
              <from>
                <xdr:col>17</xdr:col>
                <xdr:colOff>304800</xdr:colOff>
                <xdr:row>5</xdr:row>
                <xdr:rowOff>57150</xdr:rowOff>
              </from>
              <to>
                <xdr:col>18</xdr:col>
                <xdr:colOff>514350</xdr:colOff>
                <xdr:row>6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60" r:id="rId47" name="Drop Down 64">
          <controlPr defaultSize="0" autoLine="0" autoPict="0">
            <anchor moveWithCells="1">
              <from>
                <xdr:col>6</xdr:col>
                <xdr:colOff>228600</xdr:colOff>
                <xdr:row>22</xdr:row>
                <xdr:rowOff>114300</xdr:rowOff>
              </from>
              <to>
                <xdr:col>8</xdr:col>
                <xdr:colOff>190500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61" r:id="rId48" name="Drop Down 65">
          <controlPr defaultSize="0" autoLine="0" autoPict="0">
            <anchor moveWithCells="1">
              <from>
                <xdr:col>8</xdr:col>
                <xdr:colOff>219075</xdr:colOff>
                <xdr:row>22</xdr:row>
                <xdr:rowOff>114300</xdr:rowOff>
              </from>
              <to>
                <xdr:col>9</xdr:col>
                <xdr:colOff>180975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62" r:id="rId49" name="Drop Down 66">
          <controlPr defaultSize="0" autoLine="0" autoPict="0">
            <anchor moveWithCells="1">
              <from>
                <xdr:col>10</xdr:col>
                <xdr:colOff>133350</xdr:colOff>
                <xdr:row>22</xdr:row>
                <xdr:rowOff>114300</xdr:rowOff>
              </from>
              <to>
                <xdr:col>11</xdr:col>
                <xdr:colOff>95250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63" r:id="rId50" name="Drop Down 67">
          <controlPr defaultSize="0" autoLine="0" autoPict="0">
            <anchor moveWithCells="1">
              <from>
                <xdr:col>11</xdr:col>
                <xdr:colOff>133350</xdr:colOff>
                <xdr:row>22</xdr:row>
                <xdr:rowOff>114300</xdr:rowOff>
              </from>
              <to>
                <xdr:col>12</xdr:col>
                <xdr:colOff>95250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66" r:id="rId51" name="Button 70">
          <controlPr defaultSize="0" print="0" autoFill="0" autoPict="0" macro="[0]!时间控制">
            <anchor moveWithCells="1" sizeWithCells="1">
              <from>
                <xdr:col>12</xdr:col>
                <xdr:colOff>333375</xdr:colOff>
                <xdr:row>22</xdr:row>
                <xdr:rowOff>104775</xdr:rowOff>
              </from>
              <to>
                <xdr:col>13</xdr:col>
                <xdr:colOff>76200</xdr:colOff>
                <xdr:row>24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107"/>
  <sheetViews>
    <sheetView workbookViewId="0">
      <selection sqref="A1:XFD1048576"/>
    </sheetView>
  </sheetViews>
  <sheetFormatPr defaultRowHeight="13.5" x14ac:dyDescent="0.15"/>
  <cols>
    <col min="1" max="48" width="13.875" customWidth="1"/>
  </cols>
  <sheetData>
    <row r="1" spans="1:48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</row>
    <row r="2" spans="1:48" x14ac:dyDescent="0.15">
      <c r="A2" s="20" t="s">
        <v>48</v>
      </c>
      <c r="B2" s="20" t="s">
        <v>49</v>
      </c>
      <c r="C2" s="21">
        <v>0</v>
      </c>
      <c r="D2" s="21">
        <v>0</v>
      </c>
      <c r="E2" s="21">
        <v>0</v>
      </c>
      <c r="F2" s="21">
        <v>0</v>
      </c>
      <c r="H2" s="21">
        <v>0</v>
      </c>
      <c r="I2" s="21">
        <v>0</v>
      </c>
      <c r="J2" s="21">
        <v>0</v>
      </c>
      <c r="K2" s="21">
        <v>0</v>
      </c>
      <c r="AU2" s="21">
        <v>0</v>
      </c>
      <c r="AV2" s="21">
        <v>0</v>
      </c>
    </row>
    <row r="3" spans="1:48" x14ac:dyDescent="0.15">
      <c r="A3" s="20" t="s">
        <v>50</v>
      </c>
      <c r="B3" s="20" t="s">
        <v>49</v>
      </c>
      <c r="C3" s="21">
        <v>0</v>
      </c>
      <c r="D3" s="21">
        <v>0</v>
      </c>
      <c r="E3" s="21">
        <v>0</v>
      </c>
      <c r="F3" s="21">
        <v>0</v>
      </c>
      <c r="H3" s="21">
        <v>0</v>
      </c>
      <c r="I3" s="21">
        <v>0</v>
      </c>
      <c r="J3" s="21">
        <v>0</v>
      </c>
      <c r="K3" s="21">
        <v>0</v>
      </c>
      <c r="AU3" s="21">
        <v>0</v>
      </c>
      <c r="AV3" s="21">
        <v>0</v>
      </c>
    </row>
    <row r="4" spans="1:48" x14ac:dyDescent="0.15">
      <c r="A4" s="20" t="s">
        <v>51</v>
      </c>
      <c r="B4" s="20" t="s">
        <v>49</v>
      </c>
      <c r="C4" s="21">
        <v>0</v>
      </c>
      <c r="D4" s="21">
        <v>0</v>
      </c>
      <c r="E4" s="21">
        <v>0</v>
      </c>
      <c r="F4" s="21">
        <v>0</v>
      </c>
      <c r="H4" s="21">
        <v>0</v>
      </c>
      <c r="I4" s="21">
        <v>0</v>
      </c>
      <c r="J4" s="21">
        <v>0</v>
      </c>
      <c r="K4" s="21">
        <v>0</v>
      </c>
      <c r="AU4" s="21">
        <v>0</v>
      </c>
      <c r="AV4" s="21">
        <v>0</v>
      </c>
    </row>
    <row r="5" spans="1:48" x14ac:dyDescent="0.15">
      <c r="A5" s="20" t="s">
        <v>52</v>
      </c>
      <c r="B5" s="20" t="s">
        <v>49</v>
      </c>
      <c r="C5" s="21">
        <v>0</v>
      </c>
      <c r="D5" s="21">
        <v>0</v>
      </c>
      <c r="E5" s="21">
        <v>0</v>
      </c>
      <c r="F5" s="21">
        <v>0</v>
      </c>
      <c r="H5" s="21">
        <v>0</v>
      </c>
      <c r="I5" s="21">
        <v>0</v>
      </c>
      <c r="J5" s="21">
        <v>0</v>
      </c>
      <c r="K5" s="21">
        <v>0</v>
      </c>
      <c r="AU5" s="21">
        <v>0</v>
      </c>
      <c r="AV5" s="21">
        <v>0</v>
      </c>
    </row>
    <row r="6" spans="1:48" x14ac:dyDescent="0.15">
      <c r="A6" s="20" t="s">
        <v>53</v>
      </c>
      <c r="B6" s="20" t="s">
        <v>49</v>
      </c>
      <c r="C6" s="21">
        <v>0</v>
      </c>
      <c r="D6" s="21">
        <v>0</v>
      </c>
      <c r="E6" s="21">
        <v>0</v>
      </c>
      <c r="F6" s="21">
        <v>0</v>
      </c>
    </row>
    <row r="7" spans="1:48" x14ac:dyDescent="0.15">
      <c r="A7" s="20" t="s">
        <v>0</v>
      </c>
      <c r="B7" s="20" t="s">
        <v>49</v>
      </c>
      <c r="C7" s="21">
        <v>0</v>
      </c>
      <c r="D7" s="21">
        <v>1</v>
      </c>
      <c r="E7" s="21">
        <v>97</v>
      </c>
      <c r="F7" s="21">
        <v>98</v>
      </c>
      <c r="G7" s="21">
        <v>0</v>
      </c>
      <c r="H7" s="21">
        <v>0</v>
      </c>
      <c r="I7" s="21">
        <v>98</v>
      </c>
      <c r="J7" s="21">
        <v>0</v>
      </c>
      <c r="K7" s="21">
        <v>0</v>
      </c>
      <c r="L7" s="21">
        <v>26</v>
      </c>
      <c r="M7" s="21">
        <v>0.15379999999999999</v>
      </c>
      <c r="N7" s="21">
        <v>0.15379999999999999</v>
      </c>
      <c r="O7" s="21">
        <v>3.85E-2</v>
      </c>
      <c r="P7" s="21">
        <v>52</v>
      </c>
      <c r="Q7" s="21">
        <v>7.6899999999999996E-2</v>
      </c>
      <c r="R7" s="21">
        <v>8</v>
      </c>
      <c r="S7" s="21">
        <v>2</v>
      </c>
      <c r="T7" s="21">
        <v>0</v>
      </c>
      <c r="U7" s="21">
        <v>0</v>
      </c>
      <c r="AU7" s="21">
        <v>0</v>
      </c>
      <c r="AV7" s="21">
        <v>0</v>
      </c>
    </row>
    <row r="8" spans="1:48" x14ac:dyDescent="0.15">
      <c r="A8" s="20" t="s">
        <v>54</v>
      </c>
      <c r="B8" s="20" t="s">
        <v>49</v>
      </c>
      <c r="C8" s="21">
        <v>0</v>
      </c>
      <c r="D8" s="21">
        <v>0</v>
      </c>
      <c r="E8" s="21">
        <v>0</v>
      </c>
      <c r="F8" s="21">
        <v>0</v>
      </c>
      <c r="AV8" s="21">
        <v>0</v>
      </c>
    </row>
    <row r="9" spans="1:48" x14ac:dyDescent="0.15">
      <c r="A9" s="20" t="s">
        <v>55</v>
      </c>
      <c r="B9" s="20" t="s">
        <v>49</v>
      </c>
      <c r="C9" s="21">
        <v>0</v>
      </c>
      <c r="D9" s="21">
        <v>0</v>
      </c>
      <c r="E9" s="21">
        <v>0</v>
      </c>
      <c r="F9" s="21">
        <v>0</v>
      </c>
    </row>
    <row r="10" spans="1:48" x14ac:dyDescent="0.15">
      <c r="A10" s="20" t="s">
        <v>56</v>
      </c>
      <c r="B10" s="20" t="s">
        <v>49</v>
      </c>
      <c r="C10" s="21">
        <v>0</v>
      </c>
      <c r="D10" s="21">
        <v>0</v>
      </c>
      <c r="E10" s="21">
        <v>0</v>
      </c>
      <c r="F10" s="21">
        <v>0</v>
      </c>
      <c r="AU10" s="21">
        <v>0</v>
      </c>
      <c r="AV10" s="21">
        <v>0</v>
      </c>
    </row>
    <row r="11" spans="1:48" x14ac:dyDescent="0.15">
      <c r="A11" s="20" t="s">
        <v>57</v>
      </c>
      <c r="B11" s="20" t="s">
        <v>49</v>
      </c>
      <c r="C11" s="21">
        <v>0</v>
      </c>
      <c r="D11" s="21">
        <v>1</v>
      </c>
      <c r="E11" s="21">
        <v>97</v>
      </c>
      <c r="F11" s="21">
        <v>98</v>
      </c>
      <c r="G11" s="21">
        <v>0</v>
      </c>
      <c r="H11" s="21">
        <v>0</v>
      </c>
      <c r="I11" s="21">
        <v>98</v>
      </c>
      <c r="J11" s="21">
        <v>0</v>
      </c>
      <c r="K11" s="21">
        <v>0</v>
      </c>
      <c r="L11" s="21">
        <v>26</v>
      </c>
      <c r="M11" s="21">
        <v>0.15379999999999999</v>
      </c>
      <c r="N11" s="21">
        <v>0.15379999999999999</v>
      </c>
      <c r="O11" s="21">
        <v>3.85E-2</v>
      </c>
      <c r="P11" s="21">
        <v>52</v>
      </c>
      <c r="Q11" s="21">
        <v>7.6899999999999996E-2</v>
      </c>
      <c r="R11" s="21">
        <v>8</v>
      </c>
      <c r="S11" s="21">
        <v>2</v>
      </c>
      <c r="T11" s="21">
        <v>0</v>
      </c>
      <c r="U11" s="21">
        <v>0</v>
      </c>
      <c r="AU11" s="21">
        <v>0</v>
      </c>
      <c r="AV11" s="21">
        <v>0</v>
      </c>
    </row>
    <row r="12" spans="1:48" x14ac:dyDescent="0.15">
      <c r="A12" s="20" t="s">
        <v>58</v>
      </c>
      <c r="B12" s="20" t="s">
        <v>49</v>
      </c>
      <c r="C12" s="21">
        <v>0</v>
      </c>
      <c r="D12" s="21">
        <v>0</v>
      </c>
      <c r="E12" s="21">
        <v>0</v>
      </c>
      <c r="F12" s="21">
        <v>0</v>
      </c>
      <c r="AV12" s="21">
        <v>0</v>
      </c>
    </row>
    <row r="13" spans="1:48" x14ac:dyDescent="0.15">
      <c r="A13" s="20" t="s">
        <v>59</v>
      </c>
      <c r="B13" s="20" t="s">
        <v>49</v>
      </c>
      <c r="C13" s="21">
        <v>0</v>
      </c>
      <c r="D13" s="21">
        <v>0</v>
      </c>
      <c r="E13" s="21">
        <v>0</v>
      </c>
      <c r="F13" s="21">
        <v>0</v>
      </c>
    </row>
    <row r="14" spans="1:48" x14ac:dyDescent="0.15">
      <c r="A14" s="20" t="s">
        <v>60</v>
      </c>
      <c r="B14" s="20" t="s">
        <v>49</v>
      </c>
      <c r="C14" s="21">
        <v>0</v>
      </c>
      <c r="D14" s="21">
        <v>0</v>
      </c>
      <c r="E14" s="21">
        <v>0</v>
      </c>
      <c r="F14" s="21">
        <v>0</v>
      </c>
      <c r="H14" s="21">
        <v>0</v>
      </c>
      <c r="I14" s="21">
        <v>0</v>
      </c>
      <c r="J14" s="21">
        <v>0</v>
      </c>
      <c r="K14" s="21">
        <v>0</v>
      </c>
      <c r="AU14" s="21">
        <v>0</v>
      </c>
      <c r="AV14" s="21">
        <v>0</v>
      </c>
    </row>
    <row r="15" spans="1:48" x14ac:dyDescent="0.15">
      <c r="A15" s="20" t="s">
        <v>61</v>
      </c>
      <c r="B15" s="20" t="s">
        <v>49</v>
      </c>
      <c r="C15" s="21">
        <v>0</v>
      </c>
      <c r="D15" s="21">
        <v>0</v>
      </c>
      <c r="E15" s="21">
        <v>0</v>
      </c>
      <c r="F15" s="21">
        <v>0</v>
      </c>
      <c r="H15" s="21">
        <v>0</v>
      </c>
      <c r="I15" s="21">
        <v>0</v>
      </c>
      <c r="J15" s="21">
        <v>0</v>
      </c>
      <c r="AU15" s="21">
        <v>0</v>
      </c>
      <c r="AV15" s="21">
        <v>0</v>
      </c>
    </row>
    <row r="16" spans="1:48" x14ac:dyDescent="0.15">
      <c r="A16" s="20" t="s">
        <v>48</v>
      </c>
      <c r="B16" s="20" t="s">
        <v>62</v>
      </c>
      <c r="C16" s="21">
        <v>0</v>
      </c>
      <c r="D16" s="21">
        <v>0</v>
      </c>
      <c r="E16" s="21">
        <v>0</v>
      </c>
      <c r="F16" s="21">
        <v>0</v>
      </c>
      <c r="H16" s="21">
        <v>0</v>
      </c>
      <c r="I16" s="21">
        <v>0</v>
      </c>
      <c r="J16" s="21">
        <v>0</v>
      </c>
      <c r="K16" s="21">
        <v>0</v>
      </c>
      <c r="AU16" s="21">
        <v>0</v>
      </c>
      <c r="AV16" s="21">
        <v>0</v>
      </c>
    </row>
    <row r="17" spans="1:48" x14ac:dyDescent="0.15">
      <c r="A17" s="20" t="s">
        <v>50</v>
      </c>
      <c r="B17" s="20" t="s">
        <v>62</v>
      </c>
      <c r="C17" s="21">
        <v>0</v>
      </c>
      <c r="D17" s="21">
        <v>0</v>
      </c>
      <c r="E17" s="21">
        <v>0</v>
      </c>
      <c r="F17" s="21">
        <v>0</v>
      </c>
      <c r="H17" s="21">
        <v>0</v>
      </c>
      <c r="I17" s="21">
        <v>0</v>
      </c>
      <c r="J17" s="21">
        <v>0</v>
      </c>
      <c r="K17" s="21">
        <v>0</v>
      </c>
      <c r="L17" s="21">
        <v>29</v>
      </c>
      <c r="M17" s="21">
        <v>0</v>
      </c>
      <c r="N17" s="21">
        <v>0</v>
      </c>
      <c r="O17" s="21">
        <v>0</v>
      </c>
      <c r="P17" s="21">
        <v>0</v>
      </c>
      <c r="R17" s="21">
        <v>0</v>
      </c>
      <c r="AU17" s="21">
        <v>0</v>
      </c>
      <c r="AV17" s="21">
        <v>0</v>
      </c>
    </row>
    <row r="18" spans="1:48" x14ac:dyDescent="0.15">
      <c r="A18" s="20" t="s">
        <v>51</v>
      </c>
      <c r="B18" s="20" t="s">
        <v>62</v>
      </c>
      <c r="C18" s="21">
        <v>0</v>
      </c>
      <c r="D18" s="21">
        <v>0</v>
      </c>
      <c r="E18" s="21">
        <v>0</v>
      </c>
      <c r="F18" s="21">
        <v>0</v>
      </c>
      <c r="H18" s="21">
        <v>0</v>
      </c>
      <c r="I18" s="21">
        <v>0</v>
      </c>
      <c r="J18" s="21">
        <v>0</v>
      </c>
      <c r="K18" s="21">
        <v>0</v>
      </c>
      <c r="L18" s="21">
        <v>11</v>
      </c>
      <c r="M18" s="21">
        <v>0</v>
      </c>
      <c r="N18" s="21">
        <v>0</v>
      </c>
      <c r="O18" s="21">
        <v>0</v>
      </c>
      <c r="P18" s="21">
        <v>0</v>
      </c>
      <c r="R18" s="21">
        <v>0</v>
      </c>
      <c r="AU18" s="21">
        <v>0</v>
      </c>
      <c r="AV18" s="21">
        <v>0</v>
      </c>
    </row>
    <row r="19" spans="1:48" x14ac:dyDescent="0.15">
      <c r="A19" s="20" t="s">
        <v>52</v>
      </c>
      <c r="B19" s="20" t="s">
        <v>62</v>
      </c>
      <c r="C19" s="21">
        <v>0</v>
      </c>
      <c r="D19" s="21">
        <v>0</v>
      </c>
      <c r="E19" s="21">
        <v>0</v>
      </c>
      <c r="F19" s="21">
        <v>0</v>
      </c>
      <c r="H19" s="21">
        <v>0</v>
      </c>
      <c r="I19" s="21">
        <v>0</v>
      </c>
      <c r="J19" s="21">
        <v>0</v>
      </c>
      <c r="K19" s="21">
        <v>0</v>
      </c>
      <c r="L19" s="21">
        <v>2</v>
      </c>
      <c r="M19" s="21">
        <v>0</v>
      </c>
      <c r="N19" s="21">
        <v>0</v>
      </c>
      <c r="O19" s="21">
        <v>0</v>
      </c>
      <c r="P19" s="21">
        <v>0</v>
      </c>
      <c r="R19" s="21">
        <v>0</v>
      </c>
      <c r="AU19" s="21">
        <v>0</v>
      </c>
      <c r="AV19" s="21">
        <v>0</v>
      </c>
    </row>
    <row r="20" spans="1:48" x14ac:dyDescent="0.15">
      <c r="A20" s="20" t="s">
        <v>53</v>
      </c>
      <c r="B20" s="20" t="s">
        <v>62</v>
      </c>
      <c r="C20" s="21">
        <v>0</v>
      </c>
      <c r="D20" s="21">
        <v>0</v>
      </c>
      <c r="E20" s="21">
        <v>0</v>
      </c>
      <c r="F20" s="21">
        <v>0</v>
      </c>
    </row>
    <row r="21" spans="1:48" x14ac:dyDescent="0.15">
      <c r="A21" s="20" t="s">
        <v>0</v>
      </c>
      <c r="B21" s="20" t="s">
        <v>62</v>
      </c>
      <c r="C21" s="21">
        <v>0</v>
      </c>
      <c r="D21" s="21">
        <v>35</v>
      </c>
      <c r="E21" s="21">
        <v>3225</v>
      </c>
      <c r="F21" s="21">
        <v>3260</v>
      </c>
      <c r="G21" s="21">
        <v>0</v>
      </c>
      <c r="H21" s="21">
        <v>52</v>
      </c>
      <c r="I21" s="21">
        <v>1732</v>
      </c>
      <c r="J21" s="21">
        <v>0</v>
      </c>
      <c r="K21" s="21">
        <v>1476</v>
      </c>
      <c r="L21" s="21">
        <v>138</v>
      </c>
      <c r="M21" s="21">
        <v>0.1736</v>
      </c>
      <c r="N21" s="21">
        <v>0.16669999999999999</v>
      </c>
      <c r="O21" s="21">
        <v>7.6399999999999996E-2</v>
      </c>
      <c r="P21" s="21">
        <v>115</v>
      </c>
      <c r="Q21" s="21">
        <v>0.35649999999999998</v>
      </c>
      <c r="R21" s="21">
        <v>40</v>
      </c>
      <c r="S21" s="21">
        <v>28</v>
      </c>
      <c r="T21" s="21">
        <v>8.3900000000000002E-2</v>
      </c>
      <c r="U21" s="21">
        <v>0</v>
      </c>
      <c r="AP21" s="21">
        <v>0</v>
      </c>
      <c r="AQ21" s="21">
        <v>0</v>
      </c>
      <c r="AR21" s="21">
        <v>0</v>
      </c>
      <c r="AU21" s="21">
        <v>0</v>
      </c>
      <c r="AV21" s="21">
        <v>0</v>
      </c>
    </row>
    <row r="22" spans="1:48" x14ac:dyDescent="0.15">
      <c r="A22" s="20" t="s">
        <v>54</v>
      </c>
      <c r="B22" s="20" t="s">
        <v>62</v>
      </c>
      <c r="C22" s="21">
        <v>0</v>
      </c>
      <c r="D22" s="21">
        <v>0</v>
      </c>
      <c r="E22" s="21">
        <v>0</v>
      </c>
      <c r="F22" s="21">
        <v>0</v>
      </c>
      <c r="AV22" s="21">
        <v>0</v>
      </c>
    </row>
    <row r="23" spans="1:48" x14ac:dyDescent="0.15">
      <c r="A23" s="20" t="s">
        <v>55</v>
      </c>
      <c r="B23" s="20" t="s">
        <v>62</v>
      </c>
      <c r="C23" s="21">
        <v>0</v>
      </c>
      <c r="D23" s="21">
        <v>0</v>
      </c>
      <c r="E23" s="21">
        <v>0</v>
      </c>
      <c r="F23" s="21">
        <v>0</v>
      </c>
    </row>
    <row r="24" spans="1:48" x14ac:dyDescent="0.15">
      <c r="A24" s="20" t="s">
        <v>56</v>
      </c>
      <c r="B24" s="20" t="s">
        <v>62</v>
      </c>
      <c r="C24" s="21">
        <v>0</v>
      </c>
      <c r="D24" s="21">
        <v>0</v>
      </c>
      <c r="E24" s="21">
        <v>0</v>
      </c>
      <c r="F24" s="21">
        <v>0</v>
      </c>
      <c r="AU24" s="21">
        <v>0</v>
      </c>
      <c r="AV24" s="21">
        <v>0</v>
      </c>
    </row>
    <row r="25" spans="1:48" x14ac:dyDescent="0.15">
      <c r="A25" s="20" t="s">
        <v>57</v>
      </c>
      <c r="B25" s="20" t="s">
        <v>62</v>
      </c>
      <c r="C25" s="21">
        <v>0</v>
      </c>
      <c r="D25" s="21">
        <v>35</v>
      </c>
      <c r="E25" s="21">
        <v>3225</v>
      </c>
      <c r="F25" s="21">
        <v>3260</v>
      </c>
      <c r="G25" s="21">
        <v>0</v>
      </c>
      <c r="H25" s="21">
        <v>52</v>
      </c>
      <c r="I25" s="21">
        <v>1732</v>
      </c>
      <c r="J25" s="21">
        <v>0</v>
      </c>
      <c r="K25" s="21">
        <v>1476</v>
      </c>
      <c r="L25" s="21">
        <v>96</v>
      </c>
      <c r="M25" s="21">
        <v>0.24510000000000001</v>
      </c>
      <c r="N25" s="21">
        <v>0.23530000000000001</v>
      </c>
      <c r="O25" s="21">
        <v>0.10780000000000001</v>
      </c>
      <c r="P25" s="21">
        <v>115</v>
      </c>
      <c r="Q25" s="21">
        <v>0.35649999999999998</v>
      </c>
      <c r="R25" s="21">
        <v>53</v>
      </c>
      <c r="S25" s="21">
        <v>28</v>
      </c>
      <c r="T25" s="21">
        <v>8.3900000000000002E-2</v>
      </c>
      <c r="U25" s="21">
        <v>0</v>
      </c>
      <c r="AP25" s="21">
        <v>0</v>
      </c>
      <c r="AQ25" s="21">
        <v>0</v>
      </c>
      <c r="AR25" s="21">
        <v>0</v>
      </c>
      <c r="AU25" s="21">
        <v>0</v>
      </c>
      <c r="AV25" s="21">
        <v>0</v>
      </c>
    </row>
    <row r="26" spans="1:48" x14ac:dyDescent="0.15">
      <c r="A26" s="20" t="s">
        <v>58</v>
      </c>
      <c r="B26" s="20" t="s">
        <v>62</v>
      </c>
      <c r="C26" s="21">
        <v>0</v>
      </c>
      <c r="D26" s="21">
        <v>0</v>
      </c>
      <c r="E26" s="21">
        <v>0</v>
      </c>
      <c r="F26" s="21">
        <v>0</v>
      </c>
      <c r="AV26" s="21">
        <v>0</v>
      </c>
    </row>
    <row r="27" spans="1:48" x14ac:dyDescent="0.15">
      <c r="A27" s="20" t="s">
        <v>59</v>
      </c>
      <c r="B27" s="20" t="s">
        <v>62</v>
      </c>
      <c r="C27" s="21">
        <v>0</v>
      </c>
      <c r="D27" s="21">
        <v>0</v>
      </c>
      <c r="E27" s="21">
        <v>0</v>
      </c>
      <c r="F27" s="21">
        <v>0</v>
      </c>
    </row>
    <row r="28" spans="1:48" x14ac:dyDescent="0.15">
      <c r="A28" s="20" t="s">
        <v>60</v>
      </c>
      <c r="B28" s="20" t="s">
        <v>62</v>
      </c>
      <c r="C28" s="21">
        <v>0</v>
      </c>
      <c r="D28" s="21">
        <v>0</v>
      </c>
      <c r="E28" s="21">
        <v>0</v>
      </c>
      <c r="F28" s="21">
        <v>0</v>
      </c>
      <c r="H28" s="21">
        <v>0</v>
      </c>
      <c r="I28" s="21">
        <v>0</v>
      </c>
      <c r="J28" s="21">
        <v>0</v>
      </c>
      <c r="K28" s="21">
        <v>0</v>
      </c>
      <c r="AU28" s="21">
        <v>0</v>
      </c>
      <c r="AV28" s="21">
        <v>0</v>
      </c>
    </row>
    <row r="29" spans="1:48" x14ac:dyDescent="0.15">
      <c r="A29" s="20" t="s">
        <v>61</v>
      </c>
      <c r="B29" s="20" t="s">
        <v>62</v>
      </c>
      <c r="C29" s="21">
        <v>0</v>
      </c>
      <c r="D29" s="21">
        <v>0</v>
      </c>
      <c r="E29" s="21">
        <v>0</v>
      </c>
      <c r="F29" s="21">
        <v>0</v>
      </c>
      <c r="H29" s="21">
        <v>0</v>
      </c>
      <c r="I29" s="21">
        <v>0</v>
      </c>
      <c r="J29" s="21">
        <v>0</v>
      </c>
      <c r="AU29" s="21">
        <v>0</v>
      </c>
      <c r="AV29" s="21">
        <v>0</v>
      </c>
    </row>
    <row r="30" spans="1:48" x14ac:dyDescent="0.15">
      <c r="A30" s="20" t="s">
        <v>48</v>
      </c>
      <c r="B30" s="20" t="s">
        <v>63</v>
      </c>
      <c r="C30" s="21">
        <v>0</v>
      </c>
      <c r="D30" s="21">
        <v>0</v>
      </c>
      <c r="E30" s="21">
        <v>0</v>
      </c>
      <c r="F30" s="21">
        <v>0</v>
      </c>
      <c r="H30" s="21">
        <v>0</v>
      </c>
      <c r="I30" s="21">
        <v>0</v>
      </c>
      <c r="J30" s="21">
        <v>0</v>
      </c>
      <c r="K30" s="21">
        <v>0</v>
      </c>
      <c r="AU30" s="21">
        <v>0</v>
      </c>
      <c r="AV30" s="21">
        <v>0</v>
      </c>
    </row>
    <row r="31" spans="1:48" x14ac:dyDescent="0.15">
      <c r="A31" s="20" t="s">
        <v>50</v>
      </c>
      <c r="B31" s="20" t="s">
        <v>63</v>
      </c>
      <c r="C31" s="21">
        <v>0</v>
      </c>
      <c r="D31" s="21">
        <v>0</v>
      </c>
      <c r="E31" s="21">
        <v>0</v>
      </c>
      <c r="F31" s="21">
        <v>0</v>
      </c>
      <c r="H31" s="21">
        <v>0</v>
      </c>
      <c r="I31" s="21">
        <v>0</v>
      </c>
      <c r="J31" s="21">
        <v>0</v>
      </c>
      <c r="K31" s="21">
        <v>0</v>
      </c>
      <c r="L31" s="21">
        <v>33</v>
      </c>
      <c r="M31" s="21">
        <v>0</v>
      </c>
      <c r="N31" s="21">
        <v>0</v>
      </c>
      <c r="O31" s="21">
        <v>0</v>
      </c>
      <c r="P31" s="21">
        <v>0</v>
      </c>
      <c r="R31" s="21">
        <v>0</v>
      </c>
      <c r="AU31" s="21">
        <v>0</v>
      </c>
      <c r="AV31" s="21">
        <v>0</v>
      </c>
    </row>
    <row r="32" spans="1:48" x14ac:dyDescent="0.15">
      <c r="A32" s="20" t="s">
        <v>51</v>
      </c>
      <c r="B32" s="20" t="s">
        <v>63</v>
      </c>
      <c r="C32" s="21">
        <v>0</v>
      </c>
      <c r="D32" s="21">
        <v>0</v>
      </c>
      <c r="E32" s="21">
        <v>0</v>
      </c>
      <c r="F32" s="21">
        <v>0</v>
      </c>
      <c r="H32" s="21">
        <v>0</v>
      </c>
      <c r="I32" s="21">
        <v>0</v>
      </c>
      <c r="J32" s="21">
        <v>0</v>
      </c>
      <c r="K32" s="21">
        <v>0</v>
      </c>
      <c r="L32" s="21">
        <v>13</v>
      </c>
      <c r="M32" s="21">
        <v>0</v>
      </c>
      <c r="N32" s="21">
        <v>0</v>
      </c>
      <c r="O32" s="21">
        <v>0</v>
      </c>
      <c r="P32" s="21">
        <v>0</v>
      </c>
      <c r="R32" s="21">
        <v>0</v>
      </c>
      <c r="AU32" s="21">
        <v>0</v>
      </c>
      <c r="AV32" s="21">
        <v>0</v>
      </c>
    </row>
    <row r="33" spans="1:48" x14ac:dyDescent="0.15">
      <c r="A33" s="20" t="s">
        <v>52</v>
      </c>
      <c r="B33" s="20" t="s">
        <v>63</v>
      </c>
      <c r="C33" s="21">
        <v>0</v>
      </c>
      <c r="D33" s="21">
        <v>0</v>
      </c>
      <c r="E33" s="21">
        <v>0</v>
      </c>
      <c r="F33" s="21">
        <v>0</v>
      </c>
      <c r="H33" s="21">
        <v>0</v>
      </c>
      <c r="I33" s="21">
        <v>0</v>
      </c>
      <c r="J33" s="21">
        <v>0</v>
      </c>
      <c r="K33" s="21">
        <v>0</v>
      </c>
      <c r="L33" s="21">
        <v>50</v>
      </c>
      <c r="M33" s="21">
        <v>0</v>
      </c>
      <c r="N33" s="21">
        <v>0</v>
      </c>
      <c r="O33" s="21">
        <v>0</v>
      </c>
      <c r="P33" s="21">
        <v>0</v>
      </c>
      <c r="R33" s="21">
        <v>0</v>
      </c>
      <c r="AU33" s="21">
        <v>0</v>
      </c>
      <c r="AV33" s="21">
        <v>0</v>
      </c>
    </row>
    <row r="34" spans="1:48" x14ac:dyDescent="0.15">
      <c r="A34" s="20" t="s">
        <v>53</v>
      </c>
      <c r="B34" s="20" t="s">
        <v>63</v>
      </c>
      <c r="C34" s="21">
        <v>0</v>
      </c>
      <c r="D34" s="21">
        <v>0</v>
      </c>
      <c r="E34" s="21">
        <v>0</v>
      </c>
      <c r="F34" s="21">
        <v>0</v>
      </c>
    </row>
    <row r="35" spans="1:48" x14ac:dyDescent="0.15">
      <c r="A35" s="20" t="s">
        <v>0</v>
      </c>
      <c r="B35" s="20" t="s">
        <v>63</v>
      </c>
      <c r="C35" s="21">
        <v>0</v>
      </c>
      <c r="D35" s="21">
        <v>155</v>
      </c>
      <c r="E35" s="21">
        <v>5790</v>
      </c>
      <c r="F35" s="21">
        <v>5945</v>
      </c>
      <c r="G35" s="21">
        <v>0</v>
      </c>
      <c r="H35" s="21">
        <v>1701</v>
      </c>
      <c r="I35" s="21">
        <v>2212</v>
      </c>
      <c r="J35" s="21">
        <v>0</v>
      </c>
      <c r="K35" s="21">
        <v>2032</v>
      </c>
      <c r="L35" s="21">
        <v>191</v>
      </c>
      <c r="M35" s="21">
        <v>0.34649999999999997</v>
      </c>
      <c r="N35" s="21">
        <v>0.34649999999999997</v>
      </c>
      <c r="O35" s="21">
        <v>0.1089</v>
      </c>
      <c r="P35" s="21">
        <v>118</v>
      </c>
      <c r="Q35" s="21">
        <v>0.74580000000000002</v>
      </c>
      <c r="R35" s="21">
        <v>36</v>
      </c>
      <c r="S35" s="21">
        <v>50</v>
      </c>
      <c r="T35" s="21">
        <v>0.1201</v>
      </c>
      <c r="U35" s="21">
        <v>0</v>
      </c>
      <c r="AP35" s="21">
        <v>2</v>
      </c>
      <c r="AQ35" s="21">
        <v>2</v>
      </c>
      <c r="AR35" s="21">
        <v>2</v>
      </c>
      <c r="AU35" s="21">
        <v>0</v>
      </c>
      <c r="AV35" s="21">
        <v>0</v>
      </c>
    </row>
    <row r="36" spans="1:48" x14ac:dyDescent="0.15">
      <c r="A36" s="20" t="s">
        <v>54</v>
      </c>
      <c r="B36" s="20" t="s">
        <v>63</v>
      </c>
      <c r="C36" s="21">
        <v>0</v>
      </c>
      <c r="D36" s="21">
        <v>0</v>
      </c>
      <c r="E36" s="21">
        <v>0</v>
      </c>
      <c r="F36" s="21">
        <v>0</v>
      </c>
      <c r="AV36" s="21">
        <v>0</v>
      </c>
    </row>
    <row r="37" spans="1:48" x14ac:dyDescent="0.15">
      <c r="A37" s="20" t="s">
        <v>55</v>
      </c>
      <c r="B37" s="20" t="s">
        <v>63</v>
      </c>
      <c r="C37" s="21">
        <v>0</v>
      </c>
      <c r="D37" s="21">
        <v>0</v>
      </c>
      <c r="E37" s="21">
        <v>0</v>
      </c>
      <c r="F37" s="21">
        <v>0</v>
      </c>
    </row>
    <row r="38" spans="1:48" x14ac:dyDescent="0.15">
      <c r="A38" s="20" t="s">
        <v>56</v>
      </c>
      <c r="B38" s="20" t="s">
        <v>63</v>
      </c>
      <c r="C38" s="21">
        <v>0</v>
      </c>
      <c r="D38" s="21">
        <v>0</v>
      </c>
      <c r="E38" s="21">
        <v>0</v>
      </c>
      <c r="F38" s="21">
        <v>0</v>
      </c>
      <c r="AU38" s="21">
        <v>0</v>
      </c>
      <c r="AV38" s="21">
        <v>0</v>
      </c>
    </row>
    <row r="39" spans="1:48" x14ac:dyDescent="0.15">
      <c r="A39" s="20" t="s">
        <v>57</v>
      </c>
      <c r="B39" s="20" t="s">
        <v>63</v>
      </c>
      <c r="C39" s="21">
        <v>0</v>
      </c>
      <c r="D39" s="21">
        <v>155</v>
      </c>
      <c r="E39" s="21">
        <v>5790</v>
      </c>
      <c r="F39" s="21">
        <v>5945</v>
      </c>
      <c r="G39" s="21">
        <v>0</v>
      </c>
      <c r="H39" s="21">
        <v>1701</v>
      </c>
      <c r="I39" s="21">
        <v>2212</v>
      </c>
      <c r="J39" s="21">
        <v>0</v>
      </c>
      <c r="K39" s="21">
        <v>2032</v>
      </c>
      <c r="L39" s="21">
        <v>95</v>
      </c>
      <c r="M39" s="21">
        <v>0.66039999999999999</v>
      </c>
      <c r="N39" s="21">
        <v>0.66039999999999999</v>
      </c>
      <c r="O39" s="21">
        <v>0.20749999999999999</v>
      </c>
      <c r="P39" s="21">
        <v>118</v>
      </c>
      <c r="Q39" s="21">
        <v>0.74580000000000002</v>
      </c>
      <c r="R39" s="21">
        <v>62</v>
      </c>
      <c r="S39" s="21">
        <v>50</v>
      </c>
      <c r="T39" s="21">
        <v>0.1201</v>
      </c>
      <c r="U39" s="21">
        <v>0</v>
      </c>
      <c r="AP39" s="21">
        <v>0</v>
      </c>
      <c r="AQ39" s="21">
        <v>0</v>
      </c>
      <c r="AR39" s="21">
        <v>0</v>
      </c>
      <c r="AU39" s="21">
        <v>0</v>
      </c>
      <c r="AV39" s="21">
        <v>0</v>
      </c>
    </row>
    <row r="40" spans="1:48" x14ac:dyDescent="0.15">
      <c r="A40" s="20" t="s">
        <v>58</v>
      </c>
      <c r="B40" s="20" t="s">
        <v>63</v>
      </c>
      <c r="C40" s="21">
        <v>0</v>
      </c>
      <c r="D40" s="21">
        <v>0</v>
      </c>
      <c r="E40" s="21">
        <v>0</v>
      </c>
      <c r="F40" s="21">
        <v>0</v>
      </c>
      <c r="AV40" s="21">
        <v>0</v>
      </c>
    </row>
    <row r="41" spans="1:48" x14ac:dyDescent="0.15">
      <c r="A41" s="20" t="s">
        <v>59</v>
      </c>
      <c r="B41" s="20" t="s">
        <v>63</v>
      </c>
      <c r="C41" s="21">
        <v>0</v>
      </c>
      <c r="D41" s="21">
        <v>0</v>
      </c>
      <c r="E41" s="21">
        <v>0</v>
      </c>
      <c r="F41" s="21">
        <v>0</v>
      </c>
    </row>
    <row r="42" spans="1:48" x14ac:dyDescent="0.15">
      <c r="A42" s="20" t="s">
        <v>60</v>
      </c>
      <c r="B42" s="20" t="s">
        <v>63</v>
      </c>
      <c r="C42" s="21">
        <v>0</v>
      </c>
      <c r="D42" s="21">
        <v>0</v>
      </c>
      <c r="E42" s="21">
        <v>0</v>
      </c>
      <c r="F42" s="21">
        <v>0</v>
      </c>
      <c r="H42" s="21">
        <v>0</v>
      </c>
      <c r="I42" s="21">
        <v>0</v>
      </c>
      <c r="J42" s="21">
        <v>0</v>
      </c>
      <c r="K42" s="21">
        <v>0</v>
      </c>
      <c r="AU42" s="21">
        <v>0</v>
      </c>
      <c r="AV42" s="21">
        <v>0</v>
      </c>
    </row>
    <row r="43" spans="1:48" x14ac:dyDescent="0.15">
      <c r="A43" s="20" t="s">
        <v>61</v>
      </c>
      <c r="B43" s="20" t="s">
        <v>63</v>
      </c>
      <c r="C43" s="21">
        <v>0</v>
      </c>
      <c r="D43" s="21">
        <v>0</v>
      </c>
      <c r="E43" s="21">
        <v>0</v>
      </c>
      <c r="F43" s="21">
        <v>0</v>
      </c>
      <c r="H43" s="21">
        <v>0</v>
      </c>
      <c r="I43" s="21">
        <v>0</v>
      </c>
      <c r="J43" s="21">
        <v>0</v>
      </c>
      <c r="AU43" s="21">
        <v>0</v>
      </c>
      <c r="AV43" s="21">
        <v>0</v>
      </c>
    </row>
    <row r="44" spans="1:48" x14ac:dyDescent="0.15">
      <c r="A44" s="20" t="s">
        <v>48</v>
      </c>
      <c r="B44" s="20" t="s">
        <v>64</v>
      </c>
      <c r="C44" s="21">
        <v>0</v>
      </c>
      <c r="D44" s="21">
        <v>0</v>
      </c>
      <c r="E44" s="21">
        <v>0</v>
      </c>
      <c r="F44" s="21">
        <v>0</v>
      </c>
      <c r="H44" s="21">
        <v>0</v>
      </c>
      <c r="I44" s="21">
        <v>0</v>
      </c>
      <c r="J44" s="21">
        <v>0</v>
      </c>
      <c r="K44" s="21">
        <v>0</v>
      </c>
      <c r="L44" s="21">
        <v>16</v>
      </c>
      <c r="M44" s="21">
        <v>0</v>
      </c>
      <c r="N44" s="21">
        <v>0</v>
      </c>
      <c r="O44" s="21">
        <v>0</v>
      </c>
      <c r="P44" s="21">
        <v>0</v>
      </c>
      <c r="R44" s="21">
        <v>0</v>
      </c>
      <c r="AU44" s="21">
        <v>0</v>
      </c>
      <c r="AV44" s="21">
        <v>0</v>
      </c>
    </row>
    <row r="45" spans="1:48" x14ac:dyDescent="0.15">
      <c r="A45" s="20" t="s">
        <v>50</v>
      </c>
      <c r="B45" s="20" t="s">
        <v>64</v>
      </c>
      <c r="C45" s="21">
        <v>0</v>
      </c>
      <c r="D45" s="21">
        <v>0</v>
      </c>
      <c r="E45" s="21">
        <v>0</v>
      </c>
      <c r="F45" s="21">
        <v>0</v>
      </c>
      <c r="H45" s="21">
        <v>0</v>
      </c>
      <c r="I45" s="21">
        <v>0</v>
      </c>
      <c r="J45" s="21">
        <v>0</v>
      </c>
      <c r="K45" s="21">
        <v>0</v>
      </c>
      <c r="L45" s="21">
        <v>52</v>
      </c>
      <c r="M45" s="21">
        <v>0</v>
      </c>
      <c r="N45" s="21">
        <v>0</v>
      </c>
      <c r="O45" s="21">
        <v>0</v>
      </c>
      <c r="P45" s="21">
        <v>0</v>
      </c>
      <c r="R45" s="21">
        <v>0</v>
      </c>
      <c r="AU45" s="21">
        <v>0</v>
      </c>
      <c r="AV45" s="21">
        <v>0</v>
      </c>
    </row>
    <row r="46" spans="1:48" x14ac:dyDescent="0.15">
      <c r="A46" s="20" t="s">
        <v>51</v>
      </c>
      <c r="B46" s="20" t="s">
        <v>64</v>
      </c>
      <c r="C46" s="21">
        <v>0</v>
      </c>
      <c r="D46" s="21">
        <v>0</v>
      </c>
      <c r="E46" s="21">
        <v>0</v>
      </c>
      <c r="F46" s="21">
        <v>0</v>
      </c>
      <c r="H46" s="21">
        <v>0</v>
      </c>
      <c r="I46" s="21">
        <v>0</v>
      </c>
      <c r="J46" s="21">
        <v>0</v>
      </c>
      <c r="K46" s="21">
        <v>0</v>
      </c>
      <c r="L46" s="21">
        <v>34</v>
      </c>
      <c r="M46" s="21">
        <v>0</v>
      </c>
      <c r="N46" s="21">
        <v>0</v>
      </c>
      <c r="O46" s="21">
        <v>0</v>
      </c>
      <c r="P46" s="21">
        <v>0</v>
      </c>
      <c r="R46" s="21">
        <v>0</v>
      </c>
      <c r="AU46" s="21">
        <v>0</v>
      </c>
      <c r="AV46" s="21">
        <v>0</v>
      </c>
    </row>
    <row r="47" spans="1:48" x14ac:dyDescent="0.15">
      <c r="A47" s="20" t="s">
        <v>52</v>
      </c>
      <c r="B47" s="20" t="s">
        <v>64</v>
      </c>
      <c r="C47" s="21">
        <v>0</v>
      </c>
      <c r="D47" s="21">
        <v>0</v>
      </c>
      <c r="E47" s="21">
        <v>0</v>
      </c>
      <c r="F47" s="21">
        <v>0</v>
      </c>
      <c r="H47" s="21">
        <v>0</v>
      </c>
      <c r="I47" s="21">
        <v>0</v>
      </c>
      <c r="J47" s="21">
        <v>0</v>
      </c>
      <c r="K47" s="21">
        <v>0</v>
      </c>
      <c r="L47" s="21">
        <v>108</v>
      </c>
      <c r="M47" s="21">
        <v>0</v>
      </c>
      <c r="N47" s="21">
        <v>0</v>
      </c>
      <c r="O47" s="21">
        <v>0</v>
      </c>
      <c r="P47" s="21">
        <v>0</v>
      </c>
      <c r="R47" s="21">
        <v>0</v>
      </c>
      <c r="AU47" s="21">
        <v>0</v>
      </c>
      <c r="AV47" s="21">
        <v>0</v>
      </c>
    </row>
    <row r="48" spans="1:48" x14ac:dyDescent="0.15">
      <c r="A48" s="20" t="s">
        <v>53</v>
      </c>
      <c r="B48" s="20" t="s">
        <v>64</v>
      </c>
      <c r="C48" s="21">
        <v>0</v>
      </c>
      <c r="D48" s="21">
        <v>0</v>
      </c>
      <c r="E48" s="21">
        <v>0</v>
      </c>
      <c r="F48" s="21">
        <v>0</v>
      </c>
    </row>
    <row r="49" spans="1:48" x14ac:dyDescent="0.15">
      <c r="A49" s="20" t="s">
        <v>0</v>
      </c>
      <c r="B49" s="20" t="s">
        <v>64</v>
      </c>
      <c r="C49" s="21">
        <v>0</v>
      </c>
      <c r="D49" s="21">
        <v>48</v>
      </c>
      <c r="E49" s="21">
        <v>5590</v>
      </c>
      <c r="F49" s="21">
        <v>5638</v>
      </c>
      <c r="G49" s="21">
        <v>0</v>
      </c>
      <c r="H49" s="21">
        <v>2622</v>
      </c>
      <c r="I49" s="21">
        <v>1130</v>
      </c>
      <c r="J49" s="21">
        <v>0</v>
      </c>
      <c r="K49" s="21">
        <v>1887</v>
      </c>
      <c r="L49" s="21">
        <v>340</v>
      </c>
      <c r="M49" s="21">
        <v>0.19550000000000001</v>
      </c>
      <c r="N49" s="21">
        <v>0.1898</v>
      </c>
      <c r="O49" s="21">
        <v>6.2300000000000001E-2</v>
      </c>
      <c r="P49" s="21">
        <v>123</v>
      </c>
      <c r="Q49" s="21">
        <v>0.70730000000000004</v>
      </c>
      <c r="R49" s="21">
        <v>21</v>
      </c>
      <c r="S49" s="21">
        <v>46</v>
      </c>
      <c r="T49" s="21">
        <v>0.1512</v>
      </c>
      <c r="U49" s="21">
        <v>0</v>
      </c>
      <c r="AP49" s="21">
        <v>1</v>
      </c>
      <c r="AQ49" s="21">
        <v>1</v>
      </c>
      <c r="AR49" s="21">
        <v>1</v>
      </c>
      <c r="AU49" s="21">
        <v>0</v>
      </c>
      <c r="AV49" s="21">
        <v>0</v>
      </c>
    </row>
    <row r="50" spans="1:48" x14ac:dyDescent="0.15">
      <c r="A50" s="20" t="s">
        <v>54</v>
      </c>
      <c r="B50" s="20" t="s">
        <v>64</v>
      </c>
      <c r="C50" s="21">
        <v>0</v>
      </c>
      <c r="D50" s="21">
        <v>0</v>
      </c>
      <c r="E50" s="21">
        <v>0</v>
      </c>
      <c r="F50" s="21">
        <v>0</v>
      </c>
      <c r="AV50" s="21">
        <v>0</v>
      </c>
    </row>
    <row r="51" spans="1:48" x14ac:dyDescent="0.15">
      <c r="A51" s="20" t="s">
        <v>55</v>
      </c>
      <c r="B51" s="20" t="s">
        <v>64</v>
      </c>
      <c r="C51" s="21">
        <v>0</v>
      </c>
      <c r="D51" s="21">
        <v>0</v>
      </c>
      <c r="E51" s="21">
        <v>0</v>
      </c>
      <c r="F51" s="21">
        <v>0</v>
      </c>
    </row>
    <row r="52" spans="1:48" x14ac:dyDescent="0.15">
      <c r="A52" s="20" t="s">
        <v>56</v>
      </c>
      <c r="B52" s="20" t="s">
        <v>64</v>
      </c>
      <c r="C52" s="21">
        <v>0</v>
      </c>
      <c r="D52" s="21">
        <v>0</v>
      </c>
      <c r="E52" s="21">
        <v>0</v>
      </c>
      <c r="F52" s="21">
        <v>0</v>
      </c>
      <c r="AU52" s="21">
        <v>0</v>
      </c>
      <c r="AV52" s="21">
        <v>0</v>
      </c>
    </row>
    <row r="53" spans="1:48" x14ac:dyDescent="0.15">
      <c r="A53" s="20" t="s">
        <v>57</v>
      </c>
      <c r="B53" s="20" t="s">
        <v>64</v>
      </c>
      <c r="C53" s="21">
        <v>0</v>
      </c>
      <c r="D53" s="21">
        <v>48</v>
      </c>
      <c r="E53" s="21">
        <v>5590</v>
      </c>
      <c r="F53" s="21">
        <v>5638</v>
      </c>
      <c r="G53" s="21">
        <v>0</v>
      </c>
      <c r="H53" s="21">
        <v>2622</v>
      </c>
      <c r="I53" s="21">
        <v>1130</v>
      </c>
      <c r="J53" s="21">
        <v>0</v>
      </c>
      <c r="K53" s="21">
        <v>1887</v>
      </c>
      <c r="L53" s="21">
        <v>130</v>
      </c>
      <c r="M53" s="21">
        <v>0.4859</v>
      </c>
      <c r="N53" s="21">
        <v>0.4718</v>
      </c>
      <c r="O53" s="21">
        <v>0.15490000000000001</v>
      </c>
      <c r="P53" s="21">
        <v>123</v>
      </c>
      <c r="Q53" s="21">
        <v>0.70730000000000004</v>
      </c>
      <c r="R53" s="21">
        <v>50</v>
      </c>
      <c r="S53" s="21">
        <v>46</v>
      </c>
      <c r="T53" s="21">
        <v>0.1512</v>
      </c>
      <c r="U53" s="21">
        <v>0</v>
      </c>
      <c r="AP53" s="21">
        <v>0</v>
      </c>
      <c r="AQ53" s="21">
        <v>0</v>
      </c>
      <c r="AR53" s="21">
        <v>0</v>
      </c>
      <c r="AU53" s="21">
        <v>0</v>
      </c>
      <c r="AV53" s="21">
        <v>0</v>
      </c>
    </row>
    <row r="54" spans="1:48" x14ac:dyDescent="0.15">
      <c r="A54" s="20" t="s">
        <v>58</v>
      </c>
      <c r="B54" s="20" t="s">
        <v>64</v>
      </c>
      <c r="C54" s="21">
        <v>0</v>
      </c>
      <c r="D54" s="21">
        <v>0</v>
      </c>
      <c r="E54" s="21">
        <v>0</v>
      </c>
      <c r="F54" s="21">
        <v>0</v>
      </c>
      <c r="AV54" s="21">
        <v>0</v>
      </c>
    </row>
    <row r="55" spans="1:48" x14ac:dyDescent="0.15">
      <c r="A55" s="20" t="s">
        <v>59</v>
      </c>
      <c r="B55" s="20" t="s">
        <v>64</v>
      </c>
      <c r="C55" s="21">
        <v>0</v>
      </c>
      <c r="D55" s="21">
        <v>0</v>
      </c>
      <c r="E55" s="21">
        <v>0</v>
      </c>
      <c r="F55" s="21">
        <v>0</v>
      </c>
    </row>
    <row r="56" spans="1:48" x14ac:dyDescent="0.15">
      <c r="A56" s="20" t="s">
        <v>60</v>
      </c>
      <c r="B56" s="20" t="s">
        <v>64</v>
      </c>
      <c r="C56" s="21">
        <v>0</v>
      </c>
      <c r="D56" s="21">
        <v>0</v>
      </c>
      <c r="E56" s="21">
        <v>0</v>
      </c>
      <c r="F56" s="21">
        <v>0</v>
      </c>
      <c r="H56" s="21">
        <v>0</v>
      </c>
      <c r="I56" s="21">
        <v>0</v>
      </c>
      <c r="J56" s="21">
        <v>0</v>
      </c>
      <c r="K56" s="21">
        <v>0</v>
      </c>
      <c r="AU56" s="21">
        <v>0</v>
      </c>
      <c r="AV56" s="21">
        <v>0</v>
      </c>
    </row>
    <row r="57" spans="1:48" x14ac:dyDescent="0.15">
      <c r="A57" s="20" t="s">
        <v>61</v>
      </c>
      <c r="B57" s="20" t="s">
        <v>64</v>
      </c>
      <c r="C57" s="21">
        <v>0</v>
      </c>
      <c r="D57" s="21">
        <v>0</v>
      </c>
      <c r="E57" s="21">
        <v>0</v>
      </c>
      <c r="F57" s="21">
        <v>0</v>
      </c>
      <c r="H57" s="21">
        <v>0</v>
      </c>
      <c r="I57" s="21">
        <v>0</v>
      </c>
      <c r="J57" s="21">
        <v>0</v>
      </c>
      <c r="AU57" s="21">
        <v>0</v>
      </c>
      <c r="AV57" s="21">
        <v>0</v>
      </c>
    </row>
    <row r="58" spans="1:48" x14ac:dyDescent="0.15">
      <c r="A58" s="20" t="s">
        <v>48</v>
      </c>
      <c r="B58" s="20" t="s">
        <v>65</v>
      </c>
      <c r="C58" s="21">
        <v>0</v>
      </c>
      <c r="D58" s="21">
        <v>0</v>
      </c>
      <c r="E58" s="21">
        <v>0</v>
      </c>
      <c r="F58" s="21">
        <v>0</v>
      </c>
      <c r="H58" s="21">
        <v>0</v>
      </c>
      <c r="I58" s="21">
        <v>0</v>
      </c>
      <c r="J58" s="21">
        <v>0</v>
      </c>
      <c r="K58" s="21">
        <v>0</v>
      </c>
      <c r="L58" s="21">
        <v>36</v>
      </c>
      <c r="M58" s="21">
        <v>0</v>
      </c>
      <c r="N58" s="21">
        <v>0</v>
      </c>
      <c r="O58" s="21">
        <v>0</v>
      </c>
      <c r="P58" s="21">
        <v>0</v>
      </c>
      <c r="R58" s="21">
        <v>0</v>
      </c>
      <c r="AU58" s="21">
        <v>0</v>
      </c>
      <c r="AV58" s="21">
        <v>0</v>
      </c>
    </row>
    <row r="59" spans="1:48" x14ac:dyDescent="0.15">
      <c r="A59" s="20" t="s">
        <v>50</v>
      </c>
      <c r="B59" s="20" t="s">
        <v>65</v>
      </c>
      <c r="C59" s="21">
        <v>0</v>
      </c>
      <c r="D59" s="21">
        <v>0</v>
      </c>
      <c r="E59" s="21">
        <v>0</v>
      </c>
      <c r="F59" s="21">
        <v>0</v>
      </c>
      <c r="H59" s="21">
        <v>0</v>
      </c>
      <c r="I59" s="21">
        <v>0</v>
      </c>
      <c r="J59" s="21">
        <v>0</v>
      </c>
      <c r="K59" s="21">
        <v>0</v>
      </c>
      <c r="L59" s="21">
        <v>85</v>
      </c>
      <c r="M59" s="21">
        <v>0</v>
      </c>
      <c r="N59" s="21">
        <v>0</v>
      </c>
      <c r="O59" s="21">
        <v>0</v>
      </c>
      <c r="P59" s="21">
        <v>1</v>
      </c>
      <c r="Q59" s="21">
        <v>0</v>
      </c>
      <c r="R59" s="21">
        <v>0</v>
      </c>
      <c r="S59" s="21">
        <v>0</v>
      </c>
      <c r="AU59" s="21">
        <v>0</v>
      </c>
      <c r="AV59" s="21">
        <v>0</v>
      </c>
    </row>
    <row r="60" spans="1:48" x14ac:dyDescent="0.15">
      <c r="A60" s="20" t="s">
        <v>51</v>
      </c>
      <c r="B60" s="20" t="s">
        <v>65</v>
      </c>
      <c r="C60" s="21">
        <v>0</v>
      </c>
      <c r="D60" s="21">
        <v>0</v>
      </c>
      <c r="E60" s="21">
        <v>12</v>
      </c>
      <c r="F60" s="21">
        <v>12</v>
      </c>
      <c r="H60" s="21">
        <v>0</v>
      </c>
      <c r="I60" s="21">
        <v>12</v>
      </c>
      <c r="J60" s="21">
        <v>0</v>
      </c>
      <c r="K60" s="21">
        <v>0</v>
      </c>
      <c r="L60" s="21">
        <v>64</v>
      </c>
      <c r="M60" s="21">
        <v>6.25E-2</v>
      </c>
      <c r="N60" s="21">
        <v>6.25E-2</v>
      </c>
      <c r="O60" s="21">
        <v>0</v>
      </c>
      <c r="P60" s="21">
        <v>0</v>
      </c>
      <c r="R60" s="21">
        <v>0</v>
      </c>
      <c r="T60" s="21">
        <v>0</v>
      </c>
      <c r="U60" s="21">
        <v>0</v>
      </c>
      <c r="AU60" s="21">
        <v>0</v>
      </c>
      <c r="AV60" s="21">
        <v>0</v>
      </c>
    </row>
    <row r="61" spans="1:48" x14ac:dyDescent="0.15">
      <c r="A61" s="20" t="s">
        <v>52</v>
      </c>
      <c r="B61" s="20" t="s">
        <v>65</v>
      </c>
      <c r="C61" s="21">
        <v>0</v>
      </c>
      <c r="D61" s="21">
        <v>9</v>
      </c>
      <c r="E61" s="21">
        <v>1567</v>
      </c>
      <c r="F61" s="21">
        <v>1575</v>
      </c>
      <c r="H61" s="21">
        <v>336</v>
      </c>
      <c r="I61" s="21">
        <v>1239</v>
      </c>
      <c r="J61" s="21">
        <v>0</v>
      </c>
      <c r="K61" s="21">
        <v>0</v>
      </c>
      <c r="L61" s="21">
        <v>119</v>
      </c>
      <c r="M61" s="21">
        <v>0.79339999999999999</v>
      </c>
      <c r="N61" s="21">
        <v>0.76029999999999998</v>
      </c>
      <c r="O61" s="21">
        <v>9.9199999999999997E-2</v>
      </c>
      <c r="P61" s="21">
        <v>0</v>
      </c>
      <c r="R61" s="21">
        <v>14</v>
      </c>
      <c r="T61" s="21">
        <v>3.8300000000000001E-2</v>
      </c>
      <c r="U61" s="21">
        <v>0</v>
      </c>
      <c r="AU61" s="21">
        <v>0</v>
      </c>
      <c r="AV61" s="21">
        <v>0</v>
      </c>
    </row>
    <row r="62" spans="1:48" x14ac:dyDescent="0.15">
      <c r="A62" s="20" t="s">
        <v>53</v>
      </c>
      <c r="B62" s="20" t="s">
        <v>65</v>
      </c>
      <c r="C62" s="21">
        <v>0</v>
      </c>
      <c r="D62" s="21">
        <v>0</v>
      </c>
      <c r="E62" s="21">
        <v>0</v>
      </c>
      <c r="F62" s="21">
        <v>0</v>
      </c>
    </row>
    <row r="63" spans="1:48" x14ac:dyDescent="0.15">
      <c r="A63" s="20" t="s">
        <v>0</v>
      </c>
      <c r="B63" s="20" t="s">
        <v>65</v>
      </c>
      <c r="C63" s="21">
        <v>0</v>
      </c>
      <c r="D63" s="21">
        <v>141</v>
      </c>
      <c r="E63" s="21">
        <v>11885</v>
      </c>
      <c r="F63" s="21">
        <v>12026</v>
      </c>
      <c r="G63" s="21">
        <v>0</v>
      </c>
      <c r="H63" s="21">
        <v>5166</v>
      </c>
      <c r="I63" s="21">
        <v>3631</v>
      </c>
      <c r="J63" s="21">
        <v>20</v>
      </c>
      <c r="K63" s="21">
        <v>3209</v>
      </c>
      <c r="L63" s="21">
        <v>500</v>
      </c>
      <c r="M63" s="21">
        <v>0.3468</v>
      </c>
      <c r="N63" s="21">
        <v>0.33529999999999999</v>
      </c>
      <c r="O63" s="21">
        <v>6.5500000000000003E-2</v>
      </c>
      <c r="P63" s="21">
        <v>128</v>
      </c>
      <c r="Q63" s="21">
        <v>0.99219999999999997</v>
      </c>
      <c r="R63" s="21">
        <v>29</v>
      </c>
      <c r="S63" s="21">
        <v>94</v>
      </c>
      <c r="T63" s="21">
        <v>0.1318</v>
      </c>
      <c r="U63" s="21">
        <v>0</v>
      </c>
      <c r="AP63" s="21">
        <v>115</v>
      </c>
      <c r="AQ63" s="21">
        <v>115</v>
      </c>
      <c r="AR63" s="21">
        <v>115</v>
      </c>
      <c r="AU63" s="21">
        <v>0</v>
      </c>
      <c r="AV63" s="21">
        <v>0</v>
      </c>
    </row>
    <row r="64" spans="1:48" x14ac:dyDescent="0.15">
      <c r="A64" s="20" t="s">
        <v>54</v>
      </c>
      <c r="B64" s="20" t="s">
        <v>65</v>
      </c>
      <c r="C64" s="21">
        <v>0</v>
      </c>
      <c r="D64" s="21">
        <v>0</v>
      </c>
      <c r="E64" s="21">
        <v>0</v>
      </c>
      <c r="F64" s="21">
        <v>0</v>
      </c>
      <c r="AV64" s="21">
        <v>0</v>
      </c>
    </row>
    <row r="65" spans="1:48" x14ac:dyDescent="0.15">
      <c r="A65" s="20" t="s">
        <v>55</v>
      </c>
      <c r="B65" s="20" t="s">
        <v>65</v>
      </c>
      <c r="C65" s="21">
        <v>0</v>
      </c>
      <c r="D65" s="21">
        <v>0</v>
      </c>
      <c r="E65" s="21">
        <v>0</v>
      </c>
      <c r="F65" s="21">
        <v>0</v>
      </c>
    </row>
    <row r="66" spans="1:48" x14ac:dyDescent="0.15">
      <c r="A66" s="20" t="s">
        <v>56</v>
      </c>
      <c r="B66" s="20" t="s">
        <v>65</v>
      </c>
      <c r="C66" s="21">
        <v>0</v>
      </c>
      <c r="D66" s="21">
        <v>0</v>
      </c>
      <c r="E66" s="21">
        <v>0</v>
      </c>
      <c r="F66" s="21">
        <v>0</v>
      </c>
      <c r="AU66" s="21">
        <v>0</v>
      </c>
      <c r="AV66" s="21">
        <v>0</v>
      </c>
    </row>
    <row r="67" spans="1:48" x14ac:dyDescent="0.15">
      <c r="A67" s="20" t="s">
        <v>57</v>
      </c>
      <c r="B67" s="20" t="s">
        <v>65</v>
      </c>
      <c r="C67" s="21">
        <v>0</v>
      </c>
      <c r="D67" s="21">
        <v>132</v>
      </c>
      <c r="E67" s="21">
        <v>10307</v>
      </c>
      <c r="F67" s="21">
        <v>10439</v>
      </c>
      <c r="G67" s="21">
        <v>0</v>
      </c>
      <c r="H67" s="21">
        <v>4830</v>
      </c>
      <c r="I67" s="21">
        <v>2379</v>
      </c>
      <c r="J67" s="21">
        <v>20</v>
      </c>
      <c r="K67" s="21">
        <v>3209</v>
      </c>
      <c r="L67" s="21">
        <v>196</v>
      </c>
      <c r="M67" s="21">
        <v>0.37909999999999999</v>
      </c>
      <c r="N67" s="21">
        <v>0.36969999999999997</v>
      </c>
      <c r="O67" s="21">
        <v>0.1043</v>
      </c>
      <c r="P67" s="21">
        <v>127</v>
      </c>
      <c r="Q67" s="21">
        <v>0.76380000000000003</v>
      </c>
      <c r="R67" s="21">
        <v>64</v>
      </c>
      <c r="S67" s="21">
        <v>82</v>
      </c>
      <c r="T67" s="21">
        <v>0.14449999999999999</v>
      </c>
      <c r="U67" s="21">
        <v>0</v>
      </c>
      <c r="AP67" s="21">
        <v>115</v>
      </c>
      <c r="AQ67" s="21">
        <v>115</v>
      </c>
      <c r="AR67" s="21">
        <v>115</v>
      </c>
      <c r="AU67" s="21">
        <v>0</v>
      </c>
      <c r="AV67" s="21">
        <v>0</v>
      </c>
    </row>
    <row r="68" spans="1:48" x14ac:dyDescent="0.15">
      <c r="A68" s="20" t="s">
        <v>58</v>
      </c>
      <c r="B68" s="20" t="s">
        <v>65</v>
      </c>
      <c r="C68" s="21">
        <v>0</v>
      </c>
      <c r="D68" s="21">
        <v>0</v>
      </c>
      <c r="E68" s="21">
        <v>0</v>
      </c>
      <c r="F68" s="21">
        <v>0</v>
      </c>
      <c r="AV68" s="21">
        <v>0</v>
      </c>
    </row>
    <row r="69" spans="1:48" x14ac:dyDescent="0.15">
      <c r="A69" s="20" t="s">
        <v>59</v>
      </c>
      <c r="B69" s="20" t="s">
        <v>65</v>
      </c>
      <c r="C69" s="21">
        <v>0</v>
      </c>
      <c r="D69" s="21">
        <v>0</v>
      </c>
      <c r="E69" s="21">
        <v>0</v>
      </c>
      <c r="F69" s="21">
        <v>0</v>
      </c>
    </row>
    <row r="70" spans="1:48" x14ac:dyDescent="0.15">
      <c r="A70" s="20" t="s">
        <v>60</v>
      </c>
      <c r="B70" s="20" t="s">
        <v>65</v>
      </c>
      <c r="C70" s="21">
        <v>0</v>
      </c>
      <c r="D70" s="21">
        <v>0</v>
      </c>
      <c r="E70" s="21">
        <v>0</v>
      </c>
      <c r="F70" s="21">
        <v>0</v>
      </c>
      <c r="H70" s="21">
        <v>0</v>
      </c>
      <c r="I70" s="21">
        <v>0</v>
      </c>
      <c r="J70" s="21">
        <v>0</v>
      </c>
      <c r="K70" s="21">
        <v>0</v>
      </c>
      <c r="AU70" s="21">
        <v>0</v>
      </c>
      <c r="AV70" s="21">
        <v>0</v>
      </c>
    </row>
    <row r="71" spans="1:48" x14ac:dyDescent="0.15">
      <c r="A71" s="20" t="s">
        <v>61</v>
      </c>
      <c r="B71" s="20" t="s">
        <v>65</v>
      </c>
      <c r="C71" s="21">
        <v>0</v>
      </c>
      <c r="D71" s="21">
        <v>0</v>
      </c>
      <c r="E71" s="21">
        <v>0</v>
      </c>
      <c r="F71" s="21">
        <v>0</v>
      </c>
      <c r="H71" s="21">
        <v>0</v>
      </c>
      <c r="I71" s="21">
        <v>0</v>
      </c>
      <c r="J71" s="21">
        <v>0</v>
      </c>
      <c r="AU71" s="21">
        <v>0</v>
      </c>
      <c r="AV71" s="21">
        <v>0</v>
      </c>
    </row>
    <row r="72" spans="1:48" x14ac:dyDescent="0.15">
      <c r="A72" s="20" t="s">
        <v>48</v>
      </c>
      <c r="B72" s="20" t="s">
        <v>66</v>
      </c>
      <c r="C72" s="21">
        <v>0</v>
      </c>
      <c r="D72" s="21">
        <v>0</v>
      </c>
      <c r="E72" s="21">
        <v>0</v>
      </c>
      <c r="F72" s="21">
        <v>0</v>
      </c>
      <c r="H72" s="21">
        <v>0</v>
      </c>
      <c r="I72" s="21">
        <v>0</v>
      </c>
      <c r="J72" s="21">
        <v>0</v>
      </c>
      <c r="K72" s="21">
        <v>0</v>
      </c>
      <c r="L72" s="21">
        <v>63</v>
      </c>
      <c r="M72" s="21">
        <v>0</v>
      </c>
      <c r="N72" s="21">
        <v>0</v>
      </c>
      <c r="O72" s="21">
        <v>0</v>
      </c>
      <c r="P72" s="21">
        <v>0</v>
      </c>
      <c r="R72" s="21">
        <v>0</v>
      </c>
      <c r="AP72" s="21">
        <v>0</v>
      </c>
      <c r="AQ72" s="21">
        <v>0</v>
      </c>
      <c r="AS72" s="21">
        <v>0</v>
      </c>
      <c r="AU72" s="21">
        <v>0</v>
      </c>
      <c r="AV72" s="21">
        <v>0</v>
      </c>
    </row>
    <row r="73" spans="1:48" x14ac:dyDescent="0.15">
      <c r="A73" s="20" t="s">
        <v>50</v>
      </c>
      <c r="B73" s="20" t="s">
        <v>66</v>
      </c>
      <c r="C73" s="21">
        <v>0</v>
      </c>
      <c r="D73" s="21">
        <v>8</v>
      </c>
      <c r="E73" s="21">
        <v>259</v>
      </c>
      <c r="F73" s="21">
        <v>267</v>
      </c>
      <c r="H73" s="21">
        <v>267</v>
      </c>
      <c r="I73" s="21">
        <v>0</v>
      </c>
      <c r="J73" s="21">
        <v>0</v>
      </c>
      <c r="K73" s="21">
        <v>0</v>
      </c>
      <c r="L73" s="21">
        <v>101</v>
      </c>
      <c r="M73" s="21">
        <v>0.68220000000000003</v>
      </c>
      <c r="N73" s="21">
        <v>0.61680000000000001</v>
      </c>
      <c r="O73" s="21">
        <v>0.11210000000000001</v>
      </c>
      <c r="P73" s="21">
        <v>23</v>
      </c>
      <c r="Q73" s="21">
        <v>0.39129999999999998</v>
      </c>
      <c r="R73" s="21">
        <v>3</v>
      </c>
      <c r="S73" s="21">
        <v>12</v>
      </c>
      <c r="T73" s="21">
        <v>1.29E-2</v>
      </c>
      <c r="U73" s="21">
        <v>0</v>
      </c>
      <c r="AU73" s="21">
        <v>0</v>
      </c>
      <c r="AV73" s="21">
        <v>0</v>
      </c>
    </row>
    <row r="74" spans="1:48" x14ac:dyDescent="0.15">
      <c r="A74" s="20" t="s">
        <v>51</v>
      </c>
      <c r="B74" s="20" t="s">
        <v>66</v>
      </c>
      <c r="C74" s="21">
        <v>0</v>
      </c>
      <c r="D74" s="21">
        <v>33</v>
      </c>
      <c r="E74" s="21">
        <v>848</v>
      </c>
      <c r="F74" s="21">
        <v>880</v>
      </c>
      <c r="H74" s="21">
        <v>195</v>
      </c>
      <c r="I74" s="21">
        <v>685</v>
      </c>
      <c r="J74" s="21">
        <v>0</v>
      </c>
      <c r="K74" s="21">
        <v>0</v>
      </c>
      <c r="L74" s="21">
        <v>129</v>
      </c>
      <c r="M74" s="21">
        <v>0.29459999999999997</v>
      </c>
      <c r="N74" s="21">
        <v>0.29459999999999997</v>
      </c>
      <c r="O74" s="21">
        <v>0.1163</v>
      </c>
      <c r="P74" s="21">
        <v>1</v>
      </c>
      <c r="Q74" s="21">
        <v>40</v>
      </c>
      <c r="R74" s="21">
        <v>9</v>
      </c>
      <c r="S74" s="21">
        <v>880</v>
      </c>
      <c r="T74" s="21">
        <v>3.3300000000000003E-2</v>
      </c>
      <c r="U74" s="21">
        <v>0</v>
      </c>
      <c r="AU74" s="21">
        <v>0</v>
      </c>
      <c r="AV74" s="21">
        <v>0</v>
      </c>
    </row>
    <row r="75" spans="1:48" x14ac:dyDescent="0.15">
      <c r="A75" s="20" t="s">
        <v>52</v>
      </c>
      <c r="B75" s="20" t="s">
        <v>66</v>
      </c>
      <c r="C75" s="21">
        <v>0</v>
      </c>
      <c r="D75" s="21">
        <v>2</v>
      </c>
      <c r="E75" s="21">
        <v>3666</v>
      </c>
      <c r="F75" s="21">
        <v>3668</v>
      </c>
      <c r="H75" s="21">
        <v>151</v>
      </c>
      <c r="I75" s="21">
        <v>3517</v>
      </c>
      <c r="J75" s="21">
        <v>0</v>
      </c>
      <c r="K75" s="21">
        <v>0</v>
      </c>
      <c r="L75" s="21">
        <v>182</v>
      </c>
      <c r="M75" s="21">
        <v>0.27660000000000001</v>
      </c>
      <c r="N75" s="21">
        <v>0.27660000000000001</v>
      </c>
      <c r="O75" s="21">
        <v>2.1299999999999999E-2</v>
      </c>
      <c r="P75" s="21">
        <v>0</v>
      </c>
      <c r="R75" s="21">
        <v>24</v>
      </c>
      <c r="T75" s="21">
        <v>0.10249999999999999</v>
      </c>
      <c r="U75" s="21">
        <v>2.5000000000000001E-3</v>
      </c>
      <c r="AU75" s="21">
        <v>0</v>
      </c>
      <c r="AV75" s="21">
        <v>0</v>
      </c>
    </row>
    <row r="76" spans="1:48" x14ac:dyDescent="0.15">
      <c r="A76" s="20" t="s">
        <v>53</v>
      </c>
      <c r="B76" s="20" t="s">
        <v>66</v>
      </c>
      <c r="C76" s="21">
        <v>0</v>
      </c>
      <c r="D76" s="21">
        <v>0</v>
      </c>
      <c r="E76" s="21">
        <v>0</v>
      </c>
      <c r="F76" s="21">
        <v>0</v>
      </c>
    </row>
    <row r="77" spans="1:48" x14ac:dyDescent="0.15">
      <c r="A77" s="20" t="s">
        <v>0</v>
      </c>
      <c r="B77" s="20" t="s">
        <v>66</v>
      </c>
      <c r="C77" s="21">
        <v>0</v>
      </c>
      <c r="D77" s="21">
        <v>27</v>
      </c>
      <c r="E77" s="21">
        <v>15135</v>
      </c>
      <c r="F77" s="21">
        <v>15162</v>
      </c>
      <c r="G77" s="21">
        <v>0</v>
      </c>
      <c r="H77" s="21">
        <v>3968</v>
      </c>
      <c r="I77" s="21">
        <v>7856</v>
      </c>
      <c r="J77" s="21">
        <v>404</v>
      </c>
      <c r="K77" s="21">
        <v>2934</v>
      </c>
      <c r="L77" s="21">
        <v>696</v>
      </c>
      <c r="M77" s="21">
        <v>0.3861</v>
      </c>
      <c r="N77" s="21">
        <v>0.3765</v>
      </c>
      <c r="O77" s="21">
        <v>6.8199999999999997E-2</v>
      </c>
      <c r="P77" s="21">
        <v>192</v>
      </c>
      <c r="Q77" s="21">
        <v>1.2656000000000001</v>
      </c>
      <c r="R77" s="21">
        <v>25</v>
      </c>
      <c r="S77" s="21">
        <v>79</v>
      </c>
      <c r="T77" s="21">
        <v>0.1196</v>
      </c>
      <c r="U77" s="21">
        <v>5.9999999999999995E-4</v>
      </c>
      <c r="AP77" s="21">
        <v>2</v>
      </c>
      <c r="AQ77" s="21">
        <v>2</v>
      </c>
      <c r="AR77" s="21">
        <v>0</v>
      </c>
      <c r="AS77" s="21">
        <v>2</v>
      </c>
      <c r="AU77" s="21">
        <v>0</v>
      </c>
      <c r="AV77" s="21">
        <v>0</v>
      </c>
    </row>
    <row r="78" spans="1:48" x14ac:dyDescent="0.15">
      <c r="A78" s="20" t="s">
        <v>54</v>
      </c>
      <c r="B78" s="20" t="s">
        <v>66</v>
      </c>
      <c r="C78" s="21">
        <v>0</v>
      </c>
      <c r="D78" s="21">
        <v>0</v>
      </c>
      <c r="E78" s="21">
        <v>0</v>
      </c>
      <c r="F78" s="21">
        <v>0</v>
      </c>
      <c r="AV78" s="21">
        <v>0</v>
      </c>
    </row>
    <row r="79" spans="1:48" x14ac:dyDescent="0.15">
      <c r="A79" s="20" t="s">
        <v>55</v>
      </c>
      <c r="B79" s="20" t="s">
        <v>66</v>
      </c>
      <c r="C79" s="21">
        <v>0</v>
      </c>
      <c r="D79" s="21">
        <v>0</v>
      </c>
      <c r="E79" s="21">
        <v>0</v>
      </c>
      <c r="F79" s="21">
        <v>0</v>
      </c>
    </row>
    <row r="80" spans="1:48" x14ac:dyDescent="0.15">
      <c r="A80" s="20" t="s">
        <v>56</v>
      </c>
      <c r="B80" s="20" t="s">
        <v>66</v>
      </c>
      <c r="C80" s="21">
        <v>0</v>
      </c>
      <c r="D80" s="21">
        <v>0</v>
      </c>
      <c r="E80" s="21">
        <v>0</v>
      </c>
      <c r="F80" s="21">
        <v>0</v>
      </c>
      <c r="AU80" s="21">
        <v>0</v>
      </c>
      <c r="AV80" s="21">
        <v>0</v>
      </c>
    </row>
    <row r="81" spans="1:48" x14ac:dyDescent="0.15">
      <c r="A81" s="20" t="s">
        <v>57</v>
      </c>
      <c r="B81" s="20" t="s">
        <v>66</v>
      </c>
      <c r="C81" s="21">
        <v>0</v>
      </c>
      <c r="D81" s="21">
        <v>-15</v>
      </c>
      <c r="E81" s="21">
        <v>10362</v>
      </c>
      <c r="F81" s="21">
        <v>10347</v>
      </c>
      <c r="G81" s="21">
        <v>0</v>
      </c>
      <c r="H81" s="21">
        <v>3355</v>
      </c>
      <c r="I81" s="21">
        <v>3654</v>
      </c>
      <c r="J81" s="21">
        <v>404</v>
      </c>
      <c r="K81" s="21">
        <v>2934</v>
      </c>
      <c r="L81" s="21">
        <v>219</v>
      </c>
      <c r="M81" s="21">
        <v>0.49180000000000001</v>
      </c>
      <c r="N81" s="21">
        <v>0.49180000000000001</v>
      </c>
      <c r="O81" s="21">
        <v>7.7899999999999997E-2</v>
      </c>
      <c r="P81" s="21">
        <v>168</v>
      </c>
      <c r="Q81" s="21">
        <v>0.85709999999999997</v>
      </c>
      <c r="R81" s="21">
        <v>50</v>
      </c>
      <c r="S81" s="21">
        <v>62</v>
      </c>
      <c r="T81" s="21">
        <v>0.13450000000000001</v>
      </c>
      <c r="U81" s="21">
        <v>0</v>
      </c>
      <c r="AP81" s="21">
        <v>2</v>
      </c>
      <c r="AQ81" s="21">
        <v>2</v>
      </c>
      <c r="AR81" s="21">
        <v>0</v>
      </c>
      <c r="AS81" s="21">
        <v>2</v>
      </c>
      <c r="AU81" s="21">
        <v>0</v>
      </c>
      <c r="AV81" s="21">
        <v>0</v>
      </c>
    </row>
    <row r="82" spans="1:48" x14ac:dyDescent="0.15">
      <c r="A82" s="20" t="s">
        <v>58</v>
      </c>
      <c r="B82" s="20" t="s">
        <v>66</v>
      </c>
      <c r="C82" s="21">
        <v>0</v>
      </c>
      <c r="D82" s="21">
        <v>0</v>
      </c>
      <c r="E82" s="21">
        <v>0</v>
      </c>
      <c r="F82" s="21">
        <v>0</v>
      </c>
      <c r="AV82" s="21">
        <v>0</v>
      </c>
    </row>
    <row r="83" spans="1:48" x14ac:dyDescent="0.15">
      <c r="A83" s="20" t="s">
        <v>59</v>
      </c>
      <c r="B83" s="20" t="s">
        <v>66</v>
      </c>
      <c r="C83" s="21">
        <v>0</v>
      </c>
      <c r="D83" s="21">
        <v>0</v>
      </c>
      <c r="E83" s="21">
        <v>0</v>
      </c>
      <c r="F83" s="21">
        <v>0</v>
      </c>
    </row>
    <row r="84" spans="1:48" x14ac:dyDescent="0.15">
      <c r="A84" s="20" t="s">
        <v>60</v>
      </c>
      <c r="B84" s="20" t="s">
        <v>66</v>
      </c>
      <c r="C84" s="21">
        <v>0</v>
      </c>
      <c r="D84" s="21">
        <v>0</v>
      </c>
      <c r="E84" s="21">
        <v>0</v>
      </c>
      <c r="F84" s="21">
        <v>0</v>
      </c>
      <c r="H84" s="21">
        <v>0</v>
      </c>
      <c r="I84" s="21">
        <v>0</v>
      </c>
      <c r="J84" s="21">
        <v>0</v>
      </c>
      <c r="K84" s="21">
        <v>0</v>
      </c>
      <c r="L84" s="21">
        <v>2</v>
      </c>
      <c r="M84" s="21">
        <v>0</v>
      </c>
      <c r="N84" s="21">
        <v>0</v>
      </c>
      <c r="O84" s="21">
        <v>0</v>
      </c>
      <c r="P84" s="21">
        <v>0</v>
      </c>
      <c r="R84" s="21">
        <v>0</v>
      </c>
      <c r="AU84" s="21">
        <v>0</v>
      </c>
      <c r="AV84" s="21">
        <v>0</v>
      </c>
    </row>
    <row r="85" spans="1:48" x14ac:dyDescent="0.15">
      <c r="A85" s="20" t="s">
        <v>61</v>
      </c>
      <c r="B85" s="20" t="s">
        <v>66</v>
      </c>
      <c r="C85" s="21">
        <v>0</v>
      </c>
      <c r="D85" s="21">
        <v>0</v>
      </c>
      <c r="E85" s="21">
        <v>0</v>
      </c>
      <c r="F85" s="21">
        <v>0</v>
      </c>
      <c r="H85" s="21">
        <v>0</v>
      </c>
      <c r="I85" s="21">
        <v>0</v>
      </c>
      <c r="J85" s="21">
        <v>0</v>
      </c>
      <c r="AU85" s="21">
        <v>0</v>
      </c>
      <c r="AV85" s="21">
        <v>0</v>
      </c>
    </row>
    <row r="86" spans="1:48" x14ac:dyDescent="0.15">
      <c r="A86" s="20" t="s">
        <v>48</v>
      </c>
      <c r="B86" s="20" t="s">
        <v>67</v>
      </c>
      <c r="C86" s="21">
        <v>0</v>
      </c>
      <c r="D86" s="21">
        <v>8</v>
      </c>
      <c r="E86" s="21">
        <v>273</v>
      </c>
      <c r="F86" s="21">
        <v>282</v>
      </c>
      <c r="H86" s="21">
        <v>1</v>
      </c>
      <c r="I86" s="21">
        <v>280</v>
      </c>
      <c r="J86" s="21">
        <v>0</v>
      </c>
      <c r="K86" s="21">
        <v>0</v>
      </c>
      <c r="L86" s="21">
        <v>86</v>
      </c>
      <c r="M86" s="21">
        <v>0.186</v>
      </c>
      <c r="N86" s="21">
        <v>0.1744</v>
      </c>
      <c r="O86" s="21">
        <v>4.65E-2</v>
      </c>
      <c r="P86" s="21">
        <v>48</v>
      </c>
      <c r="Q86" s="21">
        <v>0.27079999999999999</v>
      </c>
      <c r="R86" s="21">
        <v>4</v>
      </c>
      <c r="S86" s="21">
        <v>6</v>
      </c>
      <c r="T86" s="21">
        <v>5.9200000000000003E-2</v>
      </c>
      <c r="U86" s="21">
        <v>0</v>
      </c>
      <c r="AP86" s="21">
        <v>0</v>
      </c>
      <c r="AQ86" s="21">
        <v>0</v>
      </c>
      <c r="AS86" s="21">
        <v>0</v>
      </c>
      <c r="AU86" s="21">
        <v>0</v>
      </c>
      <c r="AV86" s="21">
        <v>0</v>
      </c>
    </row>
    <row r="87" spans="1:48" x14ac:dyDescent="0.15">
      <c r="A87" s="20" t="s">
        <v>50</v>
      </c>
      <c r="B87" s="20" t="s">
        <v>67</v>
      </c>
      <c r="C87" s="21">
        <v>0</v>
      </c>
      <c r="D87" s="21">
        <v>10</v>
      </c>
      <c r="E87" s="21">
        <v>1406</v>
      </c>
      <c r="F87" s="21">
        <v>1416</v>
      </c>
      <c r="H87" s="21">
        <v>1393</v>
      </c>
      <c r="I87" s="21">
        <v>23</v>
      </c>
      <c r="J87" s="21">
        <v>0</v>
      </c>
      <c r="K87" s="21">
        <v>0</v>
      </c>
      <c r="L87" s="21">
        <v>106</v>
      </c>
      <c r="M87" s="21">
        <v>0.64290000000000003</v>
      </c>
      <c r="N87" s="21">
        <v>0.63390000000000002</v>
      </c>
      <c r="O87" s="21">
        <v>6.25E-2</v>
      </c>
      <c r="P87" s="21">
        <v>80</v>
      </c>
      <c r="Q87" s="21">
        <v>0.91249999999999998</v>
      </c>
      <c r="R87" s="21">
        <v>14</v>
      </c>
      <c r="S87" s="21">
        <v>18</v>
      </c>
      <c r="T87" s="21">
        <v>0.11509999999999999</v>
      </c>
      <c r="U87" s="21">
        <v>1.4E-3</v>
      </c>
      <c r="AU87" s="21">
        <v>0</v>
      </c>
      <c r="AV87" s="21">
        <v>0</v>
      </c>
    </row>
    <row r="88" spans="1:48" x14ac:dyDescent="0.15">
      <c r="A88" s="20" t="s">
        <v>51</v>
      </c>
      <c r="B88" s="20" t="s">
        <v>67</v>
      </c>
      <c r="C88" s="21">
        <v>0</v>
      </c>
      <c r="D88" s="21">
        <v>30</v>
      </c>
      <c r="E88" s="21">
        <v>868</v>
      </c>
      <c r="F88" s="21">
        <v>898</v>
      </c>
      <c r="H88" s="21">
        <v>715</v>
      </c>
      <c r="I88" s="21">
        <v>183</v>
      </c>
      <c r="J88" s="21">
        <v>0</v>
      </c>
      <c r="K88" s="21">
        <v>0</v>
      </c>
      <c r="L88" s="21">
        <v>169</v>
      </c>
      <c r="M88" s="21">
        <v>0.27910000000000001</v>
      </c>
      <c r="N88" s="21">
        <v>0.27329999999999999</v>
      </c>
      <c r="O88" s="21">
        <v>9.8799999999999999E-2</v>
      </c>
      <c r="P88" s="21">
        <v>1</v>
      </c>
      <c r="Q88" s="21">
        <v>59</v>
      </c>
      <c r="R88" s="21">
        <v>6</v>
      </c>
      <c r="S88" s="21">
        <v>898</v>
      </c>
      <c r="T88" s="21">
        <v>0.1993</v>
      </c>
      <c r="U88" s="21">
        <v>1.9E-3</v>
      </c>
      <c r="AU88" s="21">
        <v>0</v>
      </c>
      <c r="AV88" s="21">
        <v>0</v>
      </c>
    </row>
    <row r="89" spans="1:48" x14ac:dyDescent="0.15">
      <c r="A89" s="20" t="s">
        <v>52</v>
      </c>
      <c r="B89" s="20" t="s">
        <v>67</v>
      </c>
      <c r="C89" s="21">
        <v>0</v>
      </c>
      <c r="D89" s="21">
        <v>21</v>
      </c>
      <c r="E89" s="21">
        <v>4230</v>
      </c>
      <c r="F89" s="21">
        <v>4251</v>
      </c>
      <c r="H89" s="21">
        <v>1477</v>
      </c>
      <c r="I89" s="21">
        <v>2774</v>
      </c>
      <c r="J89" s="21">
        <v>0</v>
      </c>
      <c r="K89" s="21">
        <v>0</v>
      </c>
      <c r="L89" s="21">
        <v>227</v>
      </c>
      <c r="M89" s="21">
        <v>0.21049999999999999</v>
      </c>
      <c r="N89" s="21">
        <v>0.20610000000000001</v>
      </c>
      <c r="O89" s="21">
        <v>1.7500000000000002E-2</v>
      </c>
      <c r="P89" s="21">
        <v>0</v>
      </c>
      <c r="R89" s="21">
        <v>21</v>
      </c>
      <c r="T89" s="21">
        <v>0.20749999999999999</v>
      </c>
      <c r="U89" s="21">
        <v>1.1999999999999999E-3</v>
      </c>
      <c r="AP89" s="21">
        <v>1</v>
      </c>
      <c r="AQ89" s="21">
        <v>1</v>
      </c>
      <c r="AR89" s="21">
        <v>1</v>
      </c>
      <c r="AU89" s="21">
        <v>0</v>
      </c>
      <c r="AV89" s="21">
        <v>0</v>
      </c>
    </row>
    <row r="90" spans="1:48" x14ac:dyDescent="0.15">
      <c r="A90" s="20" t="s">
        <v>53</v>
      </c>
      <c r="B90" s="20" t="s">
        <v>67</v>
      </c>
      <c r="C90" s="21">
        <v>0</v>
      </c>
      <c r="D90" s="21">
        <v>0</v>
      </c>
      <c r="E90" s="21">
        <v>0</v>
      </c>
      <c r="F90" s="21">
        <v>0</v>
      </c>
    </row>
    <row r="91" spans="1:48" x14ac:dyDescent="0.15">
      <c r="A91" s="20" t="s">
        <v>0</v>
      </c>
      <c r="B91" s="20" t="s">
        <v>67</v>
      </c>
      <c r="C91" s="21">
        <v>0</v>
      </c>
      <c r="D91" s="21">
        <v>140</v>
      </c>
      <c r="E91" s="21">
        <v>26178</v>
      </c>
      <c r="F91" s="21">
        <v>26318</v>
      </c>
      <c r="G91" s="21">
        <v>0</v>
      </c>
      <c r="H91" s="21">
        <v>8201</v>
      </c>
      <c r="I91" s="21">
        <v>10118</v>
      </c>
      <c r="J91" s="21">
        <v>3658</v>
      </c>
      <c r="K91" s="21">
        <v>4224</v>
      </c>
      <c r="L91" s="21">
        <v>855</v>
      </c>
      <c r="M91" s="21">
        <v>0.37830000000000003</v>
      </c>
      <c r="N91" s="21">
        <v>0.3715</v>
      </c>
      <c r="O91" s="21">
        <v>6.6799999999999998E-2</v>
      </c>
      <c r="P91" s="21">
        <v>306</v>
      </c>
      <c r="Q91" s="21">
        <v>1.2190000000000001</v>
      </c>
      <c r="R91" s="21">
        <v>34</v>
      </c>
      <c r="S91" s="21">
        <v>86</v>
      </c>
      <c r="T91" s="21">
        <v>0.12089999999999999</v>
      </c>
      <c r="U91" s="21">
        <v>4.0000000000000002E-4</v>
      </c>
      <c r="AP91" s="21">
        <v>24</v>
      </c>
      <c r="AQ91" s="21">
        <v>24</v>
      </c>
      <c r="AR91" s="21">
        <v>24</v>
      </c>
      <c r="AS91" s="21">
        <v>0</v>
      </c>
      <c r="AU91" s="21">
        <v>0</v>
      </c>
      <c r="AV91" s="21">
        <v>0</v>
      </c>
    </row>
    <row r="92" spans="1:48" x14ac:dyDescent="0.15">
      <c r="A92" s="20" t="s">
        <v>54</v>
      </c>
      <c r="B92" s="20" t="s">
        <v>67</v>
      </c>
      <c r="C92" s="21">
        <v>0</v>
      </c>
      <c r="D92" s="21">
        <v>0</v>
      </c>
      <c r="E92" s="21">
        <v>0</v>
      </c>
      <c r="F92" s="21">
        <v>0</v>
      </c>
      <c r="AV92" s="21">
        <v>0</v>
      </c>
    </row>
    <row r="93" spans="1:48" x14ac:dyDescent="0.15">
      <c r="A93" s="20" t="s">
        <v>55</v>
      </c>
      <c r="B93" s="20" t="s">
        <v>67</v>
      </c>
      <c r="C93" s="21">
        <v>0</v>
      </c>
      <c r="D93" s="21">
        <v>0</v>
      </c>
      <c r="E93" s="21">
        <v>0</v>
      </c>
      <c r="F93" s="21">
        <v>0</v>
      </c>
    </row>
    <row r="94" spans="1:48" x14ac:dyDescent="0.15">
      <c r="A94" s="20" t="s">
        <v>56</v>
      </c>
      <c r="B94" s="20" t="s">
        <v>67</v>
      </c>
      <c r="C94" s="21">
        <v>0</v>
      </c>
      <c r="D94" s="21">
        <v>0</v>
      </c>
      <c r="E94" s="21">
        <v>0</v>
      </c>
      <c r="F94" s="21">
        <v>0</v>
      </c>
      <c r="AU94" s="21">
        <v>0</v>
      </c>
      <c r="AV94" s="21">
        <v>0</v>
      </c>
    </row>
    <row r="95" spans="1:48" x14ac:dyDescent="0.15">
      <c r="A95" s="20" t="s">
        <v>57</v>
      </c>
      <c r="B95" s="20" t="s">
        <v>67</v>
      </c>
      <c r="C95" s="21">
        <v>0</v>
      </c>
      <c r="D95" s="21">
        <v>71</v>
      </c>
      <c r="E95" s="21">
        <v>19401</v>
      </c>
      <c r="F95" s="21">
        <v>19472</v>
      </c>
      <c r="G95" s="21">
        <v>0</v>
      </c>
      <c r="H95" s="21">
        <v>4616</v>
      </c>
      <c r="I95" s="21">
        <v>6857</v>
      </c>
      <c r="J95" s="21">
        <v>3658</v>
      </c>
      <c r="K95" s="21">
        <v>4224</v>
      </c>
      <c r="L95" s="21">
        <v>240</v>
      </c>
      <c r="M95" s="21">
        <v>0.58140000000000003</v>
      </c>
      <c r="N95" s="21">
        <v>0.5736</v>
      </c>
      <c r="O95" s="21">
        <v>0.1047</v>
      </c>
      <c r="P95" s="21">
        <v>177</v>
      </c>
      <c r="Q95" s="21">
        <v>0.96609999999999996</v>
      </c>
      <c r="R95" s="21">
        <v>85</v>
      </c>
      <c r="S95" s="21">
        <v>110</v>
      </c>
      <c r="T95" s="21">
        <v>9.6600000000000005E-2</v>
      </c>
      <c r="U95" s="21">
        <v>0</v>
      </c>
      <c r="AP95" s="21">
        <v>22</v>
      </c>
      <c r="AQ95" s="21">
        <v>22</v>
      </c>
      <c r="AR95" s="21">
        <v>22</v>
      </c>
      <c r="AS95" s="21">
        <v>0</v>
      </c>
      <c r="AU95" s="21">
        <v>0</v>
      </c>
      <c r="AV95" s="21">
        <v>0</v>
      </c>
    </row>
    <row r="96" spans="1:48" x14ac:dyDescent="0.15">
      <c r="A96" s="20" t="s">
        <v>58</v>
      </c>
      <c r="B96" s="20" t="s">
        <v>67</v>
      </c>
      <c r="C96" s="21">
        <v>0</v>
      </c>
      <c r="D96" s="21">
        <v>0</v>
      </c>
      <c r="E96" s="21">
        <v>0</v>
      </c>
      <c r="F96" s="21">
        <v>0</v>
      </c>
      <c r="AV96" s="21">
        <v>0</v>
      </c>
    </row>
    <row r="97" spans="1:48" x14ac:dyDescent="0.15">
      <c r="A97" s="20" t="s">
        <v>59</v>
      </c>
      <c r="B97" s="20" t="s">
        <v>67</v>
      </c>
      <c r="C97" s="21">
        <v>0</v>
      </c>
      <c r="D97" s="21">
        <v>0</v>
      </c>
      <c r="E97" s="21">
        <v>0</v>
      </c>
      <c r="F97" s="21">
        <v>0</v>
      </c>
    </row>
    <row r="98" spans="1:48" x14ac:dyDescent="0.15">
      <c r="A98" s="20" t="s">
        <v>60</v>
      </c>
      <c r="B98" s="20" t="s">
        <v>67</v>
      </c>
      <c r="C98" s="21">
        <v>0</v>
      </c>
      <c r="D98" s="21">
        <v>0</v>
      </c>
      <c r="E98" s="21">
        <v>0</v>
      </c>
      <c r="F98" s="21">
        <v>0</v>
      </c>
      <c r="H98" s="21">
        <v>0</v>
      </c>
      <c r="I98" s="21">
        <v>0</v>
      </c>
      <c r="J98" s="21">
        <v>0</v>
      </c>
      <c r="K98" s="21">
        <v>0</v>
      </c>
      <c r="L98" s="21">
        <v>24</v>
      </c>
      <c r="M98" s="21">
        <v>0</v>
      </c>
      <c r="N98" s="21">
        <v>0</v>
      </c>
      <c r="O98" s="21">
        <v>0</v>
      </c>
      <c r="P98" s="21">
        <v>0</v>
      </c>
      <c r="R98" s="21">
        <v>0</v>
      </c>
      <c r="AU98" s="21">
        <v>0</v>
      </c>
      <c r="AV98" s="21">
        <v>0</v>
      </c>
    </row>
    <row r="99" spans="1:48" x14ac:dyDescent="0.15">
      <c r="A99" s="20" t="s">
        <v>61</v>
      </c>
      <c r="B99" s="20" t="s">
        <v>67</v>
      </c>
      <c r="C99" s="21">
        <v>0</v>
      </c>
      <c r="D99" s="21">
        <v>0</v>
      </c>
      <c r="E99" s="21">
        <v>0</v>
      </c>
      <c r="F99" s="21">
        <v>0</v>
      </c>
      <c r="H99" s="21">
        <v>0</v>
      </c>
      <c r="I99" s="21">
        <v>0</v>
      </c>
      <c r="J99" s="21">
        <v>0</v>
      </c>
      <c r="L99" s="21">
        <v>3</v>
      </c>
      <c r="M99" s="21">
        <v>0</v>
      </c>
      <c r="N99" s="21">
        <v>0</v>
      </c>
      <c r="O99" s="21">
        <v>0</v>
      </c>
      <c r="P99" s="21">
        <v>0</v>
      </c>
      <c r="R99" s="21">
        <v>0</v>
      </c>
      <c r="AU99" s="21">
        <v>0</v>
      </c>
      <c r="AV99" s="21">
        <v>0</v>
      </c>
    </row>
    <row r="100" spans="1:48" x14ac:dyDescent="0.15">
      <c r="A100" s="20" t="s">
        <v>48</v>
      </c>
      <c r="B100" s="20" t="s">
        <v>68</v>
      </c>
      <c r="C100" s="21">
        <v>0</v>
      </c>
      <c r="D100" s="21">
        <v>28</v>
      </c>
      <c r="E100" s="21">
        <v>4880</v>
      </c>
      <c r="F100" s="21">
        <v>4909</v>
      </c>
      <c r="H100" s="21">
        <v>413</v>
      </c>
      <c r="I100" s="21">
        <v>2248</v>
      </c>
      <c r="J100" s="21">
        <v>2247</v>
      </c>
      <c r="K100" s="21">
        <v>0</v>
      </c>
      <c r="L100" s="21">
        <v>91</v>
      </c>
      <c r="M100" s="21">
        <v>0.73470000000000002</v>
      </c>
      <c r="N100" s="21">
        <v>0.71430000000000005</v>
      </c>
      <c r="O100" s="21">
        <v>0.1837</v>
      </c>
      <c r="P100" s="21">
        <v>60</v>
      </c>
      <c r="Q100" s="21">
        <v>1.2333000000000001</v>
      </c>
      <c r="R100" s="21">
        <v>55</v>
      </c>
      <c r="S100" s="21">
        <v>82</v>
      </c>
      <c r="T100" s="21">
        <v>6.3100000000000003E-2</v>
      </c>
      <c r="U100" s="21">
        <v>0</v>
      </c>
      <c r="AP100" s="21">
        <v>0</v>
      </c>
      <c r="AQ100" s="21">
        <v>0</v>
      </c>
      <c r="AS100" s="21">
        <v>0</v>
      </c>
      <c r="AU100" s="21">
        <v>0</v>
      </c>
      <c r="AV100" s="21">
        <v>0</v>
      </c>
    </row>
    <row r="101" spans="1:48" x14ac:dyDescent="0.15">
      <c r="A101" s="20" t="s">
        <v>50</v>
      </c>
      <c r="B101" s="20" t="s">
        <v>68</v>
      </c>
      <c r="C101" s="21">
        <v>0</v>
      </c>
      <c r="D101" s="21">
        <v>10</v>
      </c>
      <c r="E101" s="21">
        <v>6022</v>
      </c>
      <c r="F101" s="21">
        <v>6032</v>
      </c>
      <c r="H101" s="21">
        <v>5649</v>
      </c>
      <c r="I101" s="21">
        <v>384</v>
      </c>
      <c r="J101" s="21">
        <v>0</v>
      </c>
      <c r="K101" s="21">
        <v>0</v>
      </c>
      <c r="L101" s="21">
        <v>122</v>
      </c>
      <c r="M101" s="21">
        <v>0.7903</v>
      </c>
      <c r="N101" s="21">
        <v>0.7823</v>
      </c>
      <c r="O101" s="21">
        <v>8.0600000000000005E-2</v>
      </c>
      <c r="P101" s="21">
        <v>111</v>
      </c>
      <c r="Q101" s="21">
        <v>1.1440999999999999</v>
      </c>
      <c r="R101" s="21">
        <v>53</v>
      </c>
      <c r="S101" s="21">
        <v>54</v>
      </c>
      <c r="T101" s="21">
        <v>9.3100000000000002E-2</v>
      </c>
      <c r="U101" s="21">
        <v>5.4999999999999997E-3</v>
      </c>
      <c r="AU101" s="21">
        <v>0</v>
      </c>
      <c r="AV101" s="21">
        <v>0</v>
      </c>
    </row>
    <row r="102" spans="1:48" x14ac:dyDescent="0.15">
      <c r="A102" s="20" t="s">
        <v>51</v>
      </c>
      <c r="B102" s="20" t="s">
        <v>68</v>
      </c>
      <c r="C102" s="21">
        <v>0</v>
      </c>
      <c r="D102" s="21">
        <v>78</v>
      </c>
      <c r="E102" s="21">
        <v>2440</v>
      </c>
      <c r="F102" s="21">
        <v>2518</v>
      </c>
      <c r="H102" s="21">
        <v>985</v>
      </c>
      <c r="I102" s="21">
        <v>1367</v>
      </c>
      <c r="J102" s="21">
        <v>166</v>
      </c>
      <c r="K102" s="21">
        <v>0</v>
      </c>
      <c r="L102" s="21">
        <v>206</v>
      </c>
      <c r="M102" s="21">
        <v>0.43259999999999998</v>
      </c>
      <c r="N102" s="21">
        <v>0.4047</v>
      </c>
      <c r="O102" s="21">
        <v>0.1628</v>
      </c>
      <c r="P102" s="21">
        <v>11</v>
      </c>
      <c r="Q102" s="21">
        <v>9.3635999999999999</v>
      </c>
      <c r="R102" s="21">
        <v>13</v>
      </c>
      <c r="S102" s="21">
        <v>229</v>
      </c>
      <c r="T102" s="21">
        <v>0.18079999999999999</v>
      </c>
      <c r="U102" s="21">
        <v>0</v>
      </c>
      <c r="AU102" s="21">
        <v>0</v>
      </c>
      <c r="AV102" s="21">
        <v>0</v>
      </c>
    </row>
    <row r="103" spans="1:48" x14ac:dyDescent="0.15">
      <c r="A103" s="20" t="s">
        <v>52</v>
      </c>
      <c r="B103" s="20" t="s">
        <v>68</v>
      </c>
      <c r="C103" s="21">
        <v>0</v>
      </c>
      <c r="D103" s="21">
        <v>51</v>
      </c>
      <c r="E103" s="21">
        <v>11263</v>
      </c>
      <c r="F103" s="21">
        <v>11313</v>
      </c>
      <c r="H103" s="21">
        <v>3692</v>
      </c>
      <c r="I103" s="21">
        <v>4665</v>
      </c>
      <c r="J103" s="21">
        <v>2957</v>
      </c>
      <c r="K103" s="21">
        <v>0</v>
      </c>
      <c r="L103" s="21">
        <v>266</v>
      </c>
      <c r="M103" s="21">
        <v>0.3911</v>
      </c>
      <c r="N103" s="21">
        <v>0.3911</v>
      </c>
      <c r="O103" s="21">
        <v>2.2100000000000002E-2</v>
      </c>
      <c r="P103" s="21">
        <v>0</v>
      </c>
      <c r="R103" s="21">
        <v>46</v>
      </c>
      <c r="T103" s="21">
        <v>0.12859999999999999</v>
      </c>
      <c r="U103" s="21">
        <v>1.6999999999999999E-3</v>
      </c>
      <c r="AP103" s="21">
        <v>1</v>
      </c>
      <c r="AQ103" s="21">
        <v>1</v>
      </c>
      <c r="AR103" s="21">
        <v>1</v>
      </c>
      <c r="AU103" s="21">
        <v>0</v>
      </c>
      <c r="AV103" s="21">
        <v>0</v>
      </c>
    </row>
    <row r="104" spans="1:48" x14ac:dyDescent="0.15">
      <c r="A104" s="20" t="s">
        <v>53</v>
      </c>
      <c r="B104" s="20" t="s">
        <v>68</v>
      </c>
      <c r="C104" s="21">
        <v>0</v>
      </c>
      <c r="D104" s="21">
        <v>0</v>
      </c>
      <c r="E104" s="21">
        <v>0</v>
      </c>
      <c r="F104" s="21">
        <v>0</v>
      </c>
    </row>
    <row r="105" spans="1:48" x14ac:dyDescent="0.15">
      <c r="A105" s="20" t="s">
        <v>0</v>
      </c>
      <c r="B105" s="20" t="s">
        <v>68</v>
      </c>
      <c r="C105" s="21">
        <v>0</v>
      </c>
      <c r="D105" s="21">
        <v>403</v>
      </c>
      <c r="E105" s="21">
        <v>48654</v>
      </c>
      <c r="F105" s="21">
        <v>49057</v>
      </c>
      <c r="G105" s="21">
        <v>0</v>
      </c>
      <c r="H105" s="21">
        <v>20119</v>
      </c>
      <c r="I105" s="21">
        <v>15812</v>
      </c>
      <c r="J105" s="21">
        <v>11663</v>
      </c>
      <c r="K105" s="21">
        <v>1462</v>
      </c>
      <c r="L105" s="21">
        <v>1004</v>
      </c>
      <c r="M105" s="21">
        <v>0.50960000000000005</v>
      </c>
      <c r="N105" s="21">
        <v>0.49809999999999999</v>
      </c>
      <c r="O105" s="21">
        <v>9.8699999999999996E-2</v>
      </c>
      <c r="P105" s="21">
        <v>359</v>
      </c>
      <c r="Q105" s="21">
        <v>1.7855000000000001</v>
      </c>
      <c r="R105" s="21">
        <v>53</v>
      </c>
      <c r="S105" s="21">
        <v>137</v>
      </c>
      <c r="T105" s="21">
        <v>0.1174</v>
      </c>
      <c r="U105" s="21">
        <v>6.2E-2</v>
      </c>
      <c r="AP105" s="21">
        <v>3</v>
      </c>
      <c r="AQ105" s="21">
        <v>3</v>
      </c>
      <c r="AR105" s="21">
        <v>2</v>
      </c>
      <c r="AS105" s="21">
        <v>0</v>
      </c>
      <c r="AU105" s="21">
        <v>0</v>
      </c>
      <c r="AV105" s="21">
        <v>0</v>
      </c>
    </row>
    <row r="106" spans="1:48" x14ac:dyDescent="0.15">
      <c r="A106" s="20" t="s">
        <v>54</v>
      </c>
      <c r="B106" s="20" t="s">
        <v>68</v>
      </c>
      <c r="C106" s="21">
        <v>0</v>
      </c>
      <c r="D106" s="21">
        <v>0</v>
      </c>
      <c r="E106" s="21">
        <v>0</v>
      </c>
      <c r="F106" s="21">
        <v>0</v>
      </c>
      <c r="AV106" s="21">
        <v>0</v>
      </c>
    </row>
    <row r="107" spans="1:48" x14ac:dyDescent="0.15">
      <c r="A107" s="20" t="s">
        <v>55</v>
      </c>
      <c r="B107" s="20" t="s">
        <v>68</v>
      </c>
      <c r="C107" s="21">
        <v>0</v>
      </c>
      <c r="D107" s="21">
        <v>0</v>
      </c>
      <c r="E107" s="21">
        <v>0</v>
      </c>
      <c r="F107" s="21">
        <v>0</v>
      </c>
    </row>
    <row r="108" spans="1:48" x14ac:dyDescent="0.15">
      <c r="A108" s="20" t="s">
        <v>56</v>
      </c>
      <c r="B108" s="20" t="s">
        <v>68</v>
      </c>
      <c r="C108" s="21">
        <v>0</v>
      </c>
      <c r="D108" s="21">
        <v>0</v>
      </c>
      <c r="E108" s="21">
        <v>0</v>
      </c>
      <c r="F108" s="21">
        <v>0</v>
      </c>
      <c r="AU108" s="21">
        <v>0</v>
      </c>
      <c r="AV108" s="21">
        <v>0</v>
      </c>
    </row>
    <row r="109" spans="1:48" x14ac:dyDescent="0.15">
      <c r="A109" s="20" t="s">
        <v>57</v>
      </c>
      <c r="B109" s="20" t="s">
        <v>68</v>
      </c>
      <c r="C109" s="21">
        <v>0</v>
      </c>
      <c r="D109" s="21">
        <v>236</v>
      </c>
      <c r="E109" s="21">
        <v>24049</v>
      </c>
      <c r="F109" s="21">
        <v>24285</v>
      </c>
      <c r="G109" s="21">
        <v>0</v>
      </c>
      <c r="H109" s="21">
        <v>9380</v>
      </c>
      <c r="I109" s="21">
        <v>7149</v>
      </c>
      <c r="J109" s="21">
        <v>6293</v>
      </c>
      <c r="K109" s="21">
        <v>1462</v>
      </c>
      <c r="L109" s="21">
        <v>241</v>
      </c>
      <c r="M109" s="21">
        <v>0.63180000000000003</v>
      </c>
      <c r="N109" s="21">
        <v>0.62019999999999997</v>
      </c>
      <c r="O109" s="21">
        <v>0.1318</v>
      </c>
      <c r="P109" s="21">
        <v>177</v>
      </c>
      <c r="Q109" s="21">
        <v>1.226</v>
      </c>
      <c r="R109" s="21">
        <v>101</v>
      </c>
      <c r="S109" s="21">
        <v>137</v>
      </c>
      <c r="T109" s="21">
        <v>0.1212</v>
      </c>
      <c r="U109" s="21">
        <v>9.6799999999999997E-2</v>
      </c>
      <c r="AP109" s="21">
        <v>2</v>
      </c>
      <c r="AQ109" s="21">
        <v>2</v>
      </c>
      <c r="AR109" s="21">
        <v>2</v>
      </c>
      <c r="AS109" s="21">
        <v>0</v>
      </c>
      <c r="AU109" s="21">
        <v>0</v>
      </c>
      <c r="AV109" s="21">
        <v>0</v>
      </c>
    </row>
    <row r="110" spans="1:48" x14ac:dyDescent="0.15">
      <c r="A110" s="20" t="s">
        <v>58</v>
      </c>
      <c r="B110" s="20" t="s">
        <v>68</v>
      </c>
      <c r="C110" s="21">
        <v>0</v>
      </c>
      <c r="D110" s="21">
        <v>0</v>
      </c>
      <c r="E110" s="21">
        <v>0</v>
      </c>
      <c r="F110" s="21">
        <v>0</v>
      </c>
      <c r="AV110" s="21">
        <v>0</v>
      </c>
    </row>
    <row r="111" spans="1:48" x14ac:dyDescent="0.15">
      <c r="A111" s="20" t="s">
        <v>59</v>
      </c>
      <c r="B111" s="20" t="s">
        <v>68</v>
      </c>
      <c r="C111" s="21">
        <v>0</v>
      </c>
      <c r="D111" s="21">
        <v>0</v>
      </c>
      <c r="E111" s="21">
        <v>0</v>
      </c>
      <c r="F111" s="21">
        <v>0</v>
      </c>
    </row>
    <row r="112" spans="1:48" x14ac:dyDescent="0.15">
      <c r="A112" s="20" t="s">
        <v>60</v>
      </c>
      <c r="B112" s="20" t="s">
        <v>68</v>
      </c>
      <c r="C112" s="21">
        <v>0</v>
      </c>
      <c r="D112" s="21">
        <v>0</v>
      </c>
      <c r="E112" s="21">
        <v>0</v>
      </c>
      <c r="F112" s="21">
        <v>0</v>
      </c>
      <c r="H112" s="21">
        <v>0</v>
      </c>
      <c r="I112" s="21">
        <v>0</v>
      </c>
      <c r="J112" s="21">
        <v>0</v>
      </c>
      <c r="K112" s="21">
        <v>0</v>
      </c>
      <c r="L112" s="21">
        <v>59</v>
      </c>
      <c r="M112" s="21">
        <v>0</v>
      </c>
      <c r="N112" s="21">
        <v>0</v>
      </c>
      <c r="O112" s="21">
        <v>0</v>
      </c>
      <c r="P112" s="21">
        <v>0</v>
      </c>
      <c r="R112" s="21">
        <v>0</v>
      </c>
      <c r="AU112" s="21">
        <v>0</v>
      </c>
      <c r="AV112" s="21">
        <v>0</v>
      </c>
    </row>
    <row r="113" spans="1:48" x14ac:dyDescent="0.15">
      <c r="A113" s="20" t="s">
        <v>61</v>
      </c>
      <c r="B113" s="20" t="s">
        <v>68</v>
      </c>
      <c r="C113" s="21">
        <v>0</v>
      </c>
      <c r="D113" s="21">
        <v>0</v>
      </c>
      <c r="E113" s="21">
        <v>0</v>
      </c>
      <c r="F113" s="21">
        <v>0</v>
      </c>
      <c r="H113" s="21">
        <v>0</v>
      </c>
      <c r="I113" s="21">
        <v>0</v>
      </c>
      <c r="J113" s="21">
        <v>0</v>
      </c>
      <c r="L113" s="21">
        <v>19</v>
      </c>
      <c r="M113" s="21">
        <v>0</v>
      </c>
      <c r="N113" s="21">
        <v>0</v>
      </c>
      <c r="O113" s="21">
        <v>0</v>
      </c>
      <c r="P113" s="21">
        <v>0</v>
      </c>
      <c r="R113" s="21">
        <v>0</v>
      </c>
      <c r="AU113" s="21">
        <v>0</v>
      </c>
      <c r="AV113" s="21">
        <v>0</v>
      </c>
    </row>
    <row r="114" spans="1:48" x14ac:dyDescent="0.15">
      <c r="A114" s="20" t="s">
        <v>48</v>
      </c>
      <c r="B114" s="20" t="s">
        <v>69</v>
      </c>
      <c r="C114" s="21">
        <v>0</v>
      </c>
      <c r="D114" s="21">
        <v>44</v>
      </c>
      <c r="E114" s="21">
        <v>5335</v>
      </c>
      <c r="F114" s="21">
        <v>5379</v>
      </c>
      <c r="H114" s="21">
        <v>275</v>
      </c>
      <c r="I114" s="21">
        <v>2453</v>
      </c>
      <c r="J114" s="21">
        <v>2652</v>
      </c>
      <c r="K114" s="21">
        <v>0</v>
      </c>
      <c r="L114" s="21">
        <v>93</v>
      </c>
      <c r="M114" s="21">
        <v>0.67369999999999997</v>
      </c>
      <c r="N114" s="21">
        <v>0.66320000000000001</v>
      </c>
      <c r="O114" s="21">
        <v>0.21049999999999999</v>
      </c>
      <c r="P114" s="21">
        <v>71</v>
      </c>
      <c r="Q114" s="21">
        <v>0.9859</v>
      </c>
      <c r="R114" s="21">
        <v>58</v>
      </c>
      <c r="S114" s="21">
        <v>76</v>
      </c>
      <c r="T114" s="21">
        <v>4.0300000000000002E-2</v>
      </c>
      <c r="U114" s="21">
        <v>0</v>
      </c>
      <c r="AP114" s="21">
        <v>0</v>
      </c>
      <c r="AQ114" s="21">
        <v>0</v>
      </c>
      <c r="AS114" s="21">
        <v>0</v>
      </c>
      <c r="AU114" s="21">
        <v>0</v>
      </c>
      <c r="AV114" s="21">
        <v>0</v>
      </c>
    </row>
    <row r="115" spans="1:48" x14ac:dyDescent="0.15">
      <c r="A115" s="20" t="s">
        <v>50</v>
      </c>
      <c r="B115" s="20" t="s">
        <v>69</v>
      </c>
      <c r="C115" s="21">
        <v>0</v>
      </c>
      <c r="D115" s="21">
        <v>35</v>
      </c>
      <c r="E115" s="21">
        <v>6833</v>
      </c>
      <c r="F115" s="21">
        <v>6868</v>
      </c>
      <c r="H115" s="21">
        <v>6723</v>
      </c>
      <c r="I115" s="21">
        <v>144</v>
      </c>
      <c r="J115" s="21">
        <v>0</v>
      </c>
      <c r="K115" s="21">
        <v>0</v>
      </c>
      <c r="L115" s="21">
        <v>129</v>
      </c>
      <c r="M115" s="21">
        <v>0.875</v>
      </c>
      <c r="N115" s="21">
        <v>0.86029999999999995</v>
      </c>
      <c r="O115" s="21">
        <v>0.13969999999999999</v>
      </c>
      <c r="P115" s="21">
        <v>115</v>
      </c>
      <c r="Q115" s="21">
        <v>1.2696000000000001</v>
      </c>
      <c r="R115" s="21">
        <v>55</v>
      </c>
      <c r="S115" s="21">
        <v>60</v>
      </c>
      <c r="T115" s="21">
        <v>0.1048</v>
      </c>
      <c r="U115" s="21">
        <v>6.6E-3</v>
      </c>
      <c r="AU115" s="21">
        <v>0</v>
      </c>
      <c r="AV115" s="21">
        <v>0</v>
      </c>
    </row>
    <row r="116" spans="1:48" x14ac:dyDescent="0.15">
      <c r="A116" s="20" t="s">
        <v>51</v>
      </c>
      <c r="B116" s="20" t="s">
        <v>69</v>
      </c>
      <c r="C116" s="21">
        <v>0</v>
      </c>
      <c r="D116" s="21">
        <v>80</v>
      </c>
      <c r="E116" s="21">
        <v>3722</v>
      </c>
      <c r="F116" s="21">
        <v>3801</v>
      </c>
      <c r="G116" s="21">
        <v>73</v>
      </c>
      <c r="H116" s="21">
        <v>1520</v>
      </c>
      <c r="I116" s="21">
        <v>1903</v>
      </c>
      <c r="J116" s="21">
        <v>305</v>
      </c>
      <c r="K116" s="21">
        <v>0</v>
      </c>
      <c r="L116" s="21">
        <v>231</v>
      </c>
      <c r="M116" s="21">
        <v>0.40760000000000002</v>
      </c>
      <c r="N116" s="21">
        <v>0.40339999999999998</v>
      </c>
      <c r="O116" s="21">
        <v>0.2059</v>
      </c>
      <c r="P116" s="21">
        <v>11</v>
      </c>
      <c r="Q116" s="21">
        <v>10.2727</v>
      </c>
      <c r="R116" s="21">
        <v>17</v>
      </c>
      <c r="S116" s="21">
        <v>346</v>
      </c>
      <c r="T116" s="21">
        <v>0.1062</v>
      </c>
      <c r="U116" s="21">
        <v>0</v>
      </c>
      <c r="AU116" s="21">
        <v>0</v>
      </c>
      <c r="AV116" s="21">
        <v>0</v>
      </c>
    </row>
    <row r="117" spans="1:48" x14ac:dyDescent="0.15">
      <c r="A117" s="20" t="s">
        <v>52</v>
      </c>
      <c r="B117" s="20" t="s">
        <v>69</v>
      </c>
      <c r="C117" s="21">
        <v>0</v>
      </c>
      <c r="D117" s="21">
        <v>27</v>
      </c>
      <c r="E117" s="21">
        <v>12641</v>
      </c>
      <c r="F117" s="21">
        <v>12668</v>
      </c>
      <c r="G117" s="21">
        <v>3289</v>
      </c>
      <c r="H117" s="21">
        <v>2978</v>
      </c>
      <c r="I117" s="21">
        <v>3549</v>
      </c>
      <c r="J117" s="21">
        <v>2851</v>
      </c>
      <c r="K117" s="21">
        <v>0</v>
      </c>
      <c r="L117" s="21">
        <v>285</v>
      </c>
      <c r="M117" s="21">
        <v>0.50349999999999995</v>
      </c>
      <c r="N117" s="21">
        <v>0.50349999999999995</v>
      </c>
      <c r="O117" s="21">
        <v>2.4299999999999999E-2</v>
      </c>
      <c r="P117" s="21">
        <v>0</v>
      </c>
      <c r="R117" s="21">
        <v>46</v>
      </c>
      <c r="T117" s="21">
        <v>5.4300000000000001E-2</v>
      </c>
      <c r="U117" s="21">
        <v>1.8200000000000001E-2</v>
      </c>
      <c r="AP117" s="21">
        <v>1</v>
      </c>
      <c r="AQ117" s="21">
        <v>1</v>
      </c>
      <c r="AR117" s="21">
        <v>1</v>
      </c>
      <c r="AU117" s="21">
        <v>0</v>
      </c>
      <c r="AV117" s="21">
        <v>0</v>
      </c>
    </row>
    <row r="118" spans="1:48" x14ac:dyDescent="0.15">
      <c r="A118" s="20" t="s">
        <v>53</v>
      </c>
      <c r="B118" s="20" t="s">
        <v>69</v>
      </c>
      <c r="C118" s="21">
        <v>0</v>
      </c>
      <c r="D118" s="21">
        <v>0</v>
      </c>
      <c r="E118" s="21">
        <v>0</v>
      </c>
      <c r="F118" s="21">
        <v>0</v>
      </c>
    </row>
    <row r="119" spans="1:48" x14ac:dyDescent="0.15">
      <c r="A119" s="20" t="s">
        <v>0</v>
      </c>
      <c r="B119" s="20" t="s">
        <v>69</v>
      </c>
      <c r="C119" s="21">
        <v>0</v>
      </c>
      <c r="D119" s="21">
        <v>378</v>
      </c>
      <c r="E119" s="21">
        <v>49850</v>
      </c>
      <c r="F119" s="21">
        <v>50227</v>
      </c>
      <c r="G119" s="21">
        <v>3590</v>
      </c>
      <c r="H119" s="21">
        <v>19081</v>
      </c>
      <c r="I119" s="21">
        <v>15075</v>
      </c>
      <c r="J119" s="21">
        <v>10772</v>
      </c>
      <c r="K119" s="21">
        <v>1710</v>
      </c>
      <c r="L119" s="21">
        <v>1082</v>
      </c>
      <c r="M119" s="21">
        <v>0.53649999999999998</v>
      </c>
      <c r="N119" s="21">
        <v>0.53110000000000002</v>
      </c>
      <c r="O119" s="21">
        <v>0.1094</v>
      </c>
      <c r="P119" s="21">
        <v>386</v>
      </c>
      <c r="Q119" s="21">
        <v>1.8834</v>
      </c>
      <c r="R119" s="21">
        <v>48</v>
      </c>
      <c r="S119" s="21">
        <v>130</v>
      </c>
      <c r="T119" s="21">
        <v>7.2400000000000006E-2</v>
      </c>
      <c r="U119" s="21">
        <v>5.0799999999999998E-2</v>
      </c>
      <c r="AP119" s="21">
        <v>19</v>
      </c>
      <c r="AQ119" s="21">
        <v>19</v>
      </c>
      <c r="AR119" s="21">
        <v>16</v>
      </c>
      <c r="AS119" s="21">
        <v>3</v>
      </c>
      <c r="AU119" s="21">
        <v>0</v>
      </c>
      <c r="AV119" s="21">
        <v>0</v>
      </c>
    </row>
    <row r="120" spans="1:48" x14ac:dyDescent="0.15">
      <c r="A120" s="20" t="s">
        <v>54</v>
      </c>
      <c r="B120" s="20" t="s">
        <v>69</v>
      </c>
      <c r="C120" s="21">
        <v>0</v>
      </c>
      <c r="D120" s="21">
        <v>0</v>
      </c>
      <c r="E120" s="21">
        <v>0</v>
      </c>
      <c r="F120" s="21">
        <v>0</v>
      </c>
      <c r="AV120" s="21">
        <v>0</v>
      </c>
    </row>
    <row r="121" spans="1:48" x14ac:dyDescent="0.15">
      <c r="A121" s="20" t="s">
        <v>55</v>
      </c>
      <c r="B121" s="20" t="s">
        <v>69</v>
      </c>
      <c r="C121" s="21">
        <v>0</v>
      </c>
      <c r="D121" s="21">
        <v>0</v>
      </c>
      <c r="E121" s="21">
        <v>0</v>
      </c>
      <c r="F121" s="21">
        <v>0</v>
      </c>
    </row>
    <row r="122" spans="1:48" x14ac:dyDescent="0.15">
      <c r="A122" s="20" t="s">
        <v>56</v>
      </c>
      <c r="B122" s="20" t="s">
        <v>69</v>
      </c>
      <c r="C122" s="21">
        <v>0</v>
      </c>
      <c r="D122" s="21">
        <v>0</v>
      </c>
      <c r="E122" s="21">
        <v>0</v>
      </c>
      <c r="F122" s="21">
        <v>0</v>
      </c>
      <c r="AU122" s="21">
        <v>0</v>
      </c>
      <c r="AV122" s="21">
        <v>0</v>
      </c>
    </row>
    <row r="123" spans="1:48" x14ac:dyDescent="0.15">
      <c r="A123" s="20" t="s">
        <v>57</v>
      </c>
      <c r="B123" s="20" t="s">
        <v>69</v>
      </c>
      <c r="C123" s="21">
        <v>0</v>
      </c>
      <c r="D123" s="21">
        <v>192</v>
      </c>
      <c r="E123" s="21">
        <v>20563</v>
      </c>
      <c r="F123" s="21">
        <v>20754</v>
      </c>
      <c r="G123" s="21">
        <v>1</v>
      </c>
      <c r="H123" s="21">
        <v>7584</v>
      </c>
      <c r="I123" s="21">
        <v>6495</v>
      </c>
      <c r="J123" s="21">
        <v>4964</v>
      </c>
      <c r="K123" s="21">
        <v>1710</v>
      </c>
      <c r="L123" s="21">
        <v>227</v>
      </c>
      <c r="M123" s="21">
        <v>0.6694</v>
      </c>
      <c r="N123" s="21">
        <v>0.6613</v>
      </c>
      <c r="O123" s="21">
        <v>0.1129</v>
      </c>
      <c r="P123" s="21">
        <v>189</v>
      </c>
      <c r="Q123" s="21">
        <v>1.0688</v>
      </c>
      <c r="R123" s="21">
        <v>89</v>
      </c>
      <c r="S123" s="21">
        <v>110</v>
      </c>
      <c r="T123" s="21">
        <v>7.5700000000000003E-2</v>
      </c>
      <c r="U123" s="21">
        <v>8.0799999999999997E-2</v>
      </c>
      <c r="AP123" s="21">
        <v>17</v>
      </c>
      <c r="AQ123" s="21">
        <v>17</v>
      </c>
      <c r="AR123" s="21">
        <v>15</v>
      </c>
      <c r="AS123" s="21">
        <v>2</v>
      </c>
      <c r="AU123" s="21">
        <v>0</v>
      </c>
      <c r="AV123" s="21">
        <v>0</v>
      </c>
    </row>
    <row r="124" spans="1:48" x14ac:dyDescent="0.15">
      <c r="A124" s="20" t="s">
        <v>58</v>
      </c>
      <c r="B124" s="20" t="s">
        <v>69</v>
      </c>
      <c r="C124" s="21">
        <v>0</v>
      </c>
      <c r="D124" s="21">
        <v>0</v>
      </c>
      <c r="E124" s="21">
        <v>0</v>
      </c>
      <c r="F124" s="21">
        <v>0</v>
      </c>
      <c r="AV124" s="21">
        <v>0</v>
      </c>
    </row>
    <row r="125" spans="1:48" x14ac:dyDescent="0.15">
      <c r="A125" s="20" t="s">
        <v>59</v>
      </c>
      <c r="B125" s="20" t="s">
        <v>69</v>
      </c>
      <c r="C125" s="21">
        <v>0</v>
      </c>
      <c r="D125" s="21">
        <v>0</v>
      </c>
      <c r="E125" s="21">
        <v>0</v>
      </c>
      <c r="F125" s="21">
        <v>0</v>
      </c>
    </row>
    <row r="126" spans="1:48" x14ac:dyDescent="0.15">
      <c r="A126" s="20" t="s">
        <v>60</v>
      </c>
      <c r="B126" s="20" t="s">
        <v>69</v>
      </c>
      <c r="C126" s="21">
        <v>0</v>
      </c>
      <c r="D126" s="21">
        <v>0</v>
      </c>
      <c r="E126" s="21">
        <v>0</v>
      </c>
      <c r="F126" s="21">
        <v>0</v>
      </c>
      <c r="H126" s="21">
        <v>0</v>
      </c>
      <c r="I126" s="21">
        <v>0</v>
      </c>
      <c r="J126" s="21">
        <v>0</v>
      </c>
      <c r="K126" s="21">
        <v>0</v>
      </c>
      <c r="L126" s="21">
        <v>80</v>
      </c>
      <c r="M126" s="21">
        <v>0</v>
      </c>
      <c r="N126" s="21">
        <v>0</v>
      </c>
      <c r="O126" s="21">
        <v>0</v>
      </c>
      <c r="P126" s="21">
        <v>0</v>
      </c>
      <c r="R126" s="21">
        <v>0</v>
      </c>
      <c r="AU126" s="21">
        <v>0</v>
      </c>
      <c r="AV126" s="21">
        <v>0</v>
      </c>
    </row>
    <row r="127" spans="1:48" x14ac:dyDescent="0.15">
      <c r="A127" s="20" t="s">
        <v>61</v>
      </c>
      <c r="B127" s="20" t="s">
        <v>69</v>
      </c>
      <c r="C127" s="21">
        <v>0</v>
      </c>
      <c r="D127" s="21">
        <v>0</v>
      </c>
      <c r="E127" s="21">
        <v>757</v>
      </c>
      <c r="F127" s="21">
        <v>757</v>
      </c>
      <c r="G127" s="21">
        <v>227</v>
      </c>
      <c r="H127" s="21">
        <v>0</v>
      </c>
      <c r="I127" s="21">
        <v>530</v>
      </c>
      <c r="J127" s="21">
        <v>0</v>
      </c>
      <c r="L127" s="21">
        <v>37</v>
      </c>
      <c r="M127" s="21">
        <v>0.32429999999999998</v>
      </c>
      <c r="N127" s="21">
        <v>0.32429999999999998</v>
      </c>
      <c r="O127" s="21">
        <v>0</v>
      </c>
      <c r="P127" s="21">
        <v>0</v>
      </c>
      <c r="R127" s="21">
        <v>27</v>
      </c>
      <c r="T127" s="21">
        <v>1.18E-2</v>
      </c>
      <c r="U127" s="21">
        <v>0</v>
      </c>
      <c r="AU127" s="21">
        <v>0</v>
      </c>
      <c r="AV127" s="21">
        <v>0</v>
      </c>
    </row>
    <row r="128" spans="1:48" x14ac:dyDescent="0.15">
      <c r="A128" s="20" t="s">
        <v>48</v>
      </c>
      <c r="B128" s="20" t="s">
        <v>70</v>
      </c>
      <c r="C128" s="21">
        <v>0</v>
      </c>
      <c r="D128" s="21">
        <v>22</v>
      </c>
      <c r="E128" s="21">
        <v>11920</v>
      </c>
      <c r="F128" s="21">
        <v>11942</v>
      </c>
      <c r="H128" s="21">
        <v>3111</v>
      </c>
      <c r="I128" s="21">
        <v>5698</v>
      </c>
      <c r="J128" s="21">
        <v>3134</v>
      </c>
      <c r="K128" s="21">
        <v>0</v>
      </c>
      <c r="L128" s="21">
        <v>85</v>
      </c>
      <c r="M128" s="21">
        <v>0.81820000000000004</v>
      </c>
      <c r="N128" s="21">
        <v>0.81820000000000004</v>
      </c>
      <c r="O128" s="21">
        <v>0.17169999999999999</v>
      </c>
      <c r="P128" s="21">
        <v>86</v>
      </c>
      <c r="Q128" s="21">
        <v>1.2209000000000001</v>
      </c>
      <c r="R128" s="21">
        <v>134</v>
      </c>
      <c r="S128" s="21">
        <v>139</v>
      </c>
      <c r="T128" s="21">
        <v>6.6400000000000001E-2</v>
      </c>
      <c r="U128" s="21">
        <v>2.7000000000000001E-3</v>
      </c>
      <c r="AP128" s="21">
        <v>10</v>
      </c>
      <c r="AQ128" s="21">
        <v>10</v>
      </c>
      <c r="AR128" s="21">
        <v>10</v>
      </c>
      <c r="AS128" s="21">
        <v>0</v>
      </c>
      <c r="AU128" s="21">
        <v>0</v>
      </c>
      <c r="AV128" s="21">
        <v>0</v>
      </c>
    </row>
    <row r="129" spans="1:48" x14ac:dyDescent="0.15">
      <c r="A129" s="20" t="s">
        <v>50</v>
      </c>
      <c r="B129" s="20" t="s">
        <v>70</v>
      </c>
      <c r="C129" s="21">
        <v>0</v>
      </c>
      <c r="D129" s="21">
        <v>20</v>
      </c>
      <c r="E129" s="21">
        <v>8519</v>
      </c>
      <c r="F129" s="21">
        <v>8539</v>
      </c>
      <c r="H129" s="21">
        <v>8260</v>
      </c>
      <c r="I129" s="21">
        <v>279</v>
      </c>
      <c r="J129" s="21">
        <v>0</v>
      </c>
      <c r="K129" s="21">
        <v>0</v>
      </c>
      <c r="L129" s="21">
        <v>137</v>
      </c>
      <c r="M129" s="21">
        <v>0.86009999999999998</v>
      </c>
      <c r="N129" s="21">
        <v>0.85309999999999997</v>
      </c>
      <c r="O129" s="21">
        <v>0.12590000000000001</v>
      </c>
      <c r="P129" s="21">
        <v>141</v>
      </c>
      <c r="Q129" s="21">
        <v>1.234</v>
      </c>
      <c r="R129" s="21">
        <v>64</v>
      </c>
      <c r="S129" s="21">
        <v>61</v>
      </c>
      <c r="T129" s="21">
        <v>0.10630000000000001</v>
      </c>
      <c r="U129" s="21">
        <v>1.1299999999999999E-2</v>
      </c>
      <c r="AU129" s="21">
        <v>0</v>
      </c>
      <c r="AV129" s="21">
        <v>0</v>
      </c>
    </row>
    <row r="130" spans="1:48" x14ac:dyDescent="0.15">
      <c r="A130" s="20" t="s">
        <v>51</v>
      </c>
      <c r="B130" s="20" t="s">
        <v>70</v>
      </c>
      <c r="C130" s="21">
        <v>0</v>
      </c>
      <c r="D130" s="21">
        <v>100</v>
      </c>
      <c r="E130" s="21">
        <v>6090</v>
      </c>
      <c r="F130" s="21">
        <v>6191</v>
      </c>
      <c r="G130" s="21">
        <v>270</v>
      </c>
      <c r="H130" s="21">
        <v>2823</v>
      </c>
      <c r="I130" s="21">
        <v>2516</v>
      </c>
      <c r="J130" s="21">
        <v>582</v>
      </c>
      <c r="K130" s="21">
        <v>0</v>
      </c>
      <c r="L130" s="21">
        <v>304</v>
      </c>
      <c r="M130" s="21">
        <v>0.37659999999999999</v>
      </c>
      <c r="N130" s="21">
        <v>0.37659999999999999</v>
      </c>
      <c r="O130" s="21">
        <v>0.1646</v>
      </c>
      <c r="P130" s="21">
        <v>11</v>
      </c>
      <c r="Q130" s="21">
        <v>12.181800000000001</v>
      </c>
      <c r="R130" s="21">
        <v>23</v>
      </c>
      <c r="S130" s="21">
        <v>563</v>
      </c>
      <c r="T130" s="21">
        <v>0.12520000000000001</v>
      </c>
      <c r="U130" s="21">
        <v>1.12E-2</v>
      </c>
      <c r="AU130" s="21">
        <v>0</v>
      </c>
      <c r="AV130" s="21">
        <v>0</v>
      </c>
    </row>
    <row r="131" spans="1:48" x14ac:dyDescent="0.15">
      <c r="A131" s="20" t="s">
        <v>52</v>
      </c>
      <c r="B131" s="20" t="s">
        <v>70</v>
      </c>
      <c r="C131" s="21">
        <v>0</v>
      </c>
      <c r="D131" s="21">
        <v>8</v>
      </c>
      <c r="E131" s="21">
        <v>25550</v>
      </c>
      <c r="F131" s="21">
        <v>25558</v>
      </c>
      <c r="G131" s="21">
        <v>5674</v>
      </c>
      <c r="H131" s="21">
        <v>3919</v>
      </c>
      <c r="I131" s="21">
        <v>8457</v>
      </c>
      <c r="J131" s="21">
        <v>7509</v>
      </c>
      <c r="K131" s="21">
        <v>0</v>
      </c>
      <c r="L131" s="21">
        <v>303</v>
      </c>
      <c r="M131" s="21">
        <v>0.63670000000000004</v>
      </c>
      <c r="N131" s="21">
        <v>0.63670000000000004</v>
      </c>
      <c r="O131" s="21">
        <v>1.61E-2</v>
      </c>
      <c r="P131" s="21">
        <v>0</v>
      </c>
      <c r="R131" s="21">
        <v>87</v>
      </c>
      <c r="T131" s="21">
        <v>0.1008</v>
      </c>
      <c r="U131" s="21">
        <v>1.21E-2</v>
      </c>
      <c r="AP131" s="21">
        <v>4</v>
      </c>
      <c r="AQ131" s="21">
        <v>4</v>
      </c>
      <c r="AR131" s="21">
        <v>4</v>
      </c>
      <c r="AU131" s="21">
        <v>0</v>
      </c>
      <c r="AV131" s="21">
        <v>0</v>
      </c>
    </row>
    <row r="132" spans="1:48" x14ac:dyDescent="0.15">
      <c r="A132" s="20" t="s">
        <v>53</v>
      </c>
      <c r="B132" s="20" t="s">
        <v>70</v>
      </c>
      <c r="C132" s="21">
        <v>0</v>
      </c>
      <c r="D132" s="21">
        <v>0</v>
      </c>
      <c r="E132" s="21">
        <v>0</v>
      </c>
      <c r="F132" s="21">
        <v>0</v>
      </c>
    </row>
    <row r="133" spans="1:48" x14ac:dyDescent="0.15">
      <c r="A133" s="20" t="s">
        <v>0</v>
      </c>
      <c r="B133" s="20" t="s">
        <v>70</v>
      </c>
      <c r="C133" s="21">
        <v>0</v>
      </c>
      <c r="D133" s="21">
        <v>449</v>
      </c>
      <c r="E133" s="21">
        <v>93887</v>
      </c>
      <c r="F133" s="21">
        <v>94336</v>
      </c>
      <c r="G133" s="21">
        <v>8818</v>
      </c>
      <c r="H133" s="21">
        <v>33138</v>
      </c>
      <c r="I133" s="21">
        <v>25938</v>
      </c>
      <c r="J133" s="21">
        <v>24759</v>
      </c>
      <c r="K133" s="21">
        <v>1682</v>
      </c>
      <c r="L133" s="21">
        <v>1242</v>
      </c>
      <c r="M133" s="21">
        <v>0.6139</v>
      </c>
      <c r="N133" s="21">
        <v>0.61160000000000003</v>
      </c>
      <c r="O133" s="21">
        <v>9.5600000000000004E-2</v>
      </c>
      <c r="P133" s="21">
        <v>438</v>
      </c>
      <c r="Q133" s="21">
        <v>2.3561999999999999</v>
      </c>
      <c r="R133" s="21">
        <v>81</v>
      </c>
      <c r="S133" s="21">
        <v>215</v>
      </c>
      <c r="T133" s="21">
        <v>9.35E-2</v>
      </c>
      <c r="U133" s="21">
        <v>2.9600000000000001E-2</v>
      </c>
      <c r="AP133" s="21">
        <v>120</v>
      </c>
      <c r="AQ133" s="21">
        <v>120</v>
      </c>
      <c r="AR133" s="21">
        <v>114</v>
      </c>
      <c r="AS133" s="21">
        <v>6</v>
      </c>
      <c r="AU133" s="21">
        <v>0</v>
      </c>
      <c r="AV133" s="21">
        <v>0</v>
      </c>
    </row>
    <row r="134" spans="1:48" x14ac:dyDescent="0.15">
      <c r="A134" s="20" t="s">
        <v>54</v>
      </c>
      <c r="B134" s="20" t="s">
        <v>70</v>
      </c>
      <c r="C134" s="21">
        <v>0</v>
      </c>
      <c r="D134" s="21">
        <v>0</v>
      </c>
      <c r="E134" s="21">
        <v>0</v>
      </c>
      <c r="F134" s="21">
        <v>0</v>
      </c>
      <c r="AV134" s="21">
        <v>0</v>
      </c>
    </row>
    <row r="135" spans="1:48" x14ac:dyDescent="0.15">
      <c r="A135" s="20" t="s">
        <v>55</v>
      </c>
      <c r="B135" s="20" t="s">
        <v>70</v>
      </c>
      <c r="C135" s="21">
        <v>0</v>
      </c>
      <c r="D135" s="21">
        <v>0</v>
      </c>
      <c r="E135" s="21">
        <v>0</v>
      </c>
      <c r="F135" s="21">
        <v>0</v>
      </c>
    </row>
    <row r="136" spans="1:48" x14ac:dyDescent="0.15">
      <c r="A136" s="20" t="s">
        <v>56</v>
      </c>
      <c r="B136" s="20" t="s">
        <v>70</v>
      </c>
      <c r="C136" s="21">
        <v>0</v>
      </c>
      <c r="D136" s="21">
        <v>0</v>
      </c>
      <c r="E136" s="21">
        <v>0</v>
      </c>
      <c r="F136" s="21">
        <v>0</v>
      </c>
      <c r="AU136" s="21">
        <v>0</v>
      </c>
      <c r="AV136" s="21">
        <v>0</v>
      </c>
    </row>
    <row r="137" spans="1:48" x14ac:dyDescent="0.15">
      <c r="A137" s="20" t="s">
        <v>57</v>
      </c>
      <c r="B137" s="20" t="s">
        <v>70</v>
      </c>
      <c r="C137" s="21">
        <v>0</v>
      </c>
      <c r="D137" s="21">
        <v>296</v>
      </c>
      <c r="E137" s="21">
        <v>32596</v>
      </c>
      <c r="F137" s="21">
        <v>32892</v>
      </c>
      <c r="G137" s="21">
        <v>1523</v>
      </c>
      <c r="H137" s="21">
        <v>10760</v>
      </c>
      <c r="I137" s="21">
        <v>7474</v>
      </c>
      <c r="J137" s="21">
        <v>11452</v>
      </c>
      <c r="K137" s="21">
        <v>1682</v>
      </c>
      <c r="L137" s="21">
        <v>272</v>
      </c>
      <c r="M137" s="21">
        <v>0.6048</v>
      </c>
      <c r="N137" s="21">
        <v>0.59789999999999999</v>
      </c>
      <c r="O137" s="21">
        <v>0.1065</v>
      </c>
      <c r="P137" s="21">
        <v>200</v>
      </c>
      <c r="Q137" s="21">
        <v>1.0549999999999999</v>
      </c>
      <c r="R137" s="21">
        <v>132</v>
      </c>
      <c r="S137" s="21">
        <v>164</v>
      </c>
      <c r="T137" s="21">
        <v>9.2299999999999993E-2</v>
      </c>
      <c r="U137" s="21">
        <v>4.8099999999999997E-2</v>
      </c>
      <c r="AP137" s="21">
        <v>106</v>
      </c>
      <c r="AQ137" s="21">
        <v>106</v>
      </c>
      <c r="AR137" s="21">
        <v>100</v>
      </c>
      <c r="AS137" s="21">
        <v>6</v>
      </c>
      <c r="AU137" s="21">
        <v>0</v>
      </c>
      <c r="AV137" s="21">
        <v>0</v>
      </c>
    </row>
    <row r="138" spans="1:48" x14ac:dyDescent="0.15">
      <c r="A138" s="20" t="s">
        <v>58</v>
      </c>
      <c r="B138" s="20" t="s">
        <v>70</v>
      </c>
      <c r="C138" s="21">
        <v>0</v>
      </c>
      <c r="D138" s="21">
        <v>0</v>
      </c>
      <c r="E138" s="21">
        <v>0</v>
      </c>
      <c r="F138" s="21">
        <v>0</v>
      </c>
      <c r="AV138" s="21">
        <v>0</v>
      </c>
    </row>
    <row r="139" spans="1:48" x14ac:dyDescent="0.15">
      <c r="A139" s="20" t="s">
        <v>59</v>
      </c>
      <c r="B139" s="20" t="s">
        <v>70</v>
      </c>
      <c r="C139" s="21">
        <v>0</v>
      </c>
      <c r="D139" s="21">
        <v>0</v>
      </c>
      <c r="E139" s="21">
        <v>0</v>
      </c>
      <c r="F139" s="21">
        <v>0</v>
      </c>
    </row>
    <row r="140" spans="1:48" x14ac:dyDescent="0.15">
      <c r="A140" s="20" t="s">
        <v>60</v>
      </c>
      <c r="B140" s="20" t="s">
        <v>70</v>
      </c>
      <c r="C140" s="21">
        <v>0</v>
      </c>
      <c r="D140" s="21">
        <v>0</v>
      </c>
      <c r="E140" s="21">
        <v>5192</v>
      </c>
      <c r="F140" s="21">
        <v>5192</v>
      </c>
      <c r="H140" s="21">
        <v>3249</v>
      </c>
      <c r="I140" s="21">
        <v>0</v>
      </c>
      <c r="J140" s="21">
        <v>1943</v>
      </c>
      <c r="K140" s="21">
        <v>0</v>
      </c>
      <c r="L140" s="21">
        <v>93</v>
      </c>
      <c r="M140" s="21">
        <v>0.63919999999999999</v>
      </c>
      <c r="N140" s="21">
        <v>0.63919999999999999</v>
      </c>
      <c r="O140" s="21">
        <v>0</v>
      </c>
      <c r="P140" s="21">
        <v>0</v>
      </c>
      <c r="R140" s="21">
        <v>60</v>
      </c>
      <c r="T140" s="21">
        <v>4.7899999999999998E-2</v>
      </c>
      <c r="U140" s="21">
        <v>0</v>
      </c>
      <c r="AU140" s="21">
        <v>0</v>
      </c>
      <c r="AV140" s="21">
        <v>0</v>
      </c>
    </row>
    <row r="141" spans="1:48" x14ac:dyDescent="0.15">
      <c r="A141" s="20" t="s">
        <v>61</v>
      </c>
      <c r="B141" s="20" t="s">
        <v>70</v>
      </c>
      <c r="C141" s="21">
        <v>0</v>
      </c>
      <c r="D141" s="21">
        <v>2</v>
      </c>
      <c r="E141" s="21">
        <v>4019</v>
      </c>
      <c r="F141" s="21">
        <v>4022</v>
      </c>
      <c r="G141" s="21">
        <v>1351</v>
      </c>
      <c r="H141" s="21">
        <v>1016</v>
      </c>
      <c r="I141" s="21">
        <v>1515</v>
      </c>
      <c r="J141" s="21">
        <v>139</v>
      </c>
      <c r="L141" s="21">
        <v>48</v>
      </c>
      <c r="M141" s="21">
        <v>0.86270000000000002</v>
      </c>
      <c r="N141" s="21">
        <v>0.86270000000000002</v>
      </c>
      <c r="O141" s="21">
        <v>3.9199999999999999E-2</v>
      </c>
      <c r="P141" s="21">
        <v>0</v>
      </c>
      <c r="R141" s="21">
        <v>95</v>
      </c>
      <c r="T141" s="21">
        <v>0.1115</v>
      </c>
      <c r="U141" s="21">
        <v>6.7000000000000004E-2</v>
      </c>
      <c r="AU141" s="21">
        <v>0</v>
      </c>
      <c r="AV141" s="21">
        <v>0</v>
      </c>
    </row>
    <row r="142" spans="1:48" x14ac:dyDescent="0.15">
      <c r="A142" s="20" t="s">
        <v>48</v>
      </c>
      <c r="B142" s="20" t="s">
        <v>71</v>
      </c>
      <c r="C142" s="21">
        <v>0</v>
      </c>
      <c r="D142" s="21">
        <v>6</v>
      </c>
      <c r="E142" s="21">
        <v>6946</v>
      </c>
      <c r="F142" s="21">
        <v>6951</v>
      </c>
      <c r="H142" s="21">
        <v>3146</v>
      </c>
      <c r="I142" s="21">
        <v>1577</v>
      </c>
      <c r="J142" s="21">
        <v>2228</v>
      </c>
      <c r="K142" s="21">
        <v>0</v>
      </c>
      <c r="L142" s="21">
        <v>88</v>
      </c>
      <c r="M142" s="21">
        <v>0.72160000000000002</v>
      </c>
      <c r="N142" s="21">
        <v>0.71130000000000004</v>
      </c>
      <c r="O142" s="21">
        <v>5.1499999999999997E-2</v>
      </c>
      <c r="P142" s="21">
        <v>113</v>
      </c>
      <c r="Q142" s="21">
        <v>0.84960000000000002</v>
      </c>
      <c r="R142" s="21">
        <v>80</v>
      </c>
      <c r="S142" s="21">
        <v>62</v>
      </c>
      <c r="T142" s="21">
        <v>0.13639999999999999</v>
      </c>
      <c r="U142" s="21">
        <v>4.7999999999999996E-3</v>
      </c>
      <c r="AP142" s="21">
        <v>3</v>
      </c>
      <c r="AQ142" s="21">
        <v>3</v>
      </c>
      <c r="AR142" s="21">
        <v>3</v>
      </c>
      <c r="AS142" s="21">
        <v>0</v>
      </c>
      <c r="AU142" s="21">
        <v>0</v>
      </c>
      <c r="AV142" s="21">
        <v>0</v>
      </c>
    </row>
    <row r="143" spans="1:48" x14ac:dyDescent="0.15">
      <c r="A143" s="20" t="s">
        <v>50</v>
      </c>
      <c r="B143" s="20" t="s">
        <v>71</v>
      </c>
      <c r="C143" s="21">
        <v>0</v>
      </c>
      <c r="D143" s="21">
        <v>11</v>
      </c>
      <c r="E143" s="21">
        <v>6396</v>
      </c>
      <c r="F143" s="21">
        <v>6407</v>
      </c>
      <c r="H143" s="21">
        <v>6049</v>
      </c>
      <c r="I143" s="21">
        <v>348</v>
      </c>
      <c r="J143" s="21">
        <v>10</v>
      </c>
      <c r="K143" s="21">
        <v>0</v>
      </c>
      <c r="L143" s="21">
        <v>173</v>
      </c>
      <c r="M143" s="21">
        <v>0.73860000000000003</v>
      </c>
      <c r="N143" s="21">
        <v>0.73299999999999998</v>
      </c>
      <c r="O143" s="21">
        <v>5.6800000000000003E-2</v>
      </c>
      <c r="P143" s="21">
        <v>166</v>
      </c>
      <c r="Q143" s="21">
        <v>1.0542</v>
      </c>
      <c r="R143" s="21">
        <v>41</v>
      </c>
      <c r="S143" s="21">
        <v>39</v>
      </c>
      <c r="T143" s="21">
        <v>0.1709</v>
      </c>
      <c r="U143" s="21">
        <v>1.44E-2</v>
      </c>
      <c r="AU143" s="21">
        <v>0</v>
      </c>
      <c r="AV143" s="21">
        <v>0</v>
      </c>
    </row>
    <row r="144" spans="1:48" x14ac:dyDescent="0.15">
      <c r="A144" s="20" t="s">
        <v>51</v>
      </c>
      <c r="B144" s="20" t="s">
        <v>71</v>
      </c>
      <c r="C144" s="21">
        <v>0</v>
      </c>
      <c r="D144" s="21">
        <v>67</v>
      </c>
      <c r="E144" s="21">
        <v>4634</v>
      </c>
      <c r="F144" s="21">
        <v>4701</v>
      </c>
      <c r="G144" s="21">
        <v>141</v>
      </c>
      <c r="H144" s="21">
        <v>1909</v>
      </c>
      <c r="I144" s="21">
        <v>1677</v>
      </c>
      <c r="J144" s="21">
        <v>975</v>
      </c>
      <c r="K144" s="21">
        <v>0</v>
      </c>
      <c r="L144" s="21">
        <v>391</v>
      </c>
      <c r="M144" s="21">
        <v>0.32590000000000002</v>
      </c>
      <c r="N144" s="21">
        <v>0.32090000000000002</v>
      </c>
      <c r="O144" s="21">
        <v>0.107</v>
      </c>
      <c r="P144" s="21">
        <v>27</v>
      </c>
      <c r="Q144" s="21">
        <v>5.7037000000000004</v>
      </c>
      <c r="R144" s="21">
        <v>14</v>
      </c>
      <c r="S144" s="21">
        <v>174</v>
      </c>
      <c r="T144" s="21">
        <v>0.17879999999999999</v>
      </c>
      <c r="U144" s="21">
        <v>5.3199999999999997E-2</v>
      </c>
      <c r="AU144" s="21">
        <v>0</v>
      </c>
      <c r="AV144" s="21">
        <v>0</v>
      </c>
    </row>
    <row r="145" spans="1:48" x14ac:dyDescent="0.15">
      <c r="A145" s="20" t="s">
        <v>52</v>
      </c>
      <c r="B145" s="20" t="s">
        <v>71</v>
      </c>
      <c r="C145" s="21">
        <v>0</v>
      </c>
      <c r="D145" s="21">
        <v>3</v>
      </c>
      <c r="E145" s="21">
        <v>22947</v>
      </c>
      <c r="F145" s="21">
        <v>22950</v>
      </c>
      <c r="G145" s="21">
        <v>5354</v>
      </c>
      <c r="H145" s="21">
        <v>5585</v>
      </c>
      <c r="I145" s="21">
        <v>6849</v>
      </c>
      <c r="J145" s="21">
        <v>5162</v>
      </c>
      <c r="K145" s="21">
        <v>0</v>
      </c>
      <c r="L145" s="21">
        <v>319</v>
      </c>
      <c r="M145" s="21">
        <v>0.58699999999999997</v>
      </c>
      <c r="N145" s="21">
        <v>0.58699999999999997</v>
      </c>
      <c r="O145" s="21">
        <v>5.8999999999999999E-3</v>
      </c>
      <c r="P145" s="21">
        <v>151</v>
      </c>
      <c r="Q145" s="21">
        <v>1.7947</v>
      </c>
      <c r="R145" s="21">
        <v>74</v>
      </c>
      <c r="S145" s="21">
        <v>152</v>
      </c>
      <c r="T145" s="21">
        <v>0.13170000000000001</v>
      </c>
      <c r="U145" s="21">
        <v>1.06E-2</v>
      </c>
      <c r="AP145" s="21">
        <v>45</v>
      </c>
      <c r="AQ145" s="21">
        <v>45</v>
      </c>
      <c r="AR145" s="21">
        <v>3</v>
      </c>
      <c r="AS145" s="21">
        <v>42</v>
      </c>
      <c r="AU145" s="21">
        <v>0</v>
      </c>
      <c r="AV145" s="21">
        <v>0</v>
      </c>
    </row>
    <row r="146" spans="1:48" x14ac:dyDescent="0.15">
      <c r="A146" s="20" t="s">
        <v>53</v>
      </c>
      <c r="B146" s="20" t="s">
        <v>71</v>
      </c>
      <c r="C146" s="21">
        <v>0</v>
      </c>
      <c r="D146" s="21">
        <v>0</v>
      </c>
      <c r="E146" s="21">
        <v>0</v>
      </c>
      <c r="F146" s="21">
        <v>0</v>
      </c>
    </row>
    <row r="147" spans="1:48" x14ac:dyDescent="0.15">
      <c r="A147" s="20" t="s">
        <v>0</v>
      </c>
      <c r="B147" s="20" t="s">
        <v>71</v>
      </c>
      <c r="C147" s="21">
        <v>0</v>
      </c>
      <c r="D147" s="21">
        <v>353</v>
      </c>
      <c r="E147" s="21">
        <v>89040</v>
      </c>
      <c r="F147" s="21">
        <v>89393</v>
      </c>
      <c r="G147" s="21">
        <v>10509</v>
      </c>
      <c r="H147" s="21">
        <v>33178</v>
      </c>
      <c r="I147" s="21">
        <v>18580</v>
      </c>
      <c r="J147" s="21">
        <v>22213</v>
      </c>
      <c r="K147" s="21">
        <v>4812</v>
      </c>
      <c r="L147" s="21">
        <v>1444</v>
      </c>
      <c r="M147" s="21">
        <v>0.5857</v>
      </c>
      <c r="N147" s="21">
        <v>0.58299999999999996</v>
      </c>
      <c r="O147" s="21">
        <v>5.91E-2</v>
      </c>
      <c r="P147" s="21">
        <v>721</v>
      </c>
      <c r="Q147" s="21">
        <v>1.6588000000000001</v>
      </c>
      <c r="R147" s="21">
        <v>67</v>
      </c>
      <c r="S147" s="21">
        <v>124</v>
      </c>
      <c r="T147" s="21">
        <v>0.1187</v>
      </c>
      <c r="U147" s="21">
        <v>2.3199999999999998E-2</v>
      </c>
      <c r="AP147" s="21">
        <v>77</v>
      </c>
      <c r="AQ147" s="21">
        <v>77</v>
      </c>
      <c r="AR147" s="21">
        <v>28</v>
      </c>
      <c r="AS147" s="21">
        <v>48</v>
      </c>
      <c r="AU147" s="21">
        <v>0</v>
      </c>
      <c r="AV147" s="21">
        <v>0</v>
      </c>
    </row>
    <row r="148" spans="1:48" x14ac:dyDescent="0.15">
      <c r="A148" s="20" t="s">
        <v>54</v>
      </c>
      <c r="B148" s="20" t="s">
        <v>71</v>
      </c>
      <c r="C148" s="21">
        <v>0</v>
      </c>
      <c r="D148" s="21">
        <v>0</v>
      </c>
      <c r="E148" s="21">
        <v>0</v>
      </c>
      <c r="F148" s="21">
        <v>0</v>
      </c>
      <c r="AV148" s="21">
        <v>0</v>
      </c>
    </row>
    <row r="149" spans="1:48" x14ac:dyDescent="0.15">
      <c r="A149" s="20" t="s">
        <v>55</v>
      </c>
      <c r="B149" s="20" t="s">
        <v>71</v>
      </c>
      <c r="C149" s="21">
        <v>0</v>
      </c>
      <c r="D149" s="21">
        <v>0</v>
      </c>
      <c r="E149" s="21">
        <v>0</v>
      </c>
      <c r="F149" s="21">
        <v>0</v>
      </c>
    </row>
    <row r="150" spans="1:48" x14ac:dyDescent="0.15">
      <c r="A150" s="20" t="s">
        <v>56</v>
      </c>
      <c r="B150" s="20" t="s">
        <v>71</v>
      </c>
      <c r="C150" s="21">
        <v>0</v>
      </c>
      <c r="D150" s="21">
        <v>0</v>
      </c>
      <c r="E150" s="21">
        <v>0</v>
      </c>
      <c r="F150" s="21">
        <v>0</v>
      </c>
      <c r="AU150" s="21">
        <v>0</v>
      </c>
      <c r="AV150" s="21">
        <v>0</v>
      </c>
    </row>
    <row r="151" spans="1:48" x14ac:dyDescent="0.15">
      <c r="A151" s="20" t="s">
        <v>57</v>
      </c>
      <c r="B151" s="20" t="s">
        <v>71</v>
      </c>
      <c r="C151" s="21">
        <v>0</v>
      </c>
      <c r="D151" s="21">
        <v>266</v>
      </c>
      <c r="E151" s="21">
        <v>36098</v>
      </c>
      <c r="F151" s="21">
        <v>36363</v>
      </c>
      <c r="G151" s="21">
        <v>2833</v>
      </c>
      <c r="H151" s="21">
        <v>12508</v>
      </c>
      <c r="I151" s="21">
        <v>6703</v>
      </c>
      <c r="J151" s="21">
        <v>9406</v>
      </c>
      <c r="K151" s="21">
        <v>4812</v>
      </c>
      <c r="L151" s="21">
        <v>302</v>
      </c>
      <c r="M151" s="21">
        <v>0.69299999999999995</v>
      </c>
      <c r="N151" s="21">
        <v>0.69299999999999995</v>
      </c>
      <c r="O151" s="21">
        <v>8.8599999999999998E-2</v>
      </c>
      <c r="P151" s="21">
        <v>234</v>
      </c>
      <c r="Q151" s="21">
        <v>1.1709000000000001</v>
      </c>
      <c r="R151" s="21">
        <v>127</v>
      </c>
      <c r="S151" s="21">
        <v>155</v>
      </c>
      <c r="T151" s="21">
        <v>8.8700000000000001E-2</v>
      </c>
      <c r="U151" s="21">
        <v>3.3300000000000003E-2</v>
      </c>
      <c r="AP151" s="21">
        <v>28</v>
      </c>
      <c r="AQ151" s="21">
        <v>28</v>
      </c>
      <c r="AR151" s="21">
        <v>23</v>
      </c>
      <c r="AS151" s="21">
        <v>6</v>
      </c>
      <c r="AU151" s="21">
        <v>0</v>
      </c>
      <c r="AV151" s="21">
        <v>0</v>
      </c>
    </row>
    <row r="152" spans="1:48" x14ac:dyDescent="0.15">
      <c r="A152" s="20" t="s">
        <v>58</v>
      </c>
      <c r="B152" s="20" t="s">
        <v>71</v>
      </c>
      <c r="C152" s="21">
        <v>0</v>
      </c>
      <c r="D152" s="21">
        <v>0</v>
      </c>
      <c r="E152" s="21">
        <v>0</v>
      </c>
      <c r="F152" s="21">
        <v>0</v>
      </c>
      <c r="AV152" s="21">
        <v>0</v>
      </c>
    </row>
    <row r="153" spans="1:48" x14ac:dyDescent="0.15">
      <c r="A153" s="20" t="s">
        <v>59</v>
      </c>
      <c r="B153" s="20" t="s">
        <v>71</v>
      </c>
      <c r="C153" s="21">
        <v>0</v>
      </c>
      <c r="D153" s="21">
        <v>0</v>
      </c>
      <c r="E153" s="21">
        <v>0</v>
      </c>
      <c r="F153" s="21">
        <v>0</v>
      </c>
    </row>
    <row r="154" spans="1:48" x14ac:dyDescent="0.15">
      <c r="A154" s="20" t="s">
        <v>60</v>
      </c>
      <c r="B154" s="20" t="s">
        <v>71</v>
      </c>
      <c r="C154" s="21">
        <v>0</v>
      </c>
      <c r="D154" s="21">
        <v>1</v>
      </c>
      <c r="E154" s="21">
        <v>5987</v>
      </c>
      <c r="F154" s="21">
        <v>5988</v>
      </c>
      <c r="H154" s="21">
        <v>1941</v>
      </c>
      <c r="I154" s="21">
        <v>468</v>
      </c>
      <c r="J154" s="21">
        <v>3579</v>
      </c>
      <c r="K154" s="21">
        <v>0</v>
      </c>
      <c r="L154" s="21">
        <v>107</v>
      </c>
      <c r="M154" s="21">
        <v>0.68810000000000004</v>
      </c>
      <c r="N154" s="21">
        <v>0.68810000000000004</v>
      </c>
      <c r="O154" s="21">
        <v>9.1999999999999998E-3</v>
      </c>
      <c r="P154" s="21">
        <v>22</v>
      </c>
      <c r="Q154" s="21">
        <v>4.9545000000000003</v>
      </c>
      <c r="R154" s="21">
        <v>60</v>
      </c>
      <c r="S154" s="21">
        <v>272</v>
      </c>
      <c r="T154" s="21">
        <v>0.1041</v>
      </c>
      <c r="U154" s="21">
        <v>1.2999999999999999E-3</v>
      </c>
      <c r="AU154" s="21">
        <v>0</v>
      </c>
      <c r="AV154" s="21">
        <v>0</v>
      </c>
    </row>
    <row r="155" spans="1:48" x14ac:dyDescent="0.15">
      <c r="A155" s="20" t="s">
        <v>61</v>
      </c>
      <c r="B155" s="20" t="s">
        <v>71</v>
      </c>
      <c r="C155" s="21">
        <v>0</v>
      </c>
      <c r="D155" s="21">
        <v>0</v>
      </c>
      <c r="E155" s="21">
        <v>6032</v>
      </c>
      <c r="F155" s="21">
        <v>6032</v>
      </c>
      <c r="G155" s="21">
        <v>2181</v>
      </c>
      <c r="H155" s="21">
        <v>2040</v>
      </c>
      <c r="I155" s="21">
        <v>958</v>
      </c>
      <c r="J155" s="21">
        <v>853</v>
      </c>
      <c r="L155" s="21">
        <v>64</v>
      </c>
      <c r="M155" s="21">
        <v>0.86570000000000003</v>
      </c>
      <c r="N155" s="21">
        <v>0.86570000000000003</v>
      </c>
      <c r="O155" s="21">
        <v>0</v>
      </c>
      <c r="P155" s="21">
        <v>8</v>
      </c>
      <c r="Q155" s="21">
        <v>14.625</v>
      </c>
      <c r="R155" s="21">
        <v>108</v>
      </c>
      <c r="S155" s="21">
        <v>754</v>
      </c>
      <c r="T155" s="21">
        <v>0.12670000000000001</v>
      </c>
      <c r="U155" s="21">
        <v>2.41E-2</v>
      </c>
      <c r="AU155" s="21">
        <v>0</v>
      </c>
      <c r="AV155" s="21">
        <v>0</v>
      </c>
    </row>
    <row r="156" spans="1:48" x14ac:dyDescent="0.15">
      <c r="A156" s="20" t="s">
        <v>48</v>
      </c>
      <c r="B156" s="20" t="s">
        <v>72</v>
      </c>
      <c r="C156" s="21">
        <v>0</v>
      </c>
      <c r="D156" s="21">
        <v>15</v>
      </c>
      <c r="E156" s="21">
        <v>10311</v>
      </c>
      <c r="F156" s="21">
        <v>10326</v>
      </c>
      <c r="H156" s="21">
        <v>5470</v>
      </c>
      <c r="I156" s="21">
        <v>1985</v>
      </c>
      <c r="J156" s="21">
        <v>2707</v>
      </c>
      <c r="K156" s="21">
        <v>0</v>
      </c>
      <c r="L156" s="21">
        <v>113</v>
      </c>
      <c r="M156" s="21">
        <v>0.80830000000000002</v>
      </c>
      <c r="N156" s="21">
        <v>0.80830000000000002</v>
      </c>
      <c r="O156" s="21">
        <v>8.3299999999999999E-2</v>
      </c>
      <c r="P156" s="21">
        <v>183</v>
      </c>
      <c r="Q156" s="21">
        <v>0.82509999999999994</v>
      </c>
      <c r="R156" s="21">
        <v>103</v>
      </c>
      <c r="S156" s="21">
        <v>56</v>
      </c>
      <c r="T156" s="21">
        <v>0.1114</v>
      </c>
      <c r="U156" s="21">
        <v>4.7000000000000002E-3</v>
      </c>
      <c r="AP156" s="21">
        <v>6</v>
      </c>
      <c r="AQ156" s="21">
        <v>6</v>
      </c>
      <c r="AR156" s="21">
        <v>5</v>
      </c>
      <c r="AS156" s="21">
        <v>1</v>
      </c>
      <c r="AU156" s="21">
        <v>0</v>
      </c>
      <c r="AV156" s="21">
        <v>0</v>
      </c>
    </row>
    <row r="157" spans="1:48" x14ac:dyDescent="0.15">
      <c r="A157" s="20" t="s">
        <v>50</v>
      </c>
      <c r="B157" s="20" t="s">
        <v>72</v>
      </c>
      <c r="C157" s="21">
        <v>0</v>
      </c>
      <c r="D157" s="21">
        <v>20</v>
      </c>
      <c r="E157" s="21">
        <v>10324</v>
      </c>
      <c r="F157" s="21">
        <v>10344</v>
      </c>
      <c r="H157" s="21">
        <v>9564</v>
      </c>
      <c r="I157" s="21">
        <v>361</v>
      </c>
      <c r="J157" s="21">
        <v>418</v>
      </c>
      <c r="K157" s="21">
        <v>0</v>
      </c>
      <c r="L157" s="21">
        <v>165</v>
      </c>
      <c r="M157" s="21">
        <v>0.87980000000000003</v>
      </c>
      <c r="N157" s="21">
        <v>0.87429999999999997</v>
      </c>
      <c r="O157" s="21">
        <v>7.0999999999999994E-2</v>
      </c>
      <c r="P157" s="21">
        <v>182</v>
      </c>
      <c r="Q157" s="21">
        <v>1.2418</v>
      </c>
      <c r="R157" s="21">
        <v>61</v>
      </c>
      <c r="S157" s="21">
        <v>57</v>
      </c>
      <c r="T157" s="21">
        <v>0.1046</v>
      </c>
      <c r="U157" s="21">
        <v>1.52E-2</v>
      </c>
      <c r="AU157" s="21">
        <v>0</v>
      </c>
      <c r="AV157" s="21">
        <v>0</v>
      </c>
    </row>
    <row r="158" spans="1:48" x14ac:dyDescent="0.15">
      <c r="A158" s="20" t="s">
        <v>51</v>
      </c>
      <c r="B158" s="20" t="s">
        <v>72</v>
      </c>
      <c r="C158" s="21">
        <v>0</v>
      </c>
      <c r="D158" s="21">
        <v>34</v>
      </c>
      <c r="E158" s="21">
        <v>7568</v>
      </c>
      <c r="F158" s="21">
        <v>7602</v>
      </c>
      <c r="G158" s="21">
        <v>140</v>
      </c>
      <c r="H158" s="21">
        <v>2082</v>
      </c>
      <c r="I158" s="21">
        <v>2066</v>
      </c>
      <c r="J158" s="21">
        <v>3314</v>
      </c>
      <c r="K158" s="21">
        <v>0</v>
      </c>
      <c r="L158" s="21">
        <v>410</v>
      </c>
      <c r="M158" s="21">
        <v>0.37759999999999999</v>
      </c>
      <c r="N158" s="21">
        <v>0.373</v>
      </c>
      <c r="O158" s="21">
        <v>8.1600000000000006E-2</v>
      </c>
      <c r="P158" s="21">
        <v>175</v>
      </c>
      <c r="Q158" s="21">
        <v>1.1942999999999999</v>
      </c>
      <c r="R158" s="21">
        <v>19</v>
      </c>
      <c r="S158" s="21">
        <v>43</v>
      </c>
      <c r="T158" s="21">
        <v>0.1376</v>
      </c>
      <c r="U158" s="21">
        <v>3.3300000000000003E-2</v>
      </c>
      <c r="AU158" s="21">
        <v>0</v>
      </c>
      <c r="AV158" s="21">
        <v>0</v>
      </c>
    </row>
    <row r="159" spans="1:48" x14ac:dyDescent="0.15">
      <c r="A159" s="20" t="s">
        <v>52</v>
      </c>
      <c r="B159" s="20" t="s">
        <v>72</v>
      </c>
      <c r="C159" s="21">
        <v>0</v>
      </c>
      <c r="D159" s="21">
        <v>18</v>
      </c>
      <c r="E159" s="21">
        <v>22381</v>
      </c>
      <c r="F159" s="21">
        <v>22399</v>
      </c>
      <c r="G159" s="21">
        <v>6325</v>
      </c>
      <c r="H159" s="21">
        <v>5205</v>
      </c>
      <c r="I159" s="21">
        <v>4363</v>
      </c>
      <c r="J159" s="21">
        <v>6506</v>
      </c>
      <c r="K159" s="21">
        <v>0</v>
      </c>
      <c r="L159" s="21">
        <v>321</v>
      </c>
      <c r="M159" s="21">
        <v>0.71430000000000005</v>
      </c>
      <c r="N159" s="21">
        <v>0.71430000000000005</v>
      </c>
      <c r="O159" s="21">
        <v>2.92E-2</v>
      </c>
      <c r="P159" s="21">
        <v>181</v>
      </c>
      <c r="Q159" s="21">
        <v>1.768</v>
      </c>
      <c r="R159" s="21">
        <v>70</v>
      </c>
      <c r="S159" s="21">
        <v>124</v>
      </c>
      <c r="T159" s="21">
        <v>0.13950000000000001</v>
      </c>
      <c r="U159" s="21">
        <v>8.5000000000000006E-3</v>
      </c>
      <c r="AP159" s="21">
        <v>6</v>
      </c>
      <c r="AQ159" s="21">
        <v>6</v>
      </c>
      <c r="AR159" s="21">
        <v>6</v>
      </c>
      <c r="AS159" s="21">
        <v>1</v>
      </c>
      <c r="AU159" s="21">
        <v>0</v>
      </c>
      <c r="AV159" s="21">
        <v>0</v>
      </c>
    </row>
    <row r="160" spans="1:48" x14ac:dyDescent="0.15">
      <c r="A160" s="20" t="s">
        <v>53</v>
      </c>
      <c r="B160" s="20" t="s">
        <v>72</v>
      </c>
      <c r="C160" s="21">
        <v>0</v>
      </c>
      <c r="D160" s="21">
        <v>0</v>
      </c>
      <c r="E160" s="21">
        <v>0</v>
      </c>
      <c r="F160" s="21">
        <v>0</v>
      </c>
    </row>
    <row r="161" spans="1:48" x14ac:dyDescent="0.15">
      <c r="A161" s="20" t="s">
        <v>0</v>
      </c>
      <c r="B161" s="20" t="s">
        <v>72</v>
      </c>
      <c r="C161" s="21">
        <v>0</v>
      </c>
      <c r="D161" s="21">
        <v>356</v>
      </c>
      <c r="E161" s="21">
        <v>105003</v>
      </c>
      <c r="F161" s="21">
        <v>105360</v>
      </c>
      <c r="G161" s="21">
        <v>16184</v>
      </c>
      <c r="H161" s="21">
        <v>37685</v>
      </c>
      <c r="I161" s="21">
        <v>20378</v>
      </c>
      <c r="J161" s="21">
        <v>26720</v>
      </c>
      <c r="K161" s="21">
        <v>2185</v>
      </c>
      <c r="L161" s="21">
        <v>1521</v>
      </c>
      <c r="M161" s="21">
        <v>0.65680000000000005</v>
      </c>
      <c r="N161" s="21">
        <v>0.65310000000000001</v>
      </c>
      <c r="O161" s="21">
        <v>7.2400000000000006E-2</v>
      </c>
      <c r="P161" s="21">
        <v>1148</v>
      </c>
      <c r="Q161" s="21">
        <v>1.2605</v>
      </c>
      <c r="R161" s="21">
        <v>71</v>
      </c>
      <c r="S161" s="21">
        <v>92</v>
      </c>
      <c r="T161" s="21">
        <v>0.11459999999999999</v>
      </c>
      <c r="U161" s="21">
        <v>2.1600000000000001E-2</v>
      </c>
      <c r="AP161" s="21">
        <v>108</v>
      </c>
      <c r="AQ161" s="21">
        <v>108</v>
      </c>
      <c r="AR161" s="21">
        <v>106</v>
      </c>
      <c r="AS161" s="21">
        <v>2</v>
      </c>
      <c r="AU161" s="21">
        <v>0</v>
      </c>
      <c r="AV161" s="21">
        <v>0</v>
      </c>
    </row>
    <row r="162" spans="1:48" x14ac:dyDescent="0.15">
      <c r="A162" s="20" t="s">
        <v>54</v>
      </c>
      <c r="B162" s="20" t="s">
        <v>72</v>
      </c>
      <c r="C162" s="21">
        <v>0</v>
      </c>
      <c r="D162" s="21">
        <v>0</v>
      </c>
      <c r="E162" s="21">
        <v>0</v>
      </c>
      <c r="F162" s="21">
        <v>0</v>
      </c>
      <c r="AV162" s="21">
        <v>0</v>
      </c>
    </row>
    <row r="163" spans="1:48" x14ac:dyDescent="0.15">
      <c r="A163" s="20" t="s">
        <v>55</v>
      </c>
      <c r="B163" s="20" t="s">
        <v>72</v>
      </c>
      <c r="C163" s="21">
        <v>0</v>
      </c>
      <c r="D163" s="21">
        <v>0</v>
      </c>
      <c r="E163" s="21">
        <v>0</v>
      </c>
      <c r="F163" s="21">
        <v>0</v>
      </c>
    </row>
    <row r="164" spans="1:48" x14ac:dyDescent="0.15">
      <c r="A164" s="20" t="s">
        <v>56</v>
      </c>
      <c r="B164" s="20" t="s">
        <v>72</v>
      </c>
      <c r="C164" s="21">
        <v>0</v>
      </c>
      <c r="D164" s="21">
        <v>0</v>
      </c>
      <c r="E164" s="21">
        <v>0</v>
      </c>
      <c r="F164" s="21">
        <v>0</v>
      </c>
      <c r="AU164" s="21">
        <v>0</v>
      </c>
      <c r="AV164" s="21">
        <v>0</v>
      </c>
    </row>
    <row r="165" spans="1:48" x14ac:dyDescent="0.15">
      <c r="A165" s="20" t="s">
        <v>57</v>
      </c>
      <c r="B165" s="20" t="s">
        <v>72</v>
      </c>
      <c r="C165" s="21">
        <v>0</v>
      </c>
      <c r="D165" s="21">
        <v>250</v>
      </c>
      <c r="E165" s="21">
        <v>38003</v>
      </c>
      <c r="F165" s="21">
        <v>38254</v>
      </c>
      <c r="G165" s="21">
        <v>7464</v>
      </c>
      <c r="H165" s="21">
        <v>10681</v>
      </c>
      <c r="I165" s="21">
        <v>7963</v>
      </c>
      <c r="J165" s="21">
        <v>7918</v>
      </c>
      <c r="K165" s="21">
        <v>2185</v>
      </c>
      <c r="L165" s="21">
        <v>316</v>
      </c>
      <c r="M165" s="21">
        <v>0.72040000000000004</v>
      </c>
      <c r="N165" s="21">
        <v>0.71120000000000005</v>
      </c>
      <c r="O165" s="21">
        <v>0.12770000000000001</v>
      </c>
      <c r="P165" s="21">
        <v>236</v>
      </c>
      <c r="Q165" s="21">
        <v>1.2331000000000001</v>
      </c>
      <c r="R165" s="21">
        <v>124</v>
      </c>
      <c r="S165" s="21">
        <v>162</v>
      </c>
      <c r="T165" s="21">
        <v>9.9299999999999999E-2</v>
      </c>
      <c r="U165" s="21">
        <v>3.4299999999999997E-2</v>
      </c>
      <c r="AP165" s="21">
        <v>96</v>
      </c>
      <c r="AQ165" s="21">
        <v>96</v>
      </c>
      <c r="AR165" s="21">
        <v>95</v>
      </c>
      <c r="AS165" s="21">
        <v>0</v>
      </c>
      <c r="AU165" s="21">
        <v>0</v>
      </c>
      <c r="AV165" s="21">
        <v>0</v>
      </c>
    </row>
    <row r="166" spans="1:48" x14ac:dyDescent="0.15">
      <c r="A166" s="20" t="s">
        <v>58</v>
      </c>
      <c r="B166" s="20" t="s">
        <v>72</v>
      </c>
      <c r="C166" s="21">
        <v>0</v>
      </c>
      <c r="D166" s="21">
        <v>0</v>
      </c>
      <c r="E166" s="21">
        <v>0</v>
      </c>
      <c r="F166" s="21">
        <v>0</v>
      </c>
      <c r="AV166" s="21">
        <v>0</v>
      </c>
    </row>
    <row r="167" spans="1:48" x14ac:dyDescent="0.15">
      <c r="A167" s="20" t="s">
        <v>59</v>
      </c>
      <c r="B167" s="20" t="s">
        <v>72</v>
      </c>
      <c r="C167" s="21">
        <v>0</v>
      </c>
      <c r="D167" s="21">
        <v>0</v>
      </c>
      <c r="E167" s="21">
        <v>0</v>
      </c>
      <c r="F167" s="21">
        <v>0</v>
      </c>
    </row>
    <row r="168" spans="1:48" x14ac:dyDescent="0.15">
      <c r="A168" s="20" t="s">
        <v>60</v>
      </c>
      <c r="B168" s="20" t="s">
        <v>72</v>
      </c>
      <c r="C168" s="21">
        <v>0</v>
      </c>
      <c r="D168" s="21">
        <v>2</v>
      </c>
      <c r="E168" s="21">
        <v>8654</v>
      </c>
      <c r="F168" s="21">
        <v>8656</v>
      </c>
      <c r="H168" s="21">
        <v>2871</v>
      </c>
      <c r="I168" s="21">
        <v>2123</v>
      </c>
      <c r="J168" s="21">
        <v>3662</v>
      </c>
      <c r="K168" s="21">
        <v>0</v>
      </c>
      <c r="L168" s="21">
        <v>113</v>
      </c>
      <c r="M168" s="21">
        <v>0.67479999999999996</v>
      </c>
      <c r="N168" s="21">
        <v>0.67479999999999996</v>
      </c>
      <c r="O168" s="21">
        <v>1.6299999999999999E-2</v>
      </c>
      <c r="P168" s="21">
        <v>99</v>
      </c>
      <c r="Q168" s="21">
        <v>1.2625999999999999</v>
      </c>
      <c r="R168" s="21">
        <v>79</v>
      </c>
      <c r="S168" s="21">
        <v>87</v>
      </c>
      <c r="T168" s="21">
        <v>9.5899999999999999E-2</v>
      </c>
      <c r="U168" s="21">
        <v>1.9E-3</v>
      </c>
      <c r="AU168" s="21">
        <v>0</v>
      </c>
      <c r="AV168" s="21">
        <v>0</v>
      </c>
    </row>
    <row r="169" spans="1:48" x14ac:dyDescent="0.15">
      <c r="A169" s="20" t="s">
        <v>61</v>
      </c>
      <c r="B169" s="20" t="s">
        <v>72</v>
      </c>
      <c r="C169" s="21">
        <v>0</v>
      </c>
      <c r="D169" s="21">
        <v>18</v>
      </c>
      <c r="E169" s="21">
        <v>7761</v>
      </c>
      <c r="F169" s="21">
        <v>7779</v>
      </c>
      <c r="G169" s="21">
        <v>2256</v>
      </c>
      <c r="H169" s="21">
        <v>1812</v>
      </c>
      <c r="I169" s="21">
        <v>1517</v>
      </c>
      <c r="J169" s="21">
        <v>2195</v>
      </c>
      <c r="L169" s="21">
        <v>83</v>
      </c>
      <c r="M169" s="21">
        <v>0.85560000000000003</v>
      </c>
      <c r="N169" s="21">
        <v>0.85560000000000003</v>
      </c>
      <c r="O169" s="21">
        <v>5.5599999999999997E-2</v>
      </c>
      <c r="P169" s="21">
        <v>92</v>
      </c>
      <c r="Q169" s="21">
        <v>1.3587</v>
      </c>
      <c r="R169" s="21">
        <v>106</v>
      </c>
      <c r="S169" s="21">
        <v>85</v>
      </c>
      <c r="T169" s="21">
        <v>0.129</v>
      </c>
      <c r="U169" s="21">
        <v>2.1299999999999999E-2</v>
      </c>
      <c r="AU169" s="21">
        <v>0</v>
      </c>
      <c r="AV169" s="21">
        <v>0</v>
      </c>
    </row>
    <row r="170" spans="1:48" x14ac:dyDescent="0.15">
      <c r="A170" s="20" t="s">
        <v>48</v>
      </c>
      <c r="B170" s="20" t="s">
        <v>73</v>
      </c>
      <c r="C170" s="21">
        <v>0</v>
      </c>
      <c r="D170" s="21">
        <v>1</v>
      </c>
      <c r="E170" s="21">
        <v>8358</v>
      </c>
      <c r="F170" s="21">
        <v>8359</v>
      </c>
      <c r="H170" s="21">
        <v>5284</v>
      </c>
      <c r="I170" s="21">
        <v>1314</v>
      </c>
      <c r="J170" s="21">
        <v>1459</v>
      </c>
      <c r="K170" s="21">
        <v>0</v>
      </c>
      <c r="L170" s="21">
        <v>127</v>
      </c>
      <c r="M170" s="21">
        <v>0.77439999999999998</v>
      </c>
      <c r="N170" s="21">
        <v>0.77439999999999998</v>
      </c>
      <c r="O170" s="21">
        <v>2.2599999999999999E-2</v>
      </c>
      <c r="P170" s="21">
        <v>191</v>
      </c>
      <c r="Q170" s="21">
        <v>0.87960000000000005</v>
      </c>
      <c r="R170" s="21">
        <v>70</v>
      </c>
      <c r="S170" s="21">
        <v>44</v>
      </c>
      <c r="T170" s="21">
        <v>7.8600000000000003E-2</v>
      </c>
      <c r="U170" s="21">
        <v>4.1000000000000003E-3</v>
      </c>
      <c r="AP170" s="21">
        <v>5</v>
      </c>
      <c r="AQ170" s="21">
        <v>5</v>
      </c>
      <c r="AR170" s="21">
        <v>3</v>
      </c>
      <c r="AS170" s="21">
        <v>1</v>
      </c>
      <c r="AU170" s="21">
        <v>0</v>
      </c>
      <c r="AV170" s="21">
        <v>0</v>
      </c>
    </row>
    <row r="171" spans="1:48" x14ac:dyDescent="0.15">
      <c r="A171" s="20" t="s">
        <v>50</v>
      </c>
      <c r="B171" s="20" t="s">
        <v>73</v>
      </c>
      <c r="C171" s="21">
        <v>0</v>
      </c>
      <c r="D171" s="21">
        <v>3</v>
      </c>
      <c r="E171" s="21">
        <v>9916</v>
      </c>
      <c r="F171" s="21">
        <v>9919</v>
      </c>
      <c r="H171" s="21">
        <v>9470</v>
      </c>
      <c r="I171" s="21">
        <v>387</v>
      </c>
      <c r="J171" s="21">
        <v>62</v>
      </c>
      <c r="K171" s="21">
        <v>0</v>
      </c>
      <c r="L171" s="21">
        <v>184</v>
      </c>
      <c r="M171" s="21">
        <v>0.78310000000000002</v>
      </c>
      <c r="N171" s="21">
        <v>0.78310000000000002</v>
      </c>
      <c r="O171" s="21">
        <v>5.2900000000000003E-2</v>
      </c>
      <c r="P171" s="21">
        <v>213</v>
      </c>
      <c r="Q171" s="21">
        <v>1.1408</v>
      </c>
      <c r="R171" s="21">
        <v>57</v>
      </c>
      <c r="S171" s="21">
        <v>47</v>
      </c>
      <c r="T171" s="21">
        <v>0.14199999999999999</v>
      </c>
      <c r="U171" s="21">
        <v>1.4E-2</v>
      </c>
      <c r="AP171" s="21">
        <v>1</v>
      </c>
      <c r="AQ171" s="21">
        <v>1</v>
      </c>
      <c r="AS171" s="21">
        <v>1</v>
      </c>
      <c r="AU171" s="21">
        <v>0</v>
      </c>
      <c r="AV171" s="21">
        <v>0</v>
      </c>
    </row>
    <row r="172" spans="1:48" x14ac:dyDescent="0.15">
      <c r="A172" s="20" t="s">
        <v>51</v>
      </c>
      <c r="B172" s="20" t="s">
        <v>73</v>
      </c>
      <c r="C172" s="21">
        <v>0</v>
      </c>
      <c r="D172" s="21">
        <v>49</v>
      </c>
      <c r="E172" s="21">
        <v>8247</v>
      </c>
      <c r="F172" s="21">
        <v>8296</v>
      </c>
      <c r="G172" s="21">
        <v>100</v>
      </c>
      <c r="H172" s="21">
        <v>3052</v>
      </c>
      <c r="I172" s="21">
        <v>2554</v>
      </c>
      <c r="J172" s="21">
        <v>2590</v>
      </c>
      <c r="K172" s="21">
        <v>0</v>
      </c>
      <c r="L172" s="21">
        <v>435</v>
      </c>
      <c r="M172" s="21">
        <v>0.57709999999999995</v>
      </c>
      <c r="N172" s="21">
        <v>0.57050000000000001</v>
      </c>
      <c r="O172" s="21">
        <v>9.69E-2</v>
      </c>
      <c r="P172" s="21">
        <v>289</v>
      </c>
      <c r="Q172" s="21">
        <v>1.1073</v>
      </c>
      <c r="R172" s="21">
        <v>20</v>
      </c>
      <c r="S172" s="21">
        <v>29</v>
      </c>
      <c r="T172" s="21">
        <v>0.1226</v>
      </c>
      <c r="U172" s="21">
        <v>2.4799999999999999E-2</v>
      </c>
      <c r="AU172" s="21">
        <v>0</v>
      </c>
      <c r="AV172" s="21">
        <v>0</v>
      </c>
    </row>
    <row r="173" spans="1:48" x14ac:dyDescent="0.15">
      <c r="A173" s="20" t="s">
        <v>52</v>
      </c>
      <c r="B173" s="20" t="s">
        <v>73</v>
      </c>
      <c r="C173" s="21">
        <v>0</v>
      </c>
      <c r="D173" s="21">
        <v>26</v>
      </c>
      <c r="E173" s="21">
        <v>21907</v>
      </c>
      <c r="F173" s="21">
        <v>21933</v>
      </c>
      <c r="G173" s="21">
        <v>6880</v>
      </c>
      <c r="H173" s="21">
        <v>4182</v>
      </c>
      <c r="I173" s="21">
        <v>7033</v>
      </c>
      <c r="J173" s="21">
        <v>3837</v>
      </c>
      <c r="K173" s="21">
        <v>0</v>
      </c>
      <c r="L173" s="21">
        <v>313</v>
      </c>
      <c r="M173" s="21">
        <v>0.71299999999999997</v>
      </c>
      <c r="N173" s="21">
        <v>0.71299999999999997</v>
      </c>
      <c r="O173" s="21">
        <v>2.7199999999999998E-2</v>
      </c>
      <c r="P173" s="21">
        <v>184</v>
      </c>
      <c r="Q173" s="21">
        <v>1.7391000000000001</v>
      </c>
      <c r="R173" s="21">
        <v>69</v>
      </c>
      <c r="S173" s="21">
        <v>119</v>
      </c>
      <c r="T173" s="21">
        <v>0.12429999999999999</v>
      </c>
      <c r="U173" s="21">
        <v>2.2499999999999999E-2</v>
      </c>
      <c r="AP173" s="21">
        <v>60</v>
      </c>
      <c r="AQ173" s="21">
        <v>60</v>
      </c>
      <c r="AR173" s="21">
        <v>56</v>
      </c>
      <c r="AS173" s="21">
        <v>3</v>
      </c>
      <c r="AU173" s="21">
        <v>0</v>
      </c>
      <c r="AV173" s="21">
        <v>0</v>
      </c>
    </row>
    <row r="174" spans="1:48" x14ac:dyDescent="0.15">
      <c r="A174" s="20" t="s">
        <v>53</v>
      </c>
      <c r="B174" s="20" t="s">
        <v>73</v>
      </c>
      <c r="C174" s="21">
        <v>0</v>
      </c>
      <c r="D174" s="21">
        <v>0</v>
      </c>
      <c r="E174" s="21">
        <v>0</v>
      </c>
      <c r="F174" s="21">
        <v>0</v>
      </c>
    </row>
    <row r="175" spans="1:48" x14ac:dyDescent="0.15">
      <c r="A175" s="20" t="s">
        <v>0</v>
      </c>
      <c r="B175" s="20" t="s">
        <v>73</v>
      </c>
      <c r="C175" s="21">
        <v>0</v>
      </c>
      <c r="D175" s="21">
        <v>345</v>
      </c>
      <c r="E175" s="21">
        <v>91275</v>
      </c>
      <c r="F175" s="21">
        <v>91620</v>
      </c>
      <c r="G175" s="21">
        <v>17609</v>
      </c>
      <c r="H175" s="21">
        <v>32632</v>
      </c>
      <c r="I175" s="21">
        <v>18785</v>
      </c>
      <c r="J175" s="21">
        <v>17639</v>
      </c>
      <c r="K175" s="21">
        <v>2586</v>
      </c>
      <c r="L175" s="21">
        <v>1581</v>
      </c>
      <c r="M175" s="21">
        <v>0.69189999999999996</v>
      </c>
      <c r="N175" s="21">
        <v>0.68889999999999996</v>
      </c>
      <c r="O175" s="21">
        <v>6.8599999999999994E-2</v>
      </c>
      <c r="P175" s="21">
        <v>1345</v>
      </c>
      <c r="Q175" s="21">
        <v>1.1896</v>
      </c>
      <c r="R175" s="21">
        <v>59</v>
      </c>
      <c r="S175" s="21">
        <v>68</v>
      </c>
      <c r="T175" s="21">
        <v>0.1174</v>
      </c>
      <c r="U175" s="21">
        <v>2.9399999999999999E-2</v>
      </c>
      <c r="AP175" s="21">
        <v>318</v>
      </c>
      <c r="AQ175" s="21">
        <v>318</v>
      </c>
      <c r="AR175" s="21">
        <v>271</v>
      </c>
      <c r="AS175" s="21">
        <v>47</v>
      </c>
      <c r="AU175" s="21">
        <v>0</v>
      </c>
      <c r="AV175" s="21">
        <v>0</v>
      </c>
    </row>
    <row r="176" spans="1:48" x14ac:dyDescent="0.15">
      <c r="A176" s="20" t="s">
        <v>54</v>
      </c>
      <c r="B176" s="20" t="s">
        <v>73</v>
      </c>
      <c r="C176" s="21">
        <v>0</v>
      </c>
      <c r="D176" s="21">
        <v>0</v>
      </c>
      <c r="E176" s="21">
        <v>0</v>
      </c>
      <c r="F176" s="21">
        <v>0</v>
      </c>
      <c r="AV176" s="21">
        <v>0</v>
      </c>
    </row>
    <row r="177" spans="1:48" x14ac:dyDescent="0.15">
      <c r="A177" s="20" t="s">
        <v>55</v>
      </c>
      <c r="B177" s="20" t="s">
        <v>73</v>
      </c>
      <c r="C177" s="21">
        <v>0</v>
      </c>
      <c r="D177" s="21">
        <v>0</v>
      </c>
      <c r="E177" s="21">
        <v>0</v>
      </c>
      <c r="F177" s="21">
        <v>0</v>
      </c>
    </row>
    <row r="178" spans="1:48" x14ac:dyDescent="0.15">
      <c r="A178" s="20" t="s">
        <v>56</v>
      </c>
      <c r="B178" s="20" t="s">
        <v>73</v>
      </c>
      <c r="C178" s="21">
        <v>0</v>
      </c>
      <c r="D178" s="21">
        <v>0</v>
      </c>
      <c r="E178" s="21">
        <v>0</v>
      </c>
      <c r="F178" s="21">
        <v>0</v>
      </c>
      <c r="AU178" s="21">
        <v>0</v>
      </c>
      <c r="AV178" s="21">
        <v>0</v>
      </c>
    </row>
    <row r="179" spans="1:48" x14ac:dyDescent="0.15">
      <c r="A179" s="20" t="s">
        <v>57</v>
      </c>
      <c r="B179" s="20" t="s">
        <v>73</v>
      </c>
      <c r="C179" s="21">
        <v>0</v>
      </c>
      <c r="D179" s="21">
        <v>254</v>
      </c>
      <c r="E179" s="21">
        <v>31418</v>
      </c>
      <c r="F179" s="21">
        <v>31672</v>
      </c>
      <c r="G179" s="21">
        <v>9347</v>
      </c>
      <c r="H179" s="21">
        <v>5672</v>
      </c>
      <c r="I179" s="21">
        <v>5181</v>
      </c>
      <c r="J179" s="21">
        <v>6819</v>
      </c>
      <c r="K179" s="21">
        <v>2586</v>
      </c>
      <c r="L179" s="21">
        <v>305</v>
      </c>
      <c r="M179" s="21">
        <v>0.73309999999999997</v>
      </c>
      <c r="N179" s="21">
        <v>0.72699999999999998</v>
      </c>
      <c r="O179" s="21">
        <v>0.1166</v>
      </c>
      <c r="P179" s="21">
        <v>270</v>
      </c>
      <c r="Q179" s="21">
        <v>1.1704000000000001</v>
      </c>
      <c r="R179" s="21">
        <v>102</v>
      </c>
      <c r="S179" s="21">
        <v>117</v>
      </c>
      <c r="T179" s="21">
        <v>0.1019</v>
      </c>
      <c r="U179" s="21">
        <v>2.75E-2</v>
      </c>
      <c r="AP179" s="21">
        <v>252</v>
      </c>
      <c r="AQ179" s="21">
        <v>252</v>
      </c>
      <c r="AR179" s="21">
        <v>211</v>
      </c>
      <c r="AS179" s="21">
        <v>41</v>
      </c>
      <c r="AU179" s="21">
        <v>0</v>
      </c>
      <c r="AV179" s="21">
        <v>0</v>
      </c>
    </row>
    <row r="180" spans="1:48" x14ac:dyDescent="0.15">
      <c r="A180" s="20" t="s">
        <v>58</v>
      </c>
      <c r="B180" s="20" t="s">
        <v>73</v>
      </c>
      <c r="C180" s="21">
        <v>0</v>
      </c>
      <c r="D180" s="21">
        <v>0</v>
      </c>
      <c r="E180" s="21">
        <v>0</v>
      </c>
      <c r="F180" s="21">
        <v>0</v>
      </c>
      <c r="AV180" s="21">
        <v>0</v>
      </c>
    </row>
    <row r="181" spans="1:48" x14ac:dyDescent="0.15">
      <c r="A181" s="20" t="s">
        <v>59</v>
      </c>
      <c r="B181" s="20" t="s">
        <v>73</v>
      </c>
      <c r="C181" s="21">
        <v>0</v>
      </c>
      <c r="D181" s="21">
        <v>0</v>
      </c>
      <c r="E181" s="21">
        <v>0</v>
      </c>
      <c r="F181" s="21">
        <v>0</v>
      </c>
    </row>
    <row r="182" spans="1:48" x14ac:dyDescent="0.15">
      <c r="A182" s="20" t="s">
        <v>60</v>
      </c>
      <c r="B182" s="20" t="s">
        <v>73</v>
      </c>
      <c r="C182" s="21">
        <v>0</v>
      </c>
      <c r="D182" s="21">
        <v>5</v>
      </c>
      <c r="E182" s="21">
        <v>5571</v>
      </c>
      <c r="F182" s="21">
        <v>5576</v>
      </c>
      <c r="H182" s="21">
        <v>3472</v>
      </c>
      <c r="I182" s="21">
        <v>735</v>
      </c>
      <c r="J182" s="21">
        <v>1369</v>
      </c>
      <c r="K182" s="21">
        <v>0</v>
      </c>
      <c r="L182" s="21">
        <v>118</v>
      </c>
      <c r="M182" s="21">
        <v>0.66930000000000001</v>
      </c>
      <c r="N182" s="21">
        <v>0.66930000000000001</v>
      </c>
      <c r="O182" s="21">
        <v>3.9399999999999998E-2</v>
      </c>
      <c r="P182" s="21">
        <v>100</v>
      </c>
      <c r="Q182" s="21">
        <v>1.17</v>
      </c>
      <c r="R182" s="21">
        <v>48</v>
      </c>
      <c r="S182" s="21">
        <v>56</v>
      </c>
      <c r="T182" s="21">
        <v>0.1147</v>
      </c>
      <c r="U182" s="21">
        <v>0.1275</v>
      </c>
      <c r="AU182" s="21">
        <v>0</v>
      </c>
      <c r="AV182" s="21">
        <v>0</v>
      </c>
    </row>
    <row r="183" spans="1:48" x14ac:dyDescent="0.15">
      <c r="A183" s="20" t="s">
        <v>61</v>
      </c>
      <c r="B183" s="20" t="s">
        <v>73</v>
      </c>
      <c r="C183" s="21">
        <v>0</v>
      </c>
      <c r="D183" s="21">
        <v>8</v>
      </c>
      <c r="E183" s="21">
        <v>5857</v>
      </c>
      <c r="F183" s="21">
        <v>5865</v>
      </c>
      <c r="G183" s="21">
        <v>1282</v>
      </c>
      <c r="H183" s="21">
        <v>1499</v>
      </c>
      <c r="I183" s="21">
        <v>1581</v>
      </c>
      <c r="J183" s="21">
        <v>1503</v>
      </c>
      <c r="L183" s="21">
        <v>99</v>
      </c>
      <c r="M183" s="21">
        <v>0.75490000000000002</v>
      </c>
      <c r="N183" s="21">
        <v>0.75490000000000002</v>
      </c>
      <c r="O183" s="21">
        <v>4.9000000000000002E-2</v>
      </c>
      <c r="P183" s="21">
        <v>98</v>
      </c>
      <c r="Q183" s="21">
        <v>1.1837</v>
      </c>
      <c r="R183" s="21">
        <v>64</v>
      </c>
      <c r="S183" s="21">
        <v>60</v>
      </c>
      <c r="T183" s="21">
        <v>0.1744</v>
      </c>
      <c r="U183" s="21">
        <v>6.6500000000000004E-2</v>
      </c>
      <c r="AU183" s="21">
        <v>0</v>
      </c>
      <c r="AV183" s="21">
        <v>0</v>
      </c>
    </row>
    <row r="184" spans="1:48" x14ac:dyDescent="0.15">
      <c r="A184" s="20" t="s">
        <v>48</v>
      </c>
      <c r="B184" s="20" t="s">
        <v>74</v>
      </c>
      <c r="C184" s="21">
        <v>0</v>
      </c>
      <c r="D184" s="21">
        <v>2</v>
      </c>
      <c r="E184" s="21">
        <v>11191</v>
      </c>
      <c r="F184" s="21">
        <v>11193</v>
      </c>
      <c r="H184" s="21">
        <v>5467</v>
      </c>
      <c r="I184" s="21">
        <v>3323</v>
      </c>
      <c r="J184" s="21">
        <v>1664</v>
      </c>
      <c r="K184" s="21">
        <v>0</v>
      </c>
      <c r="L184" s="21">
        <v>141</v>
      </c>
      <c r="M184" s="21">
        <v>0.73380000000000001</v>
      </c>
      <c r="N184" s="21">
        <v>0.73380000000000001</v>
      </c>
      <c r="O184" s="21">
        <v>3.2500000000000001E-2</v>
      </c>
      <c r="P184" s="21">
        <v>236</v>
      </c>
      <c r="Q184" s="21">
        <v>0.79659999999999997</v>
      </c>
      <c r="R184" s="21">
        <v>84</v>
      </c>
      <c r="S184" s="21">
        <v>47</v>
      </c>
      <c r="T184" s="21">
        <v>0.09</v>
      </c>
      <c r="U184" s="21">
        <v>4.3E-3</v>
      </c>
      <c r="AP184" s="21">
        <v>17</v>
      </c>
      <c r="AQ184" s="21">
        <v>17</v>
      </c>
      <c r="AR184" s="21">
        <v>11</v>
      </c>
      <c r="AS184" s="21">
        <v>7</v>
      </c>
      <c r="AU184" s="21">
        <v>0</v>
      </c>
      <c r="AV184" s="21">
        <v>0</v>
      </c>
    </row>
    <row r="185" spans="1:48" x14ac:dyDescent="0.15">
      <c r="A185" s="20" t="s">
        <v>50</v>
      </c>
      <c r="B185" s="20" t="s">
        <v>74</v>
      </c>
      <c r="C185" s="21">
        <v>0</v>
      </c>
      <c r="D185" s="21">
        <v>4</v>
      </c>
      <c r="E185" s="21">
        <v>10018</v>
      </c>
      <c r="F185" s="21">
        <v>10022</v>
      </c>
      <c r="H185" s="21">
        <v>8979</v>
      </c>
      <c r="I185" s="21">
        <v>939</v>
      </c>
      <c r="J185" s="21">
        <v>104</v>
      </c>
      <c r="K185" s="21">
        <v>0</v>
      </c>
      <c r="L185" s="21">
        <v>202</v>
      </c>
      <c r="M185" s="21">
        <v>0.79720000000000002</v>
      </c>
      <c r="N185" s="21">
        <v>0.79720000000000002</v>
      </c>
      <c r="O185" s="21">
        <v>2.3599999999999999E-2</v>
      </c>
      <c r="P185" s="21">
        <v>223</v>
      </c>
      <c r="Q185" s="21">
        <v>1.0851999999999999</v>
      </c>
      <c r="R185" s="21">
        <v>52</v>
      </c>
      <c r="S185" s="21">
        <v>45</v>
      </c>
      <c r="T185" s="21">
        <v>0.13350000000000001</v>
      </c>
      <c r="U185" s="21">
        <v>2.64E-2</v>
      </c>
      <c r="AP185" s="21">
        <v>63</v>
      </c>
      <c r="AQ185" s="21">
        <v>63</v>
      </c>
      <c r="AS185" s="21">
        <v>63</v>
      </c>
      <c r="AU185" s="21">
        <v>0</v>
      </c>
      <c r="AV185" s="21">
        <v>0</v>
      </c>
    </row>
    <row r="186" spans="1:48" x14ac:dyDescent="0.15">
      <c r="A186" s="20" t="s">
        <v>51</v>
      </c>
      <c r="B186" s="20" t="s">
        <v>74</v>
      </c>
      <c r="C186" s="21">
        <v>0</v>
      </c>
      <c r="D186" s="21">
        <v>54</v>
      </c>
      <c r="E186" s="21">
        <v>15019</v>
      </c>
      <c r="F186" s="21">
        <v>15074</v>
      </c>
      <c r="G186" s="21">
        <v>262</v>
      </c>
      <c r="H186" s="21">
        <v>6108</v>
      </c>
      <c r="I186" s="21">
        <v>4919</v>
      </c>
      <c r="J186" s="21">
        <v>3786</v>
      </c>
      <c r="K186" s="21">
        <v>0</v>
      </c>
      <c r="L186" s="21">
        <v>530</v>
      </c>
      <c r="M186" s="21">
        <v>0.5897</v>
      </c>
      <c r="N186" s="21">
        <v>0.58789999999999998</v>
      </c>
      <c r="O186" s="21">
        <v>6.7799999999999999E-2</v>
      </c>
      <c r="P186" s="21">
        <v>440</v>
      </c>
      <c r="Q186" s="21">
        <v>1.0408999999999999</v>
      </c>
      <c r="R186" s="21">
        <v>31</v>
      </c>
      <c r="S186" s="21">
        <v>34</v>
      </c>
      <c r="T186" s="21">
        <v>0.1467</v>
      </c>
      <c r="U186" s="21">
        <v>1.5900000000000001E-2</v>
      </c>
      <c r="AU186" s="21">
        <v>0</v>
      </c>
      <c r="AV186" s="21">
        <v>0</v>
      </c>
    </row>
    <row r="187" spans="1:48" x14ac:dyDescent="0.15">
      <c r="A187" s="20" t="s">
        <v>52</v>
      </c>
      <c r="B187" s="20" t="s">
        <v>74</v>
      </c>
      <c r="C187" s="21">
        <v>0</v>
      </c>
      <c r="D187" s="21">
        <v>49</v>
      </c>
      <c r="E187" s="21">
        <v>23939</v>
      </c>
      <c r="F187" s="21">
        <v>23988</v>
      </c>
      <c r="G187" s="21">
        <v>8524</v>
      </c>
      <c r="H187" s="21">
        <v>5109</v>
      </c>
      <c r="I187" s="21">
        <v>6233</v>
      </c>
      <c r="J187" s="21">
        <v>4122</v>
      </c>
      <c r="K187" s="21">
        <v>0</v>
      </c>
      <c r="L187" s="21">
        <v>317</v>
      </c>
      <c r="M187" s="21">
        <v>0.66569999999999996</v>
      </c>
      <c r="N187" s="21">
        <v>0.66569999999999996</v>
      </c>
      <c r="O187" s="21">
        <v>4.1799999999999997E-2</v>
      </c>
      <c r="P187" s="21">
        <v>212</v>
      </c>
      <c r="Q187" s="21">
        <v>1.5991</v>
      </c>
      <c r="R187" s="21">
        <v>76</v>
      </c>
      <c r="S187" s="21">
        <v>113</v>
      </c>
      <c r="T187" s="21">
        <v>0.12720000000000001</v>
      </c>
      <c r="U187" s="21">
        <v>2.4400000000000002E-2</v>
      </c>
      <c r="AP187" s="21">
        <v>42</v>
      </c>
      <c r="AQ187" s="21">
        <v>42</v>
      </c>
      <c r="AR187" s="21">
        <v>12</v>
      </c>
      <c r="AS187" s="21">
        <v>30</v>
      </c>
      <c r="AU187" s="21">
        <v>0</v>
      </c>
      <c r="AV187" s="21">
        <v>0</v>
      </c>
    </row>
    <row r="188" spans="1:48" x14ac:dyDescent="0.15">
      <c r="A188" s="20" t="s">
        <v>53</v>
      </c>
      <c r="B188" s="20" t="s">
        <v>74</v>
      </c>
      <c r="C188" s="21">
        <v>0</v>
      </c>
      <c r="D188" s="21">
        <v>0</v>
      </c>
      <c r="E188" s="21">
        <v>0</v>
      </c>
      <c r="F188" s="21">
        <v>0</v>
      </c>
    </row>
    <row r="189" spans="1:48" x14ac:dyDescent="0.15">
      <c r="A189" s="20" t="s">
        <v>0</v>
      </c>
      <c r="B189" s="20" t="s">
        <v>74</v>
      </c>
      <c r="C189" s="21">
        <v>0</v>
      </c>
      <c r="D189" s="21">
        <v>283</v>
      </c>
      <c r="E189" s="21">
        <v>114930</v>
      </c>
      <c r="F189" s="21">
        <v>115213</v>
      </c>
      <c r="G189" s="21">
        <v>26443</v>
      </c>
      <c r="H189" s="21">
        <v>37485</v>
      </c>
      <c r="I189" s="21">
        <v>26860</v>
      </c>
      <c r="J189" s="21">
        <v>20544</v>
      </c>
      <c r="K189" s="21">
        <v>1674</v>
      </c>
      <c r="L189" s="21">
        <v>1746</v>
      </c>
      <c r="M189" s="21">
        <v>0.69889999999999997</v>
      </c>
      <c r="N189" s="21">
        <v>0.69720000000000004</v>
      </c>
      <c r="O189" s="21">
        <v>5.5599999999999997E-2</v>
      </c>
      <c r="P189" s="21">
        <v>1621</v>
      </c>
      <c r="Q189" s="21">
        <v>1.1474</v>
      </c>
      <c r="R189" s="21">
        <v>69</v>
      </c>
      <c r="S189" s="21">
        <v>71</v>
      </c>
      <c r="T189" s="21">
        <v>0.1212</v>
      </c>
      <c r="U189" s="21">
        <v>2.6599999999999999E-2</v>
      </c>
      <c r="AP189" s="21">
        <v>313</v>
      </c>
      <c r="AQ189" s="21">
        <v>313</v>
      </c>
      <c r="AR189" s="21">
        <v>191</v>
      </c>
      <c r="AS189" s="21">
        <v>123</v>
      </c>
      <c r="AU189" s="21">
        <v>0</v>
      </c>
      <c r="AV189" s="21">
        <v>0</v>
      </c>
    </row>
    <row r="190" spans="1:48" x14ac:dyDescent="0.15">
      <c r="A190" s="20" t="s">
        <v>54</v>
      </c>
      <c r="B190" s="20" t="s">
        <v>74</v>
      </c>
      <c r="C190" s="21">
        <v>0</v>
      </c>
      <c r="D190" s="21">
        <v>0</v>
      </c>
      <c r="E190" s="21">
        <v>0</v>
      </c>
      <c r="F190" s="21">
        <v>0</v>
      </c>
      <c r="AV190" s="21">
        <v>0</v>
      </c>
    </row>
    <row r="191" spans="1:48" x14ac:dyDescent="0.15">
      <c r="A191" s="20" t="s">
        <v>55</v>
      </c>
      <c r="B191" s="20" t="s">
        <v>74</v>
      </c>
      <c r="C191" s="21">
        <v>0</v>
      </c>
      <c r="D191" s="21">
        <v>0</v>
      </c>
      <c r="E191" s="21">
        <v>0</v>
      </c>
      <c r="F191" s="21">
        <v>0</v>
      </c>
    </row>
    <row r="192" spans="1:48" x14ac:dyDescent="0.15">
      <c r="A192" s="20" t="s">
        <v>56</v>
      </c>
      <c r="B192" s="20" t="s">
        <v>74</v>
      </c>
      <c r="C192" s="21">
        <v>0</v>
      </c>
      <c r="D192" s="21">
        <v>0</v>
      </c>
      <c r="E192" s="21">
        <v>0</v>
      </c>
      <c r="F192" s="21">
        <v>0</v>
      </c>
      <c r="AU192" s="21">
        <v>0</v>
      </c>
      <c r="AV192" s="21">
        <v>0</v>
      </c>
    </row>
    <row r="193" spans="1:48" x14ac:dyDescent="0.15">
      <c r="A193" s="20" t="s">
        <v>57</v>
      </c>
      <c r="B193" s="20" t="s">
        <v>74</v>
      </c>
      <c r="C193" s="21">
        <v>0</v>
      </c>
      <c r="D193" s="21">
        <v>156</v>
      </c>
      <c r="E193" s="21">
        <v>39516</v>
      </c>
      <c r="F193" s="21">
        <v>39672</v>
      </c>
      <c r="G193" s="21">
        <v>16001</v>
      </c>
      <c r="H193" s="21">
        <v>6841</v>
      </c>
      <c r="I193" s="21">
        <v>5875</v>
      </c>
      <c r="J193" s="21">
        <v>7813</v>
      </c>
      <c r="K193" s="21">
        <v>1674</v>
      </c>
      <c r="L193" s="21">
        <v>323</v>
      </c>
      <c r="M193" s="21">
        <v>0.77449999999999997</v>
      </c>
      <c r="N193" s="21">
        <v>0.76849999999999996</v>
      </c>
      <c r="O193" s="21">
        <v>9.5000000000000001E-2</v>
      </c>
      <c r="P193" s="21">
        <v>284</v>
      </c>
      <c r="Q193" s="21">
        <v>1.2641</v>
      </c>
      <c r="R193" s="21">
        <v>126</v>
      </c>
      <c r="S193" s="21">
        <v>140</v>
      </c>
      <c r="T193" s="21">
        <v>0.1065</v>
      </c>
      <c r="U193" s="21">
        <v>2.4E-2</v>
      </c>
      <c r="AP193" s="21">
        <v>191</v>
      </c>
      <c r="AQ193" s="21">
        <v>191</v>
      </c>
      <c r="AR193" s="21">
        <v>168</v>
      </c>
      <c r="AS193" s="21">
        <v>23</v>
      </c>
      <c r="AU193" s="21">
        <v>0</v>
      </c>
      <c r="AV193" s="21">
        <v>0</v>
      </c>
    </row>
    <row r="194" spans="1:48" x14ac:dyDescent="0.15">
      <c r="A194" s="20" t="s">
        <v>58</v>
      </c>
      <c r="B194" s="20" t="s">
        <v>74</v>
      </c>
      <c r="C194" s="21">
        <v>0</v>
      </c>
      <c r="D194" s="21">
        <v>0</v>
      </c>
      <c r="E194" s="21">
        <v>0</v>
      </c>
      <c r="F194" s="21">
        <v>0</v>
      </c>
      <c r="AV194" s="21">
        <v>0</v>
      </c>
    </row>
    <row r="195" spans="1:48" x14ac:dyDescent="0.15">
      <c r="A195" s="20" t="s">
        <v>59</v>
      </c>
      <c r="B195" s="20" t="s">
        <v>74</v>
      </c>
      <c r="C195" s="21">
        <v>0</v>
      </c>
      <c r="D195" s="21">
        <v>0</v>
      </c>
      <c r="E195" s="21">
        <v>0</v>
      </c>
      <c r="F195" s="21">
        <v>0</v>
      </c>
    </row>
    <row r="196" spans="1:48" x14ac:dyDescent="0.15">
      <c r="A196" s="20" t="s">
        <v>60</v>
      </c>
      <c r="B196" s="20" t="s">
        <v>74</v>
      </c>
      <c r="C196" s="21">
        <v>0</v>
      </c>
      <c r="D196" s="21">
        <v>1</v>
      </c>
      <c r="E196" s="21">
        <v>8407</v>
      </c>
      <c r="F196" s="21">
        <v>8408</v>
      </c>
      <c r="H196" s="21">
        <v>2641</v>
      </c>
      <c r="I196" s="21">
        <v>3739</v>
      </c>
      <c r="J196" s="21">
        <v>2028</v>
      </c>
      <c r="K196" s="21">
        <v>0</v>
      </c>
      <c r="L196" s="21">
        <v>127</v>
      </c>
      <c r="M196" s="21">
        <v>0.8</v>
      </c>
      <c r="N196" s="21">
        <v>0.8</v>
      </c>
      <c r="O196" s="21">
        <v>2.3099999999999999E-2</v>
      </c>
      <c r="P196" s="21">
        <v>120</v>
      </c>
      <c r="Q196" s="21">
        <v>1.2333000000000001</v>
      </c>
      <c r="R196" s="21">
        <v>69</v>
      </c>
      <c r="S196" s="21">
        <v>70</v>
      </c>
      <c r="T196" s="21">
        <v>0.13150000000000001</v>
      </c>
      <c r="U196" s="21">
        <v>8.3099999999999993E-2</v>
      </c>
      <c r="AU196" s="21">
        <v>0</v>
      </c>
      <c r="AV196" s="21">
        <v>0</v>
      </c>
    </row>
    <row r="197" spans="1:48" x14ac:dyDescent="0.15">
      <c r="A197" s="20" t="s">
        <v>61</v>
      </c>
      <c r="B197" s="20" t="s">
        <v>74</v>
      </c>
      <c r="C197" s="21">
        <v>0</v>
      </c>
      <c r="D197" s="21">
        <v>17</v>
      </c>
      <c r="E197" s="21">
        <v>6840</v>
      </c>
      <c r="F197" s="21">
        <v>6857</v>
      </c>
      <c r="G197" s="21">
        <v>1656</v>
      </c>
      <c r="H197" s="21">
        <v>2342</v>
      </c>
      <c r="I197" s="21">
        <v>1832</v>
      </c>
      <c r="J197" s="21">
        <v>1028</v>
      </c>
      <c r="L197" s="21">
        <v>106</v>
      </c>
      <c r="M197" s="21">
        <v>0.74790000000000001</v>
      </c>
      <c r="N197" s="21">
        <v>0.74790000000000001</v>
      </c>
      <c r="O197" s="21">
        <v>5.04E-2</v>
      </c>
      <c r="P197" s="21">
        <v>106</v>
      </c>
      <c r="Q197" s="21">
        <v>1.1887000000000001</v>
      </c>
      <c r="R197" s="21">
        <v>67</v>
      </c>
      <c r="S197" s="21">
        <v>65</v>
      </c>
      <c r="T197" s="21">
        <v>0.1434</v>
      </c>
      <c r="U197" s="21">
        <v>5.5899999999999998E-2</v>
      </c>
      <c r="AU197" s="21">
        <v>0</v>
      </c>
      <c r="AV197" s="21">
        <v>0</v>
      </c>
    </row>
    <row r="198" spans="1:48" x14ac:dyDescent="0.15">
      <c r="A198" s="20" t="s">
        <v>48</v>
      </c>
      <c r="B198" s="20" t="s">
        <v>75</v>
      </c>
      <c r="C198" s="21">
        <v>0</v>
      </c>
      <c r="D198" s="21">
        <v>9</v>
      </c>
      <c r="E198" s="21">
        <v>17486</v>
      </c>
      <c r="F198" s="21">
        <v>17495</v>
      </c>
      <c r="H198" s="21">
        <v>7416</v>
      </c>
      <c r="I198" s="21">
        <v>4439</v>
      </c>
      <c r="J198" s="21">
        <v>3047</v>
      </c>
      <c r="K198" s="21">
        <v>0</v>
      </c>
      <c r="L198" s="21">
        <v>179</v>
      </c>
      <c r="M198" s="21">
        <v>0.80330000000000001</v>
      </c>
      <c r="N198" s="21">
        <v>0.80330000000000001</v>
      </c>
      <c r="O198" s="21">
        <v>2.7300000000000001E-2</v>
      </c>
      <c r="P198" s="21">
        <v>314</v>
      </c>
      <c r="Q198" s="21">
        <v>0.8599</v>
      </c>
      <c r="R198" s="21">
        <v>109</v>
      </c>
      <c r="S198" s="21">
        <v>56</v>
      </c>
      <c r="T198" s="21">
        <v>0.1106</v>
      </c>
      <c r="U198" s="21">
        <v>4.4999999999999997E-3</v>
      </c>
      <c r="AP198" s="21">
        <v>13</v>
      </c>
      <c r="AQ198" s="21">
        <v>13</v>
      </c>
      <c r="AR198" s="21">
        <v>5</v>
      </c>
      <c r="AS198" s="21">
        <v>7</v>
      </c>
      <c r="AU198" s="21">
        <v>0</v>
      </c>
      <c r="AV198" s="21">
        <v>0</v>
      </c>
    </row>
    <row r="199" spans="1:48" x14ac:dyDescent="0.15">
      <c r="A199" s="20" t="s">
        <v>50</v>
      </c>
      <c r="B199" s="20" t="s">
        <v>75</v>
      </c>
      <c r="C199" s="21">
        <v>0</v>
      </c>
      <c r="D199" s="21">
        <v>14</v>
      </c>
      <c r="E199" s="21">
        <v>11100</v>
      </c>
      <c r="F199" s="21">
        <v>11114</v>
      </c>
      <c r="H199" s="21">
        <v>8856</v>
      </c>
      <c r="I199" s="21">
        <v>2244</v>
      </c>
      <c r="J199" s="21">
        <v>14</v>
      </c>
      <c r="K199" s="21">
        <v>0</v>
      </c>
      <c r="L199" s="21">
        <v>221</v>
      </c>
      <c r="M199" s="21">
        <v>0.79400000000000004</v>
      </c>
      <c r="N199" s="21">
        <v>0.79400000000000004</v>
      </c>
      <c r="O199" s="21">
        <v>4.7199999999999999E-2</v>
      </c>
      <c r="P199" s="21">
        <v>241</v>
      </c>
      <c r="Q199" s="21">
        <v>1.1036999999999999</v>
      </c>
      <c r="R199" s="21">
        <v>53</v>
      </c>
      <c r="S199" s="21">
        <v>46</v>
      </c>
      <c r="T199" s="21">
        <v>0.14680000000000001</v>
      </c>
      <c r="U199" s="21">
        <v>2.2700000000000001E-2</v>
      </c>
      <c r="AP199" s="21">
        <v>8</v>
      </c>
      <c r="AQ199" s="21">
        <v>8</v>
      </c>
      <c r="AS199" s="21">
        <v>8</v>
      </c>
      <c r="AU199" s="21">
        <v>0</v>
      </c>
      <c r="AV199" s="21">
        <v>0</v>
      </c>
    </row>
    <row r="200" spans="1:48" x14ac:dyDescent="0.15">
      <c r="A200" s="20" t="s">
        <v>51</v>
      </c>
      <c r="B200" s="20" t="s">
        <v>75</v>
      </c>
      <c r="C200" s="21">
        <v>0</v>
      </c>
      <c r="D200" s="21">
        <v>32</v>
      </c>
      <c r="E200" s="21">
        <v>20181</v>
      </c>
      <c r="F200" s="21">
        <v>20212</v>
      </c>
      <c r="G200" s="21">
        <v>698</v>
      </c>
      <c r="H200" s="21">
        <v>8620</v>
      </c>
      <c r="I200" s="21">
        <v>6847</v>
      </c>
      <c r="J200" s="21">
        <v>4048</v>
      </c>
      <c r="K200" s="21">
        <v>0</v>
      </c>
      <c r="L200" s="21">
        <v>610</v>
      </c>
      <c r="M200" s="21">
        <v>0.64859999999999995</v>
      </c>
      <c r="N200" s="21">
        <v>0.64539999999999997</v>
      </c>
      <c r="O200" s="21">
        <v>6.2300000000000001E-2</v>
      </c>
      <c r="P200" s="21">
        <v>532</v>
      </c>
      <c r="Q200" s="21">
        <v>1.0282</v>
      </c>
      <c r="R200" s="21">
        <v>35</v>
      </c>
      <c r="S200" s="21">
        <v>38</v>
      </c>
      <c r="T200" s="21">
        <v>0.15740000000000001</v>
      </c>
      <c r="U200" s="21">
        <v>2.2100000000000002E-2</v>
      </c>
      <c r="AU200" s="21">
        <v>0</v>
      </c>
      <c r="AV200" s="21">
        <v>0</v>
      </c>
    </row>
    <row r="201" spans="1:48" x14ac:dyDescent="0.15">
      <c r="A201" s="20" t="s">
        <v>52</v>
      </c>
      <c r="B201" s="20" t="s">
        <v>75</v>
      </c>
      <c r="C201" s="21">
        <v>0</v>
      </c>
      <c r="D201" s="21">
        <v>24</v>
      </c>
      <c r="E201" s="21">
        <v>28585</v>
      </c>
      <c r="F201" s="21">
        <v>28610</v>
      </c>
      <c r="G201" s="21">
        <v>11309</v>
      </c>
      <c r="H201" s="21">
        <v>4527</v>
      </c>
      <c r="I201" s="21">
        <v>6356</v>
      </c>
      <c r="J201" s="21">
        <v>6418</v>
      </c>
      <c r="K201" s="21">
        <v>0</v>
      </c>
      <c r="L201" s="21">
        <v>352</v>
      </c>
      <c r="M201" s="21">
        <v>0.66759999999999997</v>
      </c>
      <c r="N201" s="21">
        <v>0.66759999999999997</v>
      </c>
      <c r="O201" s="21">
        <v>1.6500000000000001E-2</v>
      </c>
      <c r="P201" s="21">
        <v>229</v>
      </c>
      <c r="Q201" s="21">
        <v>1.5894999999999999</v>
      </c>
      <c r="R201" s="21">
        <v>86</v>
      </c>
      <c r="S201" s="21">
        <v>125</v>
      </c>
      <c r="T201" s="21">
        <v>0.1331</v>
      </c>
      <c r="U201" s="21">
        <v>2.12E-2</v>
      </c>
      <c r="AP201" s="21">
        <v>36</v>
      </c>
      <c r="AQ201" s="21">
        <v>36</v>
      </c>
      <c r="AR201" s="21">
        <v>13</v>
      </c>
      <c r="AS201" s="21">
        <v>23</v>
      </c>
      <c r="AU201" s="21">
        <v>0</v>
      </c>
      <c r="AV201" s="21">
        <v>0</v>
      </c>
    </row>
    <row r="202" spans="1:48" x14ac:dyDescent="0.15">
      <c r="A202" s="20" t="s">
        <v>53</v>
      </c>
      <c r="B202" s="20" t="s">
        <v>75</v>
      </c>
      <c r="C202" s="21">
        <v>0</v>
      </c>
      <c r="D202" s="21">
        <v>0</v>
      </c>
      <c r="E202" s="21">
        <v>0</v>
      </c>
      <c r="F202" s="21">
        <v>0</v>
      </c>
    </row>
    <row r="203" spans="1:48" x14ac:dyDescent="0.15">
      <c r="A203" s="20" t="s">
        <v>0</v>
      </c>
      <c r="B203" s="20" t="s">
        <v>75</v>
      </c>
      <c r="C203" s="21">
        <v>0</v>
      </c>
      <c r="D203" s="21">
        <v>245</v>
      </c>
      <c r="E203" s="21">
        <v>144502</v>
      </c>
      <c r="F203" s="21">
        <v>144747</v>
      </c>
      <c r="G203" s="21">
        <v>33398</v>
      </c>
      <c r="H203" s="21">
        <v>37488</v>
      </c>
      <c r="I203" s="21">
        <v>39286</v>
      </c>
      <c r="J203" s="21">
        <v>28917</v>
      </c>
      <c r="K203" s="21">
        <v>1238</v>
      </c>
      <c r="L203" s="21">
        <v>1950</v>
      </c>
      <c r="M203" s="21">
        <v>0.72709999999999997</v>
      </c>
      <c r="N203" s="21">
        <v>0.72609999999999997</v>
      </c>
      <c r="O203" s="21">
        <v>5.2499999999999998E-2</v>
      </c>
      <c r="P203" s="21">
        <v>1836</v>
      </c>
      <c r="Q203" s="21">
        <v>1.1569</v>
      </c>
      <c r="R203" s="21">
        <v>78</v>
      </c>
      <c r="S203" s="21">
        <v>79</v>
      </c>
      <c r="T203" s="21">
        <v>0.12130000000000001</v>
      </c>
      <c r="U203" s="21">
        <v>2.6800000000000001E-2</v>
      </c>
      <c r="V203" s="21">
        <v>0</v>
      </c>
      <c r="AP203" s="21">
        <v>243</v>
      </c>
      <c r="AQ203" s="21">
        <v>243</v>
      </c>
      <c r="AR203" s="21">
        <v>177</v>
      </c>
      <c r="AS203" s="21">
        <v>66</v>
      </c>
      <c r="AU203" s="21">
        <v>9</v>
      </c>
      <c r="AV203" s="21">
        <v>0</v>
      </c>
    </row>
    <row r="204" spans="1:48" x14ac:dyDescent="0.15">
      <c r="A204" s="20" t="s">
        <v>54</v>
      </c>
      <c r="B204" s="20" t="s">
        <v>75</v>
      </c>
      <c r="C204" s="21">
        <v>0</v>
      </c>
      <c r="D204" s="21">
        <v>0</v>
      </c>
      <c r="E204" s="21">
        <v>0</v>
      </c>
      <c r="F204" s="21">
        <v>0</v>
      </c>
      <c r="AV204" s="21">
        <v>0</v>
      </c>
    </row>
    <row r="205" spans="1:48" x14ac:dyDescent="0.15">
      <c r="A205" s="20" t="s">
        <v>55</v>
      </c>
      <c r="B205" s="20" t="s">
        <v>75</v>
      </c>
      <c r="C205" s="21">
        <v>0</v>
      </c>
      <c r="D205" s="21">
        <v>0</v>
      </c>
      <c r="E205" s="21">
        <v>0</v>
      </c>
      <c r="F205" s="21">
        <v>0</v>
      </c>
    </row>
    <row r="206" spans="1:48" x14ac:dyDescent="0.15">
      <c r="A206" s="20" t="s">
        <v>56</v>
      </c>
      <c r="B206" s="20" t="s">
        <v>75</v>
      </c>
      <c r="C206" s="21">
        <v>0</v>
      </c>
      <c r="D206" s="21">
        <v>0</v>
      </c>
      <c r="E206" s="21">
        <v>0</v>
      </c>
      <c r="F206" s="21">
        <v>0</v>
      </c>
      <c r="AU206" s="21">
        <v>0</v>
      </c>
      <c r="AV206" s="21">
        <v>0</v>
      </c>
    </row>
    <row r="207" spans="1:48" x14ac:dyDescent="0.15">
      <c r="A207" s="20" t="s">
        <v>57</v>
      </c>
      <c r="B207" s="20" t="s">
        <v>75</v>
      </c>
      <c r="C207" s="21">
        <v>0</v>
      </c>
      <c r="D207" s="21">
        <v>139</v>
      </c>
      <c r="E207" s="21">
        <v>46892</v>
      </c>
      <c r="F207" s="21">
        <v>47031</v>
      </c>
      <c r="G207" s="21">
        <v>18366</v>
      </c>
      <c r="H207" s="21">
        <v>3388</v>
      </c>
      <c r="I207" s="21">
        <v>12430</v>
      </c>
      <c r="J207" s="21">
        <v>9781</v>
      </c>
      <c r="K207" s="21">
        <v>1238</v>
      </c>
      <c r="L207" s="21">
        <v>337</v>
      </c>
      <c r="M207" s="21">
        <v>0.78190000000000004</v>
      </c>
      <c r="N207" s="21">
        <v>0.78190000000000004</v>
      </c>
      <c r="O207" s="21">
        <v>8.5000000000000006E-2</v>
      </c>
      <c r="P207" s="21">
        <v>289</v>
      </c>
      <c r="Q207" s="21">
        <v>1.3080000000000001</v>
      </c>
      <c r="R207" s="21">
        <v>143</v>
      </c>
      <c r="S207" s="21">
        <v>163</v>
      </c>
      <c r="T207" s="21">
        <v>0.1031</v>
      </c>
      <c r="U207" s="21">
        <v>2.98E-2</v>
      </c>
      <c r="V207" s="21">
        <v>0</v>
      </c>
      <c r="AP207" s="21">
        <v>186</v>
      </c>
      <c r="AQ207" s="21">
        <v>186</v>
      </c>
      <c r="AR207" s="21">
        <v>158</v>
      </c>
      <c r="AS207" s="21">
        <v>28</v>
      </c>
      <c r="AU207" s="21">
        <v>9</v>
      </c>
      <c r="AV207" s="21">
        <v>0</v>
      </c>
    </row>
    <row r="208" spans="1:48" x14ac:dyDescent="0.15">
      <c r="A208" s="20" t="s">
        <v>58</v>
      </c>
      <c r="B208" s="20" t="s">
        <v>75</v>
      </c>
      <c r="C208" s="21">
        <v>0</v>
      </c>
      <c r="D208" s="21">
        <v>0</v>
      </c>
      <c r="E208" s="21">
        <v>0</v>
      </c>
      <c r="F208" s="21">
        <v>0</v>
      </c>
      <c r="AV208" s="21">
        <v>0</v>
      </c>
    </row>
    <row r="209" spans="1:48" x14ac:dyDescent="0.15">
      <c r="A209" s="20" t="s">
        <v>59</v>
      </c>
      <c r="B209" s="20" t="s">
        <v>75</v>
      </c>
      <c r="C209" s="21">
        <v>0</v>
      </c>
      <c r="D209" s="21">
        <v>0</v>
      </c>
      <c r="E209" s="21">
        <v>0</v>
      </c>
      <c r="F209" s="21">
        <v>0</v>
      </c>
    </row>
    <row r="210" spans="1:48" x14ac:dyDescent="0.15">
      <c r="A210" s="20" t="s">
        <v>60</v>
      </c>
      <c r="B210" s="20" t="s">
        <v>75</v>
      </c>
      <c r="C210" s="21">
        <v>0</v>
      </c>
      <c r="D210" s="21">
        <v>8</v>
      </c>
      <c r="E210" s="21">
        <v>10672</v>
      </c>
      <c r="F210" s="21">
        <v>10680</v>
      </c>
      <c r="H210" s="21">
        <v>2682</v>
      </c>
      <c r="I210" s="21">
        <v>3666</v>
      </c>
      <c r="J210" s="21">
        <v>4333</v>
      </c>
      <c r="K210" s="21">
        <v>0</v>
      </c>
      <c r="L210" s="21">
        <v>138</v>
      </c>
      <c r="M210" s="21">
        <v>0.78169999999999995</v>
      </c>
      <c r="N210" s="21">
        <v>0.78169999999999995</v>
      </c>
      <c r="O210" s="21">
        <v>4.2299999999999997E-2</v>
      </c>
      <c r="P210" s="21">
        <v>120</v>
      </c>
      <c r="Q210" s="21">
        <v>1.3583000000000001</v>
      </c>
      <c r="R210" s="21">
        <v>81</v>
      </c>
      <c r="S210" s="21">
        <v>89</v>
      </c>
      <c r="T210" s="21">
        <v>0.1053</v>
      </c>
      <c r="U210" s="21">
        <v>5.6599999999999998E-2</v>
      </c>
      <c r="AU210" s="21">
        <v>0</v>
      </c>
      <c r="AV210" s="21">
        <v>0</v>
      </c>
    </row>
    <row r="211" spans="1:48" x14ac:dyDescent="0.15">
      <c r="A211" s="20" t="s">
        <v>61</v>
      </c>
      <c r="B211" s="20" t="s">
        <v>75</v>
      </c>
      <c r="C211" s="21">
        <v>0</v>
      </c>
      <c r="D211" s="21">
        <v>20</v>
      </c>
      <c r="E211" s="21">
        <v>9585</v>
      </c>
      <c r="F211" s="21">
        <v>9605</v>
      </c>
      <c r="G211" s="21">
        <v>3026</v>
      </c>
      <c r="H211" s="21">
        <v>1998</v>
      </c>
      <c r="I211" s="21">
        <v>3304</v>
      </c>
      <c r="J211" s="21">
        <v>1277</v>
      </c>
      <c r="L211" s="21">
        <v>113</v>
      </c>
      <c r="M211" s="21">
        <v>0.84750000000000003</v>
      </c>
      <c r="N211" s="21">
        <v>0.84750000000000003</v>
      </c>
      <c r="O211" s="21">
        <v>7.6300000000000007E-2</v>
      </c>
      <c r="P211" s="21">
        <v>111</v>
      </c>
      <c r="Q211" s="21">
        <v>1.2252000000000001</v>
      </c>
      <c r="R211" s="21">
        <v>88</v>
      </c>
      <c r="S211" s="21">
        <v>87</v>
      </c>
      <c r="T211" s="21">
        <v>0.1</v>
      </c>
      <c r="U211" s="21">
        <v>5.3100000000000001E-2</v>
      </c>
      <c r="AU211" s="21">
        <v>0</v>
      </c>
      <c r="AV211" s="21">
        <v>0</v>
      </c>
    </row>
    <row r="212" spans="1:48" x14ac:dyDescent="0.15">
      <c r="A212" s="20" t="s">
        <v>48</v>
      </c>
      <c r="B212" s="20" t="s">
        <v>76</v>
      </c>
      <c r="C212" s="21">
        <v>0</v>
      </c>
      <c r="D212" s="21">
        <v>3</v>
      </c>
      <c r="E212" s="21">
        <v>17235</v>
      </c>
      <c r="F212" s="21">
        <v>17238</v>
      </c>
      <c r="H212" s="21">
        <v>8153</v>
      </c>
      <c r="I212" s="21">
        <v>3829</v>
      </c>
      <c r="J212" s="21">
        <v>2554</v>
      </c>
      <c r="K212" s="21">
        <v>0</v>
      </c>
      <c r="L212" s="21">
        <v>207</v>
      </c>
      <c r="M212" s="21">
        <v>0.68220000000000003</v>
      </c>
      <c r="N212" s="21">
        <v>0.68220000000000003</v>
      </c>
      <c r="O212" s="21">
        <v>3.27E-2</v>
      </c>
      <c r="P212" s="21">
        <v>335</v>
      </c>
      <c r="Q212" s="21">
        <v>0.75519999999999998</v>
      </c>
      <c r="R212" s="21">
        <v>89</v>
      </c>
      <c r="S212" s="21">
        <v>51</v>
      </c>
      <c r="T212" s="21">
        <v>0.1323</v>
      </c>
      <c r="U212" s="21">
        <v>1.09E-2</v>
      </c>
      <c r="AP212" s="21">
        <v>10</v>
      </c>
      <c r="AQ212" s="21">
        <v>10</v>
      </c>
      <c r="AR212" s="21">
        <v>6</v>
      </c>
      <c r="AS212" s="21">
        <v>4</v>
      </c>
      <c r="AU212" s="21">
        <v>0</v>
      </c>
      <c r="AV212" s="21">
        <v>0</v>
      </c>
    </row>
    <row r="213" spans="1:48" x14ac:dyDescent="0.15">
      <c r="A213" s="20" t="s">
        <v>50</v>
      </c>
      <c r="B213" s="20" t="s">
        <v>76</v>
      </c>
      <c r="C213" s="21">
        <v>0</v>
      </c>
      <c r="D213" s="21">
        <v>19</v>
      </c>
      <c r="E213" s="21">
        <v>11678</v>
      </c>
      <c r="F213" s="21">
        <v>11697</v>
      </c>
      <c r="H213" s="21">
        <v>9206</v>
      </c>
      <c r="I213" s="21">
        <v>2138</v>
      </c>
      <c r="J213" s="21">
        <v>353</v>
      </c>
      <c r="K213" s="21">
        <v>0</v>
      </c>
      <c r="L213" s="21">
        <v>222</v>
      </c>
      <c r="M213" s="21">
        <v>0.8095</v>
      </c>
      <c r="N213" s="21">
        <v>0.80520000000000003</v>
      </c>
      <c r="O213" s="21">
        <v>5.1900000000000002E-2</v>
      </c>
      <c r="P213" s="21">
        <v>250</v>
      </c>
      <c r="Q213" s="21">
        <v>1.1759999999999999</v>
      </c>
      <c r="R213" s="21">
        <v>53</v>
      </c>
      <c r="S213" s="21">
        <v>47</v>
      </c>
      <c r="T213" s="21">
        <v>0.1089</v>
      </c>
      <c r="U213" s="21">
        <v>2.0199999999999999E-2</v>
      </c>
      <c r="AP213" s="21">
        <v>12</v>
      </c>
      <c r="AQ213" s="21">
        <v>12</v>
      </c>
      <c r="AR213" s="21">
        <v>9</v>
      </c>
      <c r="AS213" s="21">
        <v>3</v>
      </c>
      <c r="AU213" s="21">
        <v>0</v>
      </c>
      <c r="AV213" s="21">
        <v>0</v>
      </c>
    </row>
    <row r="214" spans="1:48" x14ac:dyDescent="0.15">
      <c r="A214" s="20" t="s">
        <v>51</v>
      </c>
      <c r="B214" s="20" t="s">
        <v>76</v>
      </c>
      <c r="C214" s="21">
        <v>0</v>
      </c>
      <c r="D214" s="21">
        <v>34</v>
      </c>
      <c r="E214" s="21">
        <v>19763</v>
      </c>
      <c r="F214" s="21">
        <v>19796</v>
      </c>
      <c r="G214" s="21">
        <v>191</v>
      </c>
      <c r="H214" s="21">
        <v>11340</v>
      </c>
      <c r="I214" s="21">
        <v>4541</v>
      </c>
      <c r="J214" s="21">
        <v>3724</v>
      </c>
      <c r="K214" s="21">
        <v>0</v>
      </c>
      <c r="L214" s="21">
        <v>701</v>
      </c>
      <c r="M214" s="21">
        <v>0.62619999999999998</v>
      </c>
      <c r="N214" s="21">
        <v>0.62339999999999995</v>
      </c>
      <c r="O214" s="21">
        <v>5.4399999999999997E-2</v>
      </c>
      <c r="P214" s="21">
        <v>543</v>
      </c>
      <c r="Q214" s="21">
        <v>1.0645</v>
      </c>
      <c r="R214" s="21">
        <v>30</v>
      </c>
      <c r="S214" s="21">
        <v>36</v>
      </c>
      <c r="T214" s="21">
        <v>0.15709999999999999</v>
      </c>
      <c r="U214" s="21">
        <v>1.77E-2</v>
      </c>
      <c r="AU214" s="21">
        <v>0</v>
      </c>
      <c r="AV214" s="21">
        <v>0</v>
      </c>
    </row>
    <row r="215" spans="1:48" x14ac:dyDescent="0.15">
      <c r="A215" s="20" t="s">
        <v>52</v>
      </c>
      <c r="B215" s="20" t="s">
        <v>76</v>
      </c>
      <c r="C215" s="21">
        <v>0</v>
      </c>
      <c r="D215" s="21">
        <v>54</v>
      </c>
      <c r="E215" s="21">
        <v>37118</v>
      </c>
      <c r="F215" s="21">
        <v>37172</v>
      </c>
      <c r="G215" s="21">
        <v>10166</v>
      </c>
      <c r="H215" s="21">
        <v>11474</v>
      </c>
      <c r="I215" s="21">
        <v>6532</v>
      </c>
      <c r="J215" s="21">
        <v>9000</v>
      </c>
      <c r="K215" s="21">
        <v>0</v>
      </c>
      <c r="L215" s="21">
        <v>386</v>
      </c>
      <c r="M215" s="21">
        <v>0.73740000000000006</v>
      </c>
      <c r="N215" s="21">
        <v>0.73740000000000006</v>
      </c>
      <c r="O215" s="21">
        <v>3.5400000000000001E-2</v>
      </c>
      <c r="P215" s="21">
        <v>269</v>
      </c>
      <c r="Q215" s="21">
        <v>1.8178000000000001</v>
      </c>
      <c r="R215" s="21">
        <v>101</v>
      </c>
      <c r="S215" s="21">
        <v>138</v>
      </c>
      <c r="T215" s="21">
        <v>0.1019</v>
      </c>
      <c r="U215" s="21">
        <v>2.3699999999999999E-2</v>
      </c>
      <c r="AP215" s="21">
        <v>43</v>
      </c>
      <c r="AQ215" s="21">
        <v>43</v>
      </c>
      <c r="AR215" s="21">
        <v>32</v>
      </c>
      <c r="AS215" s="21">
        <v>12</v>
      </c>
      <c r="AU215" s="21">
        <v>0</v>
      </c>
      <c r="AV215" s="21">
        <v>0</v>
      </c>
    </row>
    <row r="216" spans="1:48" x14ac:dyDescent="0.15">
      <c r="A216" s="20" t="s">
        <v>53</v>
      </c>
      <c r="B216" s="20" t="s">
        <v>76</v>
      </c>
      <c r="C216" s="21">
        <v>0</v>
      </c>
      <c r="D216" s="21">
        <v>0</v>
      </c>
      <c r="E216" s="21">
        <v>0</v>
      </c>
      <c r="F216" s="21">
        <v>0</v>
      </c>
    </row>
    <row r="217" spans="1:48" x14ac:dyDescent="0.15">
      <c r="A217" s="20" t="s">
        <v>0</v>
      </c>
      <c r="B217" s="20" t="s">
        <v>76</v>
      </c>
      <c r="C217" s="21">
        <v>0</v>
      </c>
      <c r="D217" s="21">
        <v>342</v>
      </c>
      <c r="E217" s="21">
        <v>152061</v>
      </c>
      <c r="F217" s="21">
        <v>152402</v>
      </c>
      <c r="G217" s="21">
        <v>28718</v>
      </c>
      <c r="H217" s="21">
        <v>48538</v>
      </c>
      <c r="I217" s="21">
        <v>34740</v>
      </c>
      <c r="J217" s="21">
        <v>32777</v>
      </c>
      <c r="K217" s="21">
        <v>1218</v>
      </c>
      <c r="L217" s="21">
        <v>2136</v>
      </c>
      <c r="M217" s="21">
        <v>0.71760000000000002</v>
      </c>
      <c r="N217" s="21">
        <v>0.71489999999999998</v>
      </c>
      <c r="O217" s="21">
        <v>5.4800000000000001E-2</v>
      </c>
      <c r="P217" s="21">
        <v>1919</v>
      </c>
      <c r="Q217" s="21">
        <v>1.1880999999999999</v>
      </c>
      <c r="R217" s="21">
        <v>75</v>
      </c>
      <c r="S217" s="21">
        <v>79</v>
      </c>
      <c r="T217" s="21">
        <v>0.1072</v>
      </c>
      <c r="U217" s="21">
        <v>2.58E-2</v>
      </c>
      <c r="V217" s="21">
        <v>0.66559999999999997</v>
      </c>
      <c r="AP217" s="21">
        <v>189</v>
      </c>
      <c r="AQ217" s="21">
        <v>189</v>
      </c>
      <c r="AR217" s="21">
        <v>153</v>
      </c>
      <c r="AS217" s="21">
        <v>37</v>
      </c>
      <c r="AU217" s="21">
        <v>140</v>
      </c>
      <c r="AV217" s="21">
        <v>0</v>
      </c>
    </row>
    <row r="218" spans="1:48" x14ac:dyDescent="0.15">
      <c r="A218" s="20" t="s">
        <v>54</v>
      </c>
      <c r="B218" s="20" t="s">
        <v>76</v>
      </c>
      <c r="C218" s="21">
        <v>0</v>
      </c>
      <c r="D218" s="21">
        <v>0</v>
      </c>
      <c r="E218" s="21">
        <v>0</v>
      </c>
      <c r="F218" s="21">
        <v>0</v>
      </c>
      <c r="AV218" s="21">
        <v>0</v>
      </c>
    </row>
    <row r="219" spans="1:48" x14ac:dyDescent="0.15">
      <c r="A219" s="20" t="s">
        <v>55</v>
      </c>
      <c r="B219" s="20" t="s">
        <v>76</v>
      </c>
      <c r="C219" s="21">
        <v>0</v>
      </c>
      <c r="D219" s="21">
        <v>0</v>
      </c>
      <c r="E219" s="21">
        <v>0</v>
      </c>
      <c r="F219" s="21">
        <v>0</v>
      </c>
    </row>
    <row r="220" spans="1:48" x14ac:dyDescent="0.15">
      <c r="A220" s="20" t="s">
        <v>56</v>
      </c>
      <c r="B220" s="20" t="s">
        <v>76</v>
      </c>
      <c r="C220" s="21">
        <v>0</v>
      </c>
      <c r="D220" s="21">
        <v>0</v>
      </c>
      <c r="E220" s="21">
        <v>0</v>
      </c>
      <c r="F220" s="21">
        <v>0</v>
      </c>
      <c r="AU220" s="21">
        <v>0</v>
      </c>
      <c r="AV220" s="21">
        <v>0</v>
      </c>
    </row>
    <row r="221" spans="1:48" x14ac:dyDescent="0.15">
      <c r="A221" s="20" t="s">
        <v>57</v>
      </c>
      <c r="B221" s="20" t="s">
        <v>76</v>
      </c>
      <c r="C221" s="21">
        <v>0</v>
      </c>
      <c r="D221" s="21">
        <v>168</v>
      </c>
      <c r="E221" s="21">
        <v>47333</v>
      </c>
      <c r="F221" s="21">
        <v>47501</v>
      </c>
      <c r="G221" s="21">
        <v>16736</v>
      </c>
      <c r="H221" s="21">
        <v>3250</v>
      </c>
      <c r="I221" s="21">
        <v>10742</v>
      </c>
      <c r="J221" s="21">
        <v>11846</v>
      </c>
      <c r="K221" s="21">
        <v>1218</v>
      </c>
      <c r="L221" s="21">
        <v>361</v>
      </c>
      <c r="M221" s="21">
        <v>0.7863</v>
      </c>
      <c r="N221" s="21">
        <v>0.78100000000000003</v>
      </c>
      <c r="O221" s="21">
        <v>9.2299999999999993E-2</v>
      </c>
      <c r="P221" s="21">
        <v>289</v>
      </c>
      <c r="Q221" s="21">
        <v>1.3218000000000001</v>
      </c>
      <c r="R221" s="21">
        <v>136</v>
      </c>
      <c r="S221" s="21">
        <v>164</v>
      </c>
      <c r="T221" s="21">
        <v>7.9200000000000007E-2</v>
      </c>
      <c r="U221" s="21">
        <v>2.7300000000000001E-2</v>
      </c>
      <c r="V221" s="21">
        <v>0.66559999999999997</v>
      </c>
      <c r="AP221" s="21">
        <v>124</v>
      </c>
      <c r="AQ221" s="21">
        <v>124</v>
      </c>
      <c r="AR221" s="21">
        <v>106</v>
      </c>
      <c r="AS221" s="21">
        <v>18</v>
      </c>
      <c r="AU221" s="21">
        <v>140</v>
      </c>
      <c r="AV221" s="21">
        <v>0</v>
      </c>
    </row>
    <row r="222" spans="1:48" x14ac:dyDescent="0.15">
      <c r="A222" s="20" t="s">
        <v>58</v>
      </c>
      <c r="B222" s="20" t="s">
        <v>76</v>
      </c>
      <c r="C222" s="21">
        <v>0</v>
      </c>
      <c r="D222" s="21">
        <v>0</v>
      </c>
      <c r="E222" s="21">
        <v>0</v>
      </c>
      <c r="F222" s="21">
        <v>0</v>
      </c>
      <c r="AV222" s="21">
        <v>0</v>
      </c>
    </row>
    <row r="223" spans="1:48" x14ac:dyDescent="0.15">
      <c r="A223" s="20" t="s">
        <v>59</v>
      </c>
      <c r="B223" s="20" t="s">
        <v>76</v>
      </c>
      <c r="C223" s="21">
        <v>0</v>
      </c>
      <c r="D223" s="21">
        <v>0</v>
      </c>
      <c r="E223" s="21">
        <v>0</v>
      </c>
      <c r="F223" s="21">
        <v>0</v>
      </c>
    </row>
    <row r="224" spans="1:48" x14ac:dyDescent="0.15">
      <c r="A224" s="20" t="s">
        <v>60</v>
      </c>
      <c r="B224" s="20" t="s">
        <v>76</v>
      </c>
      <c r="C224" s="21">
        <v>0</v>
      </c>
      <c r="D224" s="21">
        <v>0</v>
      </c>
      <c r="E224" s="21">
        <v>10084</v>
      </c>
      <c r="F224" s="21">
        <v>10084</v>
      </c>
      <c r="H224" s="21">
        <v>2893</v>
      </c>
      <c r="I224" s="21">
        <v>3708</v>
      </c>
      <c r="J224" s="21">
        <v>3483</v>
      </c>
      <c r="K224" s="21">
        <v>0</v>
      </c>
      <c r="L224" s="21">
        <v>139</v>
      </c>
      <c r="M224" s="21">
        <v>0.73509999999999998</v>
      </c>
      <c r="N224" s="21">
        <v>0.73509999999999998</v>
      </c>
      <c r="O224" s="21">
        <v>6.6E-3</v>
      </c>
      <c r="P224" s="21">
        <v>120</v>
      </c>
      <c r="Q224" s="21">
        <v>1.2833000000000001</v>
      </c>
      <c r="R224" s="21">
        <v>73</v>
      </c>
      <c r="S224" s="21">
        <v>84</v>
      </c>
      <c r="T224" s="21">
        <v>0.1154</v>
      </c>
      <c r="U224" s="21">
        <v>5.0500000000000003E-2</v>
      </c>
      <c r="AU224" s="21">
        <v>0</v>
      </c>
      <c r="AV224" s="21">
        <v>0</v>
      </c>
    </row>
    <row r="225" spans="1:48" x14ac:dyDescent="0.15">
      <c r="A225" s="20" t="s">
        <v>61</v>
      </c>
      <c r="B225" s="20" t="s">
        <v>76</v>
      </c>
      <c r="C225" s="21">
        <v>0</v>
      </c>
      <c r="D225" s="21">
        <v>64</v>
      </c>
      <c r="E225" s="21">
        <v>8849</v>
      </c>
      <c r="F225" s="21">
        <v>8914</v>
      </c>
      <c r="G225" s="21">
        <v>1625</v>
      </c>
      <c r="H225" s="21">
        <v>2223</v>
      </c>
      <c r="I225" s="21">
        <v>3250</v>
      </c>
      <c r="J225" s="21">
        <v>1816</v>
      </c>
      <c r="L225" s="21">
        <v>120</v>
      </c>
      <c r="M225" s="21">
        <v>0.84430000000000005</v>
      </c>
      <c r="N225" s="21">
        <v>0.83609999999999995</v>
      </c>
      <c r="O225" s="21">
        <v>0.1066</v>
      </c>
      <c r="P225" s="21">
        <v>113</v>
      </c>
      <c r="Q225" s="21">
        <v>1.1504000000000001</v>
      </c>
      <c r="R225" s="21">
        <v>77</v>
      </c>
      <c r="S225" s="21">
        <v>79</v>
      </c>
      <c r="T225" s="21">
        <v>9.5500000000000002E-2</v>
      </c>
      <c r="U225" s="21">
        <v>4.8899999999999999E-2</v>
      </c>
      <c r="AU225" s="21">
        <v>0</v>
      </c>
      <c r="AV225" s="21">
        <v>0</v>
      </c>
    </row>
    <row r="226" spans="1:48" x14ac:dyDescent="0.15">
      <c r="A226" s="20" t="s">
        <v>48</v>
      </c>
      <c r="B226" s="20" t="s">
        <v>77</v>
      </c>
      <c r="C226" s="21">
        <v>0</v>
      </c>
      <c r="D226" s="21">
        <v>2</v>
      </c>
      <c r="E226" s="21">
        <v>9315</v>
      </c>
      <c r="F226" s="21">
        <v>9317</v>
      </c>
      <c r="H226" s="21">
        <v>4864</v>
      </c>
      <c r="I226" s="21">
        <v>1982</v>
      </c>
      <c r="J226" s="21">
        <v>912</v>
      </c>
      <c r="K226" s="21">
        <v>0</v>
      </c>
      <c r="L226" s="21">
        <v>456</v>
      </c>
      <c r="M226" s="21">
        <v>0.30509999999999998</v>
      </c>
      <c r="N226" s="21">
        <v>0.30509999999999998</v>
      </c>
      <c r="O226" s="21">
        <v>8.5000000000000006E-3</v>
      </c>
      <c r="P226" s="21">
        <v>692</v>
      </c>
      <c r="Q226" s="21">
        <v>0.33239999999999997</v>
      </c>
      <c r="R226" s="21">
        <v>21</v>
      </c>
      <c r="S226" s="21">
        <v>13</v>
      </c>
      <c r="T226" s="21">
        <v>0.16220000000000001</v>
      </c>
      <c r="U226" s="21">
        <v>1.21E-2</v>
      </c>
      <c r="AP226" s="21">
        <v>16</v>
      </c>
      <c r="AQ226" s="21">
        <v>16</v>
      </c>
      <c r="AR226" s="21">
        <v>7</v>
      </c>
      <c r="AS226" s="21">
        <v>9</v>
      </c>
      <c r="AU226" s="21">
        <v>0</v>
      </c>
      <c r="AV226" s="21">
        <v>0</v>
      </c>
    </row>
    <row r="227" spans="1:48" x14ac:dyDescent="0.15">
      <c r="A227" s="20" t="s">
        <v>50</v>
      </c>
      <c r="B227" s="20" t="s">
        <v>77</v>
      </c>
      <c r="C227" s="21">
        <v>0</v>
      </c>
      <c r="D227" s="21">
        <v>14</v>
      </c>
      <c r="E227" s="21">
        <v>8922</v>
      </c>
      <c r="F227" s="21">
        <v>8936</v>
      </c>
      <c r="H227" s="21">
        <v>6696</v>
      </c>
      <c r="I227" s="21">
        <v>2175</v>
      </c>
      <c r="J227" s="21">
        <v>66</v>
      </c>
      <c r="K227" s="21">
        <v>0</v>
      </c>
      <c r="L227" s="21">
        <v>452</v>
      </c>
      <c r="M227" s="21">
        <v>0.39419999999999999</v>
      </c>
      <c r="N227" s="21">
        <v>0.3921</v>
      </c>
      <c r="O227" s="21">
        <v>1.8700000000000001E-2</v>
      </c>
      <c r="P227" s="21">
        <v>526</v>
      </c>
      <c r="Q227" s="21">
        <v>0.51519999999999999</v>
      </c>
      <c r="R227" s="21">
        <v>20</v>
      </c>
      <c r="S227" s="21">
        <v>17</v>
      </c>
      <c r="T227" s="21">
        <v>0.17119999999999999</v>
      </c>
      <c r="U227" s="21">
        <v>1.83E-2</v>
      </c>
      <c r="AP227" s="21">
        <v>55</v>
      </c>
      <c r="AQ227" s="21">
        <v>55</v>
      </c>
      <c r="AR227" s="21">
        <v>51</v>
      </c>
      <c r="AS227" s="21">
        <v>4</v>
      </c>
      <c r="AU227" s="21">
        <v>0</v>
      </c>
      <c r="AV227" s="21">
        <v>0</v>
      </c>
    </row>
    <row r="228" spans="1:48" x14ac:dyDescent="0.15">
      <c r="A228" s="20" t="s">
        <v>51</v>
      </c>
      <c r="B228" s="20" t="s">
        <v>77</v>
      </c>
      <c r="C228" s="21">
        <v>0</v>
      </c>
      <c r="D228" s="21">
        <v>30</v>
      </c>
      <c r="E228" s="21">
        <v>17682</v>
      </c>
      <c r="F228" s="21">
        <v>17712</v>
      </c>
      <c r="G228" s="21">
        <v>474</v>
      </c>
      <c r="H228" s="21">
        <v>7761</v>
      </c>
      <c r="I228" s="21">
        <v>4342</v>
      </c>
      <c r="J228" s="21">
        <v>5135</v>
      </c>
      <c r="K228" s="21">
        <v>0</v>
      </c>
      <c r="L228" s="21">
        <v>1474</v>
      </c>
      <c r="M228" s="21">
        <v>0.30520000000000003</v>
      </c>
      <c r="N228" s="21">
        <v>0.30380000000000001</v>
      </c>
      <c r="O228" s="21">
        <v>1.9800000000000002E-2</v>
      </c>
      <c r="P228" s="21">
        <v>1200</v>
      </c>
      <c r="Q228" s="21">
        <v>0.49419999999999997</v>
      </c>
      <c r="R228" s="21">
        <v>12</v>
      </c>
      <c r="S228" s="21">
        <v>15</v>
      </c>
      <c r="T228" s="21">
        <v>0.16270000000000001</v>
      </c>
      <c r="U228" s="21">
        <v>1.7299999999999999E-2</v>
      </c>
      <c r="AU228" s="21">
        <v>0</v>
      </c>
      <c r="AV228" s="21">
        <v>0</v>
      </c>
    </row>
    <row r="229" spans="1:48" x14ac:dyDescent="0.15">
      <c r="A229" s="20" t="s">
        <v>52</v>
      </c>
      <c r="B229" s="20" t="s">
        <v>77</v>
      </c>
      <c r="C229" s="21">
        <v>0</v>
      </c>
      <c r="D229" s="21">
        <v>3</v>
      </c>
      <c r="E229" s="21">
        <v>26962</v>
      </c>
      <c r="F229" s="21">
        <v>26965</v>
      </c>
      <c r="G229" s="21">
        <v>8986</v>
      </c>
      <c r="H229" s="21">
        <v>8402</v>
      </c>
      <c r="I229" s="21">
        <v>3038</v>
      </c>
      <c r="J229" s="21">
        <v>6539</v>
      </c>
      <c r="K229" s="21">
        <v>0</v>
      </c>
      <c r="L229" s="21">
        <v>802</v>
      </c>
      <c r="M229" s="21">
        <v>0.3609</v>
      </c>
      <c r="N229" s="21">
        <v>0.3609</v>
      </c>
      <c r="O229" s="21">
        <v>9.5999999999999992E-3</v>
      </c>
      <c r="P229" s="21">
        <v>680</v>
      </c>
      <c r="Q229" s="21">
        <v>0.7</v>
      </c>
      <c r="R229" s="21">
        <v>34</v>
      </c>
      <c r="S229" s="21">
        <v>40</v>
      </c>
      <c r="T229" s="21">
        <v>0.1358</v>
      </c>
      <c r="U229" s="21">
        <v>2.64E-2</v>
      </c>
      <c r="AP229" s="21">
        <v>27</v>
      </c>
      <c r="AQ229" s="21">
        <v>27</v>
      </c>
      <c r="AR229" s="21">
        <v>24</v>
      </c>
      <c r="AS229" s="21">
        <v>3</v>
      </c>
      <c r="AU229" s="21">
        <v>3</v>
      </c>
      <c r="AV229" s="21">
        <v>0</v>
      </c>
    </row>
    <row r="230" spans="1:48" x14ac:dyDescent="0.15">
      <c r="A230" s="20" t="s">
        <v>53</v>
      </c>
      <c r="B230" s="20" t="s">
        <v>77</v>
      </c>
      <c r="C230" s="21">
        <v>0</v>
      </c>
      <c r="D230" s="21">
        <v>0</v>
      </c>
      <c r="E230" s="21">
        <v>0</v>
      </c>
      <c r="F230" s="21">
        <v>0</v>
      </c>
    </row>
    <row r="231" spans="1:48" x14ac:dyDescent="0.15">
      <c r="A231" s="20" t="s">
        <v>0</v>
      </c>
      <c r="B231" s="20" t="s">
        <v>77</v>
      </c>
      <c r="C231" s="21">
        <v>0</v>
      </c>
      <c r="D231" s="21">
        <v>142</v>
      </c>
      <c r="E231" s="21">
        <v>109884</v>
      </c>
      <c r="F231" s="21">
        <v>110026</v>
      </c>
      <c r="G231" s="21">
        <v>22204</v>
      </c>
      <c r="H231" s="21">
        <v>37217</v>
      </c>
      <c r="I231" s="21">
        <v>20546</v>
      </c>
      <c r="J231" s="21">
        <v>25382</v>
      </c>
      <c r="K231" s="21">
        <v>668</v>
      </c>
      <c r="L231" s="21">
        <v>4396</v>
      </c>
      <c r="M231" s="21">
        <v>0.34720000000000001</v>
      </c>
      <c r="N231" s="21">
        <v>0.3463</v>
      </c>
      <c r="O231" s="21">
        <v>1.89E-2</v>
      </c>
      <c r="P231" s="21">
        <v>4164</v>
      </c>
      <c r="Q231" s="21">
        <v>0.53239999999999998</v>
      </c>
      <c r="R231" s="21">
        <v>25</v>
      </c>
      <c r="S231" s="21">
        <v>26</v>
      </c>
      <c r="T231" s="21">
        <v>0.13639999999999999</v>
      </c>
      <c r="U231" s="21">
        <v>2.4400000000000002E-2</v>
      </c>
      <c r="V231" s="21">
        <v>0.58130000000000004</v>
      </c>
      <c r="AP231" s="21">
        <v>192</v>
      </c>
      <c r="AQ231" s="21">
        <v>192</v>
      </c>
      <c r="AR231" s="21">
        <v>161</v>
      </c>
      <c r="AS231" s="21">
        <v>31</v>
      </c>
      <c r="AU231" s="21">
        <v>60</v>
      </c>
      <c r="AV231" s="21">
        <v>0</v>
      </c>
    </row>
    <row r="232" spans="1:48" x14ac:dyDescent="0.15">
      <c r="A232" s="20" t="s">
        <v>54</v>
      </c>
      <c r="B232" s="20" t="s">
        <v>77</v>
      </c>
      <c r="C232" s="21">
        <v>0</v>
      </c>
      <c r="D232" s="21">
        <v>0</v>
      </c>
      <c r="E232" s="21">
        <v>0</v>
      </c>
      <c r="F232" s="21">
        <v>0</v>
      </c>
      <c r="AV232" s="21">
        <v>0</v>
      </c>
    </row>
    <row r="233" spans="1:48" x14ac:dyDescent="0.15">
      <c r="A233" s="20" t="s">
        <v>55</v>
      </c>
      <c r="B233" s="20" t="s">
        <v>77</v>
      </c>
      <c r="C233" s="21">
        <v>0</v>
      </c>
      <c r="D233" s="21">
        <v>0</v>
      </c>
      <c r="E233" s="21">
        <v>0</v>
      </c>
      <c r="F233" s="21">
        <v>0</v>
      </c>
    </row>
    <row r="234" spans="1:48" x14ac:dyDescent="0.15">
      <c r="A234" s="20" t="s">
        <v>56</v>
      </c>
      <c r="B234" s="20" t="s">
        <v>77</v>
      </c>
      <c r="C234" s="21">
        <v>0</v>
      </c>
      <c r="D234" s="21">
        <v>0</v>
      </c>
      <c r="E234" s="21">
        <v>0</v>
      </c>
      <c r="F234" s="21">
        <v>0</v>
      </c>
      <c r="AU234" s="21">
        <v>0</v>
      </c>
      <c r="AV234" s="21">
        <v>0</v>
      </c>
    </row>
    <row r="235" spans="1:48" x14ac:dyDescent="0.15">
      <c r="A235" s="20" t="s">
        <v>57</v>
      </c>
      <c r="B235" s="20" t="s">
        <v>77</v>
      </c>
      <c r="C235" s="21">
        <v>0</v>
      </c>
      <c r="D235" s="21">
        <v>4</v>
      </c>
      <c r="E235" s="21">
        <v>30658</v>
      </c>
      <c r="F235" s="21">
        <v>30662</v>
      </c>
      <c r="G235" s="21">
        <v>11383</v>
      </c>
      <c r="H235" s="21">
        <v>4301</v>
      </c>
      <c r="I235" s="21">
        <v>4486</v>
      </c>
      <c r="J235" s="21">
        <v>7376</v>
      </c>
      <c r="K235" s="21">
        <v>668</v>
      </c>
      <c r="L235" s="21">
        <v>706</v>
      </c>
      <c r="M235" s="21">
        <v>0.3841</v>
      </c>
      <c r="N235" s="21">
        <v>0.3841</v>
      </c>
      <c r="O235" s="21">
        <v>2.7300000000000001E-2</v>
      </c>
      <c r="P235" s="21">
        <v>580</v>
      </c>
      <c r="Q235" s="21">
        <v>0.62070000000000003</v>
      </c>
      <c r="R235" s="21">
        <v>43</v>
      </c>
      <c r="S235" s="21">
        <v>53</v>
      </c>
      <c r="T235" s="21">
        <v>0.1167</v>
      </c>
      <c r="U235" s="21">
        <v>2.41E-2</v>
      </c>
      <c r="V235" s="21">
        <v>0.58130000000000004</v>
      </c>
      <c r="AP235" s="21">
        <v>94</v>
      </c>
      <c r="AQ235" s="21">
        <v>94</v>
      </c>
      <c r="AR235" s="21">
        <v>79</v>
      </c>
      <c r="AS235" s="21">
        <v>15</v>
      </c>
      <c r="AU235" s="21">
        <v>58</v>
      </c>
      <c r="AV235" s="21">
        <v>0</v>
      </c>
    </row>
    <row r="236" spans="1:48" x14ac:dyDescent="0.15">
      <c r="A236" s="20" t="s">
        <v>58</v>
      </c>
      <c r="B236" s="20" t="s">
        <v>77</v>
      </c>
      <c r="C236" s="21">
        <v>0</v>
      </c>
      <c r="D236" s="21">
        <v>0</v>
      </c>
      <c r="E236" s="21">
        <v>0</v>
      </c>
      <c r="F236" s="21">
        <v>0</v>
      </c>
      <c r="AV236" s="21">
        <v>0</v>
      </c>
    </row>
    <row r="237" spans="1:48" x14ac:dyDescent="0.15">
      <c r="A237" s="20" t="s">
        <v>59</v>
      </c>
      <c r="B237" s="20" t="s">
        <v>77</v>
      </c>
      <c r="C237" s="21">
        <v>0</v>
      </c>
      <c r="D237" s="21">
        <v>0</v>
      </c>
      <c r="E237" s="21">
        <v>0</v>
      </c>
      <c r="F237" s="21">
        <v>0</v>
      </c>
    </row>
    <row r="238" spans="1:48" x14ac:dyDescent="0.15">
      <c r="A238" s="20" t="s">
        <v>60</v>
      </c>
      <c r="B238" s="20" t="s">
        <v>77</v>
      </c>
      <c r="C238" s="21">
        <v>0</v>
      </c>
      <c r="D238" s="21">
        <v>44</v>
      </c>
      <c r="E238" s="21">
        <v>8168</v>
      </c>
      <c r="F238" s="21">
        <v>8212</v>
      </c>
      <c r="H238" s="21">
        <v>2265</v>
      </c>
      <c r="I238" s="21">
        <v>2179</v>
      </c>
      <c r="J238" s="21">
        <v>3768</v>
      </c>
      <c r="K238" s="21">
        <v>0</v>
      </c>
      <c r="L238" s="21">
        <v>286</v>
      </c>
      <c r="M238" s="21">
        <v>0.3836</v>
      </c>
      <c r="N238" s="21">
        <v>0.3836</v>
      </c>
      <c r="O238" s="21">
        <v>1.03E-2</v>
      </c>
      <c r="P238" s="21">
        <v>250</v>
      </c>
      <c r="Q238" s="21">
        <v>0.63600000000000001</v>
      </c>
      <c r="R238" s="21">
        <v>29</v>
      </c>
      <c r="S238" s="21">
        <v>33</v>
      </c>
      <c r="T238" s="21">
        <v>7.7600000000000002E-2</v>
      </c>
      <c r="U238" s="21">
        <v>4.1500000000000002E-2</v>
      </c>
      <c r="AU238" s="21">
        <v>0</v>
      </c>
      <c r="AV238" s="21">
        <v>0</v>
      </c>
    </row>
    <row r="239" spans="1:48" x14ac:dyDescent="0.15">
      <c r="A239" s="20" t="s">
        <v>61</v>
      </c>
      <c r="B239" s="20" t="s">
        <v>77</v>
      </c>
      <c r="C239" s="21">
        <v>0</v>
      </c>
      <c r="D239" s="21">
        <v>45</v>
      </c>
      <c r="E239" s="21">
        <v>8177</v>
      </c>
      <c r="F239" s="21">
        <v>8222</v>
      </c>
      <c r="G239" s="21">
        <v>1360</v>
      </c>
      <c r="H239" s="21">
        <v>2929</v>
      </c>
      <c r="I239" s="21">
        <v>2345</v>
      </c>
      <c r="J239" s="21">
        <v>1587</v>
      </c>
      <c r="L239" s="21">
        <v>220</v>
      </c>
      <c r="M239" s="21">
        <v>0.38929999999999998</v>
      </c>
      <c r="N239" s="21">
        <v>0.38519999999999999</v>
      </c>
      <c r="O239" s="21">
        <v>4.9200000000000001E-2</v>
      </c>
      <c r="P239" s="21">
        <v>236</v>
      </c>
      <c r="Q239" s="21">
        <v>0.54239999999999999</v>
      </c>
      <c r="R239" s="21">
        <v>36</v>
      </c>
      <c r="S239" s="21">
        <v>35</v>
      </c>
      <c r="T239" s="21">
        <v>0.13730000000000001</v>
      </c>
      <c r="U239" s="21">
        <v>4.3200000000000002E-2</v>
      </c>
      <c r="AU239" s="21">
        <v>0</v>
      </c>
      <c r="AV239" s="21">
        <v>0</v>
      </c>
    </row>
    <row r="240" spans="1:48" x14ac:dyDescent="0.15">
      <c r="A240" s="20" t="s">
        <v>48</v>
      </c>
      <c r="B240" s="20" t="s">
        <v>78</v>
      </c>
      <c r="C240" s="21">
        <v>0</v>
      </c>
      <c r="D240" s="21">
        <v>5</v>
      </c>
      <c r="E240" s="21">
        <v>10314</v>
      </c>
      <c r="F240" s="21">
        <v>10319</v>
      </c>
      <c r="H240" s="21">
        <v>3678</v>
      </c>
      <c r="I240" s="21">
        <v>2761</v>
      </c>
      <c r="J240" s="21">
        <v>1522</v>
      </c>
      <c r="K240" s="21">
        <v>0</v>
      </c>
      <c r="L240" s="21">
        <v>236</v>
      </c>
      <c r="M240" s="21">
        <v>0.69350000000000001</v>
      </c>
      <c r="N240" s="21">
        <v>0.69350000000000001</v>
      </c>
      <c r="O240" s="21">
        <v>1.21E-2</v>
      </c>
      <c r="P240" s="21">
        <v>355</v>
      </c>
      <c r="Q240" s="21">
        <v>0.74650000000000005</v>
      </c>
      <c r="R240" s="21">
        <v>44</v>
      </c>
      <c r="S240" s="21">
        <v>29</v>
      </c>
      <c r="T240" s="21">
        <v>0.1515</v>
      </c>
      <c r="U240" s="21">
        <v>1.1900000000000001E-2</v>
      </c>
      <c r="AP240" s="21">
        <v>7</v>
      </c>
      <c r="AQ240" s="21">
        <v>7</v>
      </c>
      <c r="AR240" s="21">
        <v>7</v>
      </c>
      <c r="AS240" s="21">
        <v>1</v>
      </c>
      <c r="AU240" s="21">
        <v>0</v>
      </c>
      <c r="AV240" s="21">
        <v>0</v>
      </c>
    </row>
    <row r="241" spans="1:48" x14ac:dyDescent="0.15">
      <c r="A241" s="20" t="s">
        <v>50</v>
      </c>
      <c r="B241" s="20" t="s">
        <v>78</v>
      </c>
      <c r="C241" s="21">
        <v>0</v>
      </c>
      <c r="D241" s="21">
        <v>17</v>
      </c>
      <c r="E241" s="21">
        <v>7466</v>
      </c>
      <c r="F241" s="21">
        <v>7484</v>
      </c>
      <c r="H241" s="21">
        <v>5501</v>
      </c>
      <c r="I241" s="21">
        <v>1919</v>
      </c>
      <c r="J241" s="21">
        <v>63</v>
      </c>
      <c r="K241" s="21">
        <v>0</v>
      </c>
      <c r="L241" s="21">
        <v>215</v>
      </c>
      <c r="M241" s="21">
        <v>0.72030000000000005</v>
      </c>
      <c r="N241" s="21">
        <v>0.71189999999999998</v>
      </c>
      <c r="O241" s="21">
        <v>3.8100000000000002E-2</v>
      </c>
      <c r="P241" s="21">
        <v>270</v>
      </c>
      <c r="Q241" s="21">
        <v>0.9667</v>
      </c>
      <c r="R241" s="21">
        <v>34</v>
      </c>
      <c r="S241" s="21">
        <v>28</v>
      </c>
      <c r="T241" s="21">
        <v>0.14349999999999999</v>
      </c>
      <c r="U241" s="21">
        <v>1.72E-2</v>
      </c>
      <c r="AP241" s="21">
        <v>122</v>
      </c>
      <c r="AQ241" s="21">
        <v>122</v>
      </c>
      <c r="AR241" s="21">
        <v>121</v>
      </c>
      <c r="AS241" s="21">
        <v>1</v>
      </c>
      <c r="AU241" s="21">
        <v>4</v>
      </c>
      <c r="AV241" s="21">
        <v>0</v>
      </c>
    </row>
    <row r="242" spans="1:48" x14ac:dyDescent="0.15">
      <c r="A242" s="20" t="s">
        <v>51</v>
      </c>
      <c r="B242" s="20" t="s">
        <v>78</v>
      </c>
      <c r="C242" s="21">
        <v>0</v>
      </c>
      <c r="D242" s="21">
        <v>36</v>
      </c>
      <c r="E242" s="21">
        <v>18649</v>
      </c>
      <c r="F242" s="21">
        <v>18684</v>
      </c>
      <c r="G242" s="21">
        <v>304</v>
      </c>
      <c r="H242" s="21">
        <v>10189</v>
      </c>
      <c r="I242" s="21">
        <v>4569</v>
      </c>
      <c r="J242" s="21">
        <v>3622</v>
      </c>
      <c r="K242" s="21">
        <v>0</v>
      </c>
      <c r="L242" s="21">
        <v>758</v>
      </c>
      <c r="M242" s="21">
        <v>0.5877</v>
      </c>
      <c r="N242" s="21">
        <v>0.58650000000000002</v>
      </c>
      <c r="O242" s="21">
        <v>5.1400000000000001E-2</v>
      </c>
      <c r="P242" s="21">
        <v>612</v>
      </c>
      <c r="Q242" s="21">
        <v>0.97219999999999995</v>
      </c>
      <c r="R242" s="21">
        <v>25</v>
      </c>
      <c r="S242" s="21">
        <v>31</v>
      </c>
      <c r="T242" s="21">
        <v>0.17169999999999999</v>
      </c>
      <c r="U242" s="21">
        <v>1.84E-2</v>
      </c>
      <c r="AU242" s="21">
        <v>7</v>
      </c>
      <c r="AV242" s="21">
        <v>0</v>
      </c>
    </row>
    <row r="243" spans="1:48" x14ac:dyDescent="0.15">
      <c r="A243" s="20" t="s">
        <v>52</v>
      </c>
      <c r="B243" s="20" t="s">
        <v>78</v>
      </c>
      <c r="C243" s="21">
        <v>0</v>
      </c>
      <c r="D243" s="21">
        <v>36</v>
      </c>
      <c r="E243" s="21">
        <v>24708</v>
      </c>
      <c r="F243" s="21">
        <v>24744</v>
      </c>
      <c r="G243" s="21">
        <v>6394</v>
      </c>
      <c r="H243" s="21">
        <v>9804</v>
      </c>
      <c r="I243" s="21">
        <v>2572</v>
      </c>
      <c r="J243" s="21">
        <v>5974</v>
      </c>
      <c r="K243" s="21">
        <v>0</v>
      </c>
      <c r="L243" s="21">
        <v>411</v>
      </c>
      <c r="M243" s="21">
        <v>0.70889999999999997</v>
      </c>
      <c r="N243" s="21">
        <v>0.70660000000000001</v>
      </c>
      <c r="O243" s="21">
        <v>3.0499999999999999E-2</v>
      </c>
      <c r="P243" s="21">
        <v>346</v>
      </c>
      <c r="Q243" s="21">
        <v>1.3091999999999999</v>
      </c>
      <c r="R243" s="21">
        <v>61</v>
      </c>
      <c r="S243" s="21">
        <v>72</v>
      </c>
      <c r="T243" s="21">
        <v>0.1462</v>
      </c>
      <c r="U243" s="21">
        <v>2.5899999999999999E-2</v>
      </c>
      <c r="AP243" s="21">
        <v>30</v>
      </c>
      <c r="AQ243" s="21">
        <v>30</v>
      </c>
      <c r="AR243" s="21">
        <v>28</v>
      </c>
      <c r="AS243" s="21">
        <v>2</v>
      </c>
      <c r="AU243" s="21">
        <v>4</v>
      </c>
      <c r="AV243" s="21">
        <v>0</v>
      </c>
    </row>
    <row r="244" spans="1:48" x14ac:dyDescent="0.15">
      <c r="A244" s="20" t="s">
        <v>53</v>
      </c>
      <c r="B244" s="20" t="s">
        <v>78</v>
      </c>
      <c r="C244" s="21">
        <v>0</v>
      </c>
      <c r="D244" s="21">
        <v>0</v>
      </c>
      <c r="E244" s="21">
        <v>0</v>
      </c>
      <c r="F244" s="21">
        <v>0</v>
      </c>
    </row>
    <row r="245" spans="1:48" x14ac:dyDescent="0.15">
      <c r="A245" s="20" t="s">
        <v>0</v>
      </c>
      <c r="B245" s="20" t="s">
        <v>78</v>
      </c>
      <c r="C245" s="21">
        <v>0</v>
      </c>
      <c r="D245" s="21">
        <v>140</v>
      </c>
      <c r="E245" s="21">
        <v>93940</v>
      </c>
      <c r="F245" s="21">
        <v>94080</v>
      </c>
      <c r="G245" s="21">
        <v>17976</v>
      </c>
      <c r="H245" s="21">
        <v>35305</v>
      </c>
      <c r="I245" s="21">
        <v>20489</v>
      </c>
      <c r="J245" s="21">
        <v>17524</v>
      </c>
      <c r="K245" s="21">
        <v>124</v>
      </c>
      <c r="L245" s="21">
        <v>2260</v>
      </c>
      <c r="M245" s="21">
        <v>0.66979999999999995</v>
      </c>
      <c r="N245" s="21">
        <v>0.66759999999999997</v>
      </c>
      <c r="O245" s="21">
        <v>3.8300000000000001E-2</v>
      </c>
      <c r="P245" s="21">
        <v>2126</v>
      </c>
      <c r="Q245" s="21">
        <v>1.0216000000000001</v>
      </c>
      <c r="R245" s="21">
        <v>42</v>
      </c>
      <c r="S245" s="21">
        <v>44</v>
      </c>
      <c r="T245" s="21">
        <v>0.15040000000000001</v>
      </c>
      <c r="U245" s="21">
        <v>2.35E-2</v>
      </c>
      <c r="V245" s="21">
        <v>0.70130000000000003</v>
      </c>
      <c r="AP245" s="21">
        <v>271</v>
      </c>
      <c r="AQ245" s="21">
        <v>271</v>
      </c>
      <c r="AR245" s="21">
        <v>257</v>
      </c>
      <c r="AS245" s="21">
        <v>15</v>
      </c>
      <c r="AU245" s="21">
        <v>42</v>
      </c>
      <c r="AV245" s="21">
        <v>0</v>
      </c>
    </row>
    <row r="246" spans="1:48" x14ac:dyDescent="0.15">
      <c r="A246" s="20" t="s">
        <v>54</v>
      </c>
      <c r="B246" s="20" t="s">
        <v>78</v>
      </c>
      <c r="C246" s="21">
        <v>0</v>
      </c>
      <c r="D246" s="21">
        <v>0</v>
      </c>
      <c r="E246" s="21">
        <v>0</v>
      </c>
      <c r="F246" s="21">
        <v>0</v>
      </c>
      <c r="AV246" s="21">
        <v>0</v>
      </c>
    </row>
    <row r="247" spans="1:48" x14ac:dyDescent="0.15">
      <c r="A247" s="20" t="s">
        <v>55</v>
      </c>
      <c r="B247" s="20" t="s">
        <v>78</v>
      </c>
      <c r="C247" s="21">
        <v>0</v>
      </c>
      <c r="D247" s="21">
        <v>0</v>
      </c>
      <c r="E247" s="21">
        <v>0</v>
      </c>
      <c r="F247" s="21">
        <v>0</v>
      </c>
    </row>
    <row r="248" spans="1:48" x14ac:dyDescent="0.15">
      <c r="A248" s="20" t="s">
        <v>56</v>
      </c>
      <c r="B248" s="20" t="s">
        <v>78</v>
      </c>
      <c r="C248" s="21">
        <v>0</v>
      </c>
      <c r="D248" s="21">
        <v>0</v>
      </c>
      <c r="E248" s="21">
        <v>0</v>
      </c>
      <c r="F248" s="21">
        <v>0</v>
      </c>
      <c r="AU248" s="21">
        <v>0</v>
      </c>
      <c r="AV248" s="21">
        <v>0</v>
      </c>
    </row>
    <row r="249" spans="1:48" x14ac:dyDescent="0.15">
      <c r="A249" s="20" t="s">
        <v>57</v>
      </c>
      <c r="B249" s="20" t="s">
        <v>78</v>
      </c>
      <c r="C249" s="21">
        <v>0</v>
      </c>
      <c r="D249" s="21">
        <v>21</v>
      </c>
      <c r="E249" s="21">
        <v>22742</v>
      </c>
      <c r="F249" s="21">
        <v>22763</v>
      </c>
      <c r="G249" s="21">
        <v>10286</v>
      </c>
      <c r="H249" s="21">
        <v>2814</v>
      </c>
      <c r="I249" s="21">
        <v>5114</v>
      </c>
      <c r="J249" s="21">
        <v>4121</v>
      </c>
      <c r="K249" s="21">
        <v>124</v>
      </c>
      <c r="L249" s="21">
        <v>386</v>
      </c>
      <c r="M249" s="21">
        <v>0.69330000000000003</v>
      </c>
      <c r="N249" s="21">
        <v>0.69079999999999997</v>
      </c>
      <c r="O249" s="21">
        <v>2.24E-2</v>
      </c>
      <c r="P249" s="21">
        <v>299</v>
      </c>
      <c r="Q249" s="21">
        <v>1.097</v>
      </c>
      <c r="R249" s="21">
        <v>62</v>
      </c>
      <c r="S249" s="21">
        <v>76</v>
      </c>
      <c r="T249" s="21">
        <v>9.2799999999999994E-2</v>
      </c>
      <c r="U249" s="21">
        <v>2.3400000000000001E-2</v>
      </c>
      <c r="V249" s="21">
        <v>0.70130000000000003</v>
      </c>
      <c r="AP249" s="21">
        <v>112</v>
      </c>
      <c r="AQ249" s="21">
        <v>112</v>
      </c>
      <c r="AR249" s="21">
        <v>101</v>
      </c>
      <c r="AS249" s="21">
        <v>11</v>
      </c>
      <c r="AU249" s="21">
        <v>28</v>
      </c>
      <c r="AV249" s="21">
        <v>0</v>
      </c>
    </row>
    <row r="250" spans="1:48" x14ac:dyDescent="0.15">
      <c r="A250" s="20" t="s">
        <v>58</v>
      </c>
      <c r="B250" s="20" t="s">
        <v>78</v>
      </c>
      <c r="C250" s="21">
        <v>0</v>
      </c>
      <c r="D250" s="21">
        <v>0</v>
      </c>
      <c r="E250" s="21">
        <v>0</v>
      </c>
      <c r="F250" s="21">
        <v>0</v>
      </c>
      <c r="AV250" s="21">
        <v>0</v>
      </c>
    </row>
    <row r="251" spans="1:48" x14ac:dyDescent="0.15">
      <c r="A251" s="20" t="s">
        <v>59</v>
      </c>
      <c r="B251" s="20" t="s">
        <v>78</v>
      </c>
      <c r="C251" s="21">
        <v>0</v>
      </c>
      <c r="D251" s="21">
        <v>0</v>
      </c>
      <c r="E251" s="21">
        <v>0</v>
      </c>
      <c r="F251" s="21">
        <v>0</v>
      </c>
    </row>
    <row r="252" spans="1:48" x14ac:dyDescent="0.15">
      <c r="A252" s="20" t="s">
        <v>60</v>
      </c>
      <c r="B252" s="20" t="s">
        <v>78</v>
      </c>
      <c r="C252" s="21">
        <v>0</v>
      </c>
      <c r="D252" s="21">
        <v>10</v>
      </c>
      <c r="E252" s="21">
        <v>4709</v>
      </c>
      <c r="F252" s="21">
        <v>4719</v>
      </c>
      <c r="H252" s="21">
        <v>2000</v>
      </c>
      <c r="I252" s="21">
        <v>1703</v>
      </c>
      <c r="J252" s="21">
        <v>1016</v>
      </c>
      <c r="K252" s="21">
        <v>0</v>
      </c>
      <c r="L252" s="21">
        <v>145</v>
      </c>
      <c r="M252" s="21">
        <v>0.69540000000000002</v>
      </c>
      <c r="N252" s="21">
        <v>0.69540000000000002</v>
      </c>
      <c r="O252" s="21">
        <v>2.6499999999999999E-2</v>
      </c>
      <c r="P252" s="21">
        <v>125</v>
      </c>
      <c r="Q252" s="21">
        <v>1.1439999999999999</v>
      </c>
      <c r="R252" s="21">
        <v>33</v>
      </c>
      <c r="S252" s="21">
        <v>38</v>
      </c>
      <c r="T252" s="21">
        <v>0.23649999999999999</v>
      </c>
      <c r="U252" s="21">
        <v>3.7499999999999999E-2</v>
      </c>
      <c r="AU252" s="21">
        <v>0</v>
      </c>
      <c r="AV252" s="21">
        <v>0</v>
      </c>
    </row>
    <row r="253" spans="1:48" x14ac:dyDescent="0.15">
      <c r="A253" s="20" t="s">
        <v>61</v>
      </c>
      <c r="B253" s="20" t="s">
        <v>78</v>
      </c>
      <c r="C253" s="21">
        <v>0</v>
      </c>
      <c r="D253" s="21">
        <v>16</v>
      </c>
      <c r="E253" s="21">
        <v>5351</v>
      </c>
      <c r="F253" s="21">
        <v>5367</v>
      </c>
      <c r="G253" s="21">
        <v>992</v>
      </c>
      <c r="H253" s="21">
        <v>1318</v>
      </c>
      <c r="I253" s="21">
        <v>1852</v>
      </c>
      <c r="J253" s="21">
        <v>1205</v>
      </c>
      <c r="L253" s="21">
        <v>109</v>
      </c>
      <c r="M253" s="21">
        <v>0.8246</v>
      </c>
      <c r="N253" s="21">
        <v>0.8246</v>
      </c>
      <c r="O253" s="21">
        <v>0.1053</v>
      </c>
      <c r="P253" s="21">
        <v>119</v>
      </c>
      <c r="Q253" s="21">
        <v>1.0671999999999999</v>
      </c>
      <c r="R253" s="21">
        <v>49</v>
      </c>
      <c r="S253" s="21">
        <v>45</v>
      </c>
      <c r="T253" s="21">
        <v>0.23549999999999999</v>
      </c>
      <c r="U253" s="21">
        <v>3.8300000000000001E-2</v>
      </c>
      <c r="AU253" s="21">
        <v>0</v>
      </c>
      <c r="AV253" s="21">
        <v>0</v>
      </c>
    </row>
    <row r="254" spans="1:48" x14ac:dyDescent="0.15">
      <c r="A254" s="20" t="s">
        <v>48</v>
      </c>
      <c r="B254" s="20" t="s">
        <v>79</v>
      </c>
      <c r="C254" s="21">
        <v>0</v>
      </c>
      <c r="D254" s="21">
        <v>1</v>
      </c>
      <c r="E254" s="21">
        <v>10054</v>
      </c>
      <c r="F254" s="21">
        <v>10055</v>
      </c>
      <c r="H254" s="21">
        <v>5575</v>
      </c>
      <c r="I254" s="21">
        <v>1664</v>
      </c>
      <c r="J254" s="21">
        <v>966</v>
      </c>
      <c r="K254" s="21">
        <v>0</v>
      </c>
      <c r="L254" s="21">
        <v>269</v>
      </c>
      <c r="M254" s="21">
        <v>0.60440000000000005</v>
      </c>
      <c r="N254" s="21">
        <v>0.60440000000000005</v>
      </c>
      <c r="O254" s="21">
        <v>7.3000000000000001E-3</v>
      </c>
      <c r="P254" s="21">
        <v>491</v>
      </c>
      <c r="Q254" s="21">
        <v>0.52749999999999997</v>
      </c>
      <c r="R254" s="21">
        <v>40</v>
      </c>
      <c r="S254" s="21">
        <v>20</v>
      </c>
      <c r="T254" s="21">
        <v>0.12130000000000001</v>
      </c>
      <c r="U254" s="21">
        <v>1.24E-2</v>
      </c>
      <c r="AP254" s="21">
        <v>2</v>
      </c>
      <c r="AQ254" s="21">
        <v>2</v>
      </c>
      <c r="AR254" s="21">
        <v>2</v>
      </c>
      <c r="AS254" s="21">
        <v>1</v>
      </c>
      <c r="AU254" s="21">
        <v>6</v>
      </c>
      <c r="AV254" s="21">
        <v>0</v>
      </c>
    </row>
    <row r="255" spans="1:48" x14ac:dyDescent="0.15">
      <c r="A255" s="20" t="s">
        <v>50</v>
      </c>
      <c r="B255" s="20" t="s">
        <v>79</v>
      </c>
      <c r="C255" s="21">
        <v>0</v>
      </c>
      <c r="D255" s="21">
        <v>12</v>
      </c>
      <c r="E255" s="21">
        <v>8258</v>
      </c>
      <c r="F255" s="21">
        <v>8270</v>
      </c>
      <c r="H255" s="21">
        <v>8080</v>
      </c>
      <c r="I255" s="21">
        <v>177</v>
      </c>
      <c r="J255" s="21">
        <v>13</v>
      </c>
      <c r="K255" s="21">
        <v>0</v>
      </c>
      <c r="L255" s="21">
        <v>225</v>
      </c>
      <c r="M255" s="21">
        <v>0.71779999999999999</v>
      </c>
      <c r="N255" s="21">
        <v>0.70950000000000002</v>
      </c>
      <c r="O255" s="21">
        <v>3.73E-2</v>
      </c>
      <c r="P255" s="21">
        <v>283</v>
      </c>
      <c r="Q255" s="21">
        <v>0.91169999999999995</v>
      </c>
      <c r="R255" s="21">
        <v>38</v>
      </c>
      <c r="S255" s="21">
        <v>29</v>
      </c>
      <c r="T255" s="21">
        <v>9.1800000000000007E-2</v>
      </c>
      <c r="U255" s="21">
        <v>1.54E-2</v>
      </c>
      <c r="AP255" s="21">
        <v>52</v>
      </c>
      <c r="AQ255" s="21">
        <v>52</v>
      </c>
      <c r="AR255" s="21">
        <v>51</v>
      </c>
      <c r="AS255" s="21">
        <v>1</v>
      </c>
      <c r="AU255" s="21">
        <v>6</v>
      </c>
      <c r="AV255" s="21">
        <v>0</v>
      </c>
    </row>
    <row r="256" spans="1:48" x14ac:dyDescent="0.15">
      <c r="A256" s="20" t="s">
        <v>51</v>
      </c>
      <c r="B256" s="20" t="s">
        <v>79</v>
      </c>
      <c r="C256" s="21">
        <v>0</v>
      </c>
      <c r="D256" s="21">
        <v>44</v>
      </c>
      <c r="E256" s="21">
        <v>18743</v>
      </c>
      <c r="F256" s="21">
        <v>18786</v>
      </c>
      <c r="G256" s="21">
        <v>724</v>
      </c>
      <c r="H256" s="21">
        <v>9940</v>
      </c>
      <c r="I256" s="21">
        <v>4432</v>
      </c>
      <c r="J256" s="21">
        <v>3689</v>
      </c>
      <c r="K256" s="21">
        <v>0</v>
      </c>
      <c r="L256" s="21">
        <v>761</v>
      </c>
      <c r="M256" s="21">
        <v>0.60750000000000004</v>
      </c>
      <c r="N256" s="21">
        <v>0.60750000000000004</v>
      </c>
      <c r="O256" s="21">
        <v>3.4799999999999998E-2</v>
      </c>
      <c r="P256" s="21">
        <v>639</v>
      </c>
      <c r="Q256" s="21">
        <v>0.96560000000000001</v>
      </c>
      <c r="R256" s="21">
        <v>25</v>
      </c>
      <c r="S256" s="21">
        <v>29</v>
      </c>
      <c r="T256" s="21">
        <v>0.17899999999999999</v>
      </c>
      <c r="U256" s="21">
        <v>2.1600000000000001E-2</v>
      </c>
      <c r="AU256" s="21">
        <v>21</v>
      </c>
      <c r="AV256" s="21">
        <v>0</v>
      </c>
    </row>
    <row r="257" spans="1:48" x14ac:dyDescent="0.15">
      <c r="A257" s="20" t="s">
        <v>52</v>
      </c>
      <c r="B257" s="20" t="s">
        <v>79</v>
      </c>
      <c r="C257" s="21">
        <v>0</v>
      </c>
      <c r="D257" s="21">
        <v>51</v>
      </c>
      <c r="E257" s="21">
        <v>36817</v>
      </c>
      <c r="F257" s="21">
        <v>36868</v>
      </c>
      <c r="G257" s="21">
        <v>13021</v>
      </c>
      <c r="H257" s="21">
        <v>11784</v>
      </c>
      <c r="I257" s="21">
        <v>2282</v>
      </c>
      <c r="J257" s="21">
        <v>9780</v>
      </c>
      <c r="K257" s="21">
        <v>0</v>
      </c>
      <c r="L257" s="21">
        <v>435</v>
      </c>
      <c r="M257" s="21">
        <v>0.67859999999999998</v>
      </c>
      <c r="N257" s="21">
        <v>0.67859999999999998</v>
      </c>
      <c r="O257" s="21">
        <v>2.23E-2</v>
      </c>
      <c r="P257" s="21">
        <v>371</v>
      </c>
      <c r="Q257" s="21">
        <v>1.2344999999999999</v>
      </c>
      <c r="R257" s="21">
        <v>87</v>
      </c>
      <c r="S257" s="21">
        <v>99</v>
      </c>
      <c r="T257" s="21">
        <v>0.111</v>
      </c>
      <c r="U257" s="21">
        <v>2.4400000000000002E-2</v>
      </c>
      <c r="V257" s="21">
        <v>0.53949999999999998</v>
      </c>
      <c r="AP257" s="21">
        <v>17</v>
      </c>
      <c r="AQ257" s="21">
        <v>17</v>
      </c>
      <c r="AR257" s="21">
        <v>6</v>
      </c>
      <c r="AS257" s="21">
        <v>11</v>
      </c>
      <c r="AU257" s="21">
        <v>20</v>
      </c>
      <c r="AV257" s="21">
        <v>0</v>
      </c>
    </row>
    <row r="258" spans="1:48" x14ac:dyDescent="0.15">
      <c r="A258" s="20" t="s">
        <v>53</v>
      </c>
      <c r="B258" s="20" t="s">
        <v>79</v>
      </c>
      <c r="C258" s="21">
        <v>0</v>
      </c>
      <c r="D258" s="21">
        <v>0</v>
      </c>
      <c r="E258" s="21">
        <v>0</v>
      </c>
      <c r="F258" s="21">
        <v>0</v>
      </c>
    </row>
    <row r="259" spans="1:48" x14ac:dyDescent="0.15">
      <c r="A259" s="20" t="s">
        <v>0</v>
      </c>
      <c r="B259" s="20" t="s">
        <v>79</v>
      </c>
      <c r="C259" s="21">
        <v>0</v>
      </c>
      <c r="D259" s="21">
        <v>208</v>
      </c>
      <c r="E259" s="21">
        <v>149859</v>
      </c>
      <c r="F259" s="21">
        <v>150067</v>
      </c>
      <c r="G259" s="21">
        <v>34100</v>
      </c>
      <c r="H259" s="21">
        <v>44239</v>
      </c>
      <c r="I259" s="21">
        <v>23240</v>
      </c>
      <c r="J259" s="21">
        <v>33007</v>
      </c>
      <c r="K259" s="21">
        <v>798</v>
      </c>
      <c r="L259" s="21">
        <v>2387</v>
      </c>
      <c r="M259" s="21">
        <v>0.66120000000000001</v>
      </c>
      <c r="N259" s="21">
        <v>0.65959999999999996</v>
      </c>
      <c r="O259" s="21">
        <v>3.44E-2</v>
      </c>
      <c r="P259" s="21">
        <v>2355</v>
      </c>
      <c r="Q259" s="21">
        <v>0.96560000000000001</v>
      </c>
      <c r="R259" s="21">
        <v>65</v>
      </c>
      <c r="S259" s="21">
        <v>64</v>
      </c>
      <c r="T259" s="21">
        <v>0.1033</v>
      </c>
      <c r="U259" s="21">
        <v>2.2800000000000001E-2</v>
      </c>
      <c r="V259" s="21">
        <v>0.72660000000000002</v>
      </c>
      <c r="AP259" s="21">
        <v>329</v>
      </c>
      <c r="AQ259" s="21">
        <v>329</v>
      </c>
      <c r="AR259" s="21">
        <v>306</v>
      </c>
      <c r="AS259" s="21">
        <v>24</v>
      </c>
      <c r="AU259" s="21">
        <v>114</v>
      </c>
      <c r="AV259" s="21">
        <v>0</v>
      </c>
    </row>
    <row r="260" spans="1:48" x14ac:dyDescent="0.15">
      <c r="A260" s="20" t="s">
        <v>54</v>
      </c>
      <c r="B260" s="20" t="s">
        <v>79</v>
      </c>
      <c r="C260" s="21">
        <v>0</v>
      </c>
      <c r="D260" s="21">
        <v>0</v>
      </c>
      <c r="E260" s="21">
        <v>0</v>
      </c>
      <c r="F260" s="21">
        <v>0</v>
      </c>
      <c r="AV260" s="21">
        <v>0</v>
      </c>
    </row>
    <row r="261" spans="1:48" x14ac:dyDescent="0.15">
      <c r="A261" s="20" t="s">
        <v>55</v>
      </c>
      <c r="B261" s="20" t="s">
        <v>79</v>
      </c>
      <c r="C261" s="21">
        <v>0</v>
      </c>
      <c r="D261" s="21">
        <v>0</v>
      </c>
      <c r="E261" s="21">
        <v>0</v>
      </c>
      <c r="F261" s="21">
        <v>0</v>
      </c>
    </row>
    <row r="262" spans="1:48" x14ac:dyDescent="0.15">
      <c r="A262" s="20" t="s">
        <v>56</v>
      </c>
      <c r="B262" s="20" t="s">
        <v>79</v>
      </c>
      <c r="C262" s="21">
        <v>0</v>
      </c>
      <c r="D262" s="21">
        <v>0</v>
      </c>
      <c r="E262" s="21">
        <v>0</v>
      </c>
      <c r="F262" s="21">
        <v>0</v>
      </c>
      <c r="AU262" s="21">
        <v>0</v>
      </c>
      <c r="AV262" s="21">
        <v>0</v>
      </c>
    </row>
    <row r="263" spans="1:48" x14ac:dyDescent="0.15">
      <c r="A263" s="20" t="s">
        <v>57</v>
      </c>
      <c r="B263" s="20" t="s">
        <v>79</v>
      </c>
      <c r="C263" s="21">
        <v>0</v>
      </c>
      <c r="D263" s="21">
        <v>63</v>
      </c>
      <c r="E263" s="21">
        <v>61753</v>
      </c>
      <c r="F263" s="21">
        <v>61816</v>
      </c>
      <c r="G263" s="21">
        <v>18612</v>
      </c>
      <c r="H263" s="21">
        <v>5549</v>
      </c>
      <c r="I263" s="21">
        <v>9482</v>
      </c>
      <c r="J263" s="21">
        <v>14543</v>
      </c>
      <c r="K263" s="21">
        <v>798</v>
      </c>
      <c r="L263" s="21">
        <v>417</v>
      </c>
      <c r="M263" s="21">
        <v>0.75</v>
      </c>
      <c r="N263" s="21">
        <v>0.74550000000000005</v>
      </c>
      <c r="O263" s="21">
        <v>5.2299999999999999E-2</v>
      </c>
      <c r="P263" s="21">
        <v>322</v>
      </c>
      <c r="Q263" s="21">
        <v>1.2608999999999999</v>
      </c>
      <c r="R263" s="21">
        <v>154</v>
      </c>
      <c r="S263" s="21">
        <v>192</v>
      </c>
      <c r="T263" s="21">
        <v>7.0400000000000004E-2</v>
      </c>
      <c r="U263" s="21">
        <v>2.1000000000000001E-2</v>
      </c>
      <c r="V263" s="21">
        <v>0.73850000000000005</v>
      </c>
      <c r="AP263" s="21">
        <v>258</v>
      </c>
      <c r="AQ263" s="21">
        <v>258</v>
      </c>
      <c r="AR263" s="21">
        <v>247</v>
      </c>
      <c r="AS263" s="21">
        <v>12</v>
      </c>
      <c r="AU263" s="21">
        <v>61</v>
      </c>
      <c r="AV263" s="21">
        <v>0</v>
      </c>
    </row>
    <row r="264" spans="1:48" x14ac:dyDescent="0.15">
      <c r="A264" s="20" t="s">
        <v>58</v>
      </c>
      <c r="B264" s="20" t="s">
        <v>79</v>
      </c>
      <c r="C264" s="21">
        <v>0</v>
      </c>
      <c r="D264" s="21">
        <v>0</v>
      </c>
      <c r="E264" s="21">
        <v>0</v>
      </c>
      <c r="F264" s="21">
        <v>0</v>
      </c>
      <c r="AV264" s="21">
        <v>0</v>
      </c>
    </row>
    <row r="265" spans="1:48" x14ac:dyDescent="0.15">
      <c r="A265" s="20" t="s">
        <v>59</v>
      </c>
      <c r="B265" s="20" t="s">
        <v>79</v>
      </c>
      <c r="C265" s="21">
        <v>0</v>
      </c>
      <c r="D265" s="21">
        <v>0</v>
      </c>
      <c r="E265" s="21">
        <v>0</v>
      </c>
      <c r="F265" s="21">
        <v>0</v>
      </c>
    </row>
    <row r="266" spans="1:48" x14ac:dyDescent="0.15">
      <c r="A266" s="20" t="s">
        <v>60</v>
      </c>
      <c r="B266" s="20" t="s">
        <v>79</v>
      </c>
      <c r="C266" s="21">
        <v>0</v>
      </c>
      <c r="D266" s="21">
        <v>24</v>
      </c>
      <c r="E266" s="21">
        <v>7568</v>
      </c>
      <c r="F266" s="21">
        <v>7592</v>
      </c>
      <c r="H266" s="21">
        <v>1442</v>
      </c>
      <c r="I266" s="21">
        <v>3288</v>
      </c>
      <c r="J266" s="21">
        <v>2862</v>
      </c>
      <c r="K266" s="21">
        <v>0</v>
      </c>
      <c r="L266" s="21">
        <v>166</v>
      </c>
      <c r="M266" s="21">
        <v>0.57650000000000001</v>
      </c>
      <c r="N266" s="21">
        <v>0.57650000000000001</v>
      </c>
      <c r="O266" s="21">
        <v>1.18E-2</v>
      </c>
      <c r="P266" s="21">
        <v>127</v>
      </c>
      <c r="Q266" s="21">
        <v>1.1416999999999999</v>
      </c>
      <c r="R266" s="21">
        <v>49</v>
      </c>
      <c r="S266" s="21">
        <v>60</v>
      </c>
      <c r="T266" s="21">
        <v>7.6700000000000004E-2</v>
      </c>
      <c r="U266" s="21">
        <v>3.3099999999999997E-2</v>
      </c>
      <c r="AU266" s="21">
        <v>0</v>
      </c>
      <c r="AV266" s="21">
        <v>0</v>
      </c>
    </row>
    <row r="267" spans="1:48" x14ac:dyDescent="0.15">
      <c r="A267" s="20" t="s">
        <v>61</v>
      </c>
      <c r="B267" s="20" t="s">
        <v>79</v>
      </c>
      <c r="C267" s="21">
        <v>0</v>
      </c>
      <c r="D267" s="21">
        <v>14</v>
      </c>
      <c r="E267" s="21">
        <v>6666</v>
      </c>
      <c r="F267" s="21">
        <v>6680</v>
      </c>
      <c r="G267" s="21">
        <v>1743</v>
      </c>
      <c r="H267" s="21">
        <v>1868</v>
      </c>
      <c r="I267" s="21">
        <v>1916</v>
      </c>
      <c r="J267" s="21">
        <v>1153</v>
      </c>
      <c r="L267" s="21">
        <v>114</v>
      </c>
      <c r="M267" s="21">
        <v>0.76670000000000005</v>
      </c>
      <c r="N267" s="21">
        <v>0.76670000000000005</v>
      </c>
      <c r="O267" s="21">
        <v>0.1</v>
      </c>
      <c r="P267" s="21">
        <v>122</v>
      </c>
      <c r="Q267" s="21">
        <v>1.0738000000000001</v>
      </c>
      <c r="R267" s="21">
        <v>60</v>
      </c>
      <c r="S267" s="21">
        <v>55</v>
      </c>
      <c r="T267" s="21">
        <v>0.13639999999999999</v>
      </c>
      <c r="U267" s="21">
        <v>4.7699999999999999E-2</v>
      </c>
      <c r="AU267" s="21">
        <v>0</v>
      </c>
      <c r="AV267" s="21">
        <v>0</v>
      </c>
    </row>
    <row r="268" spans="1:48" x14ac:dyDescent="0.15">
      <c r="A268" s="20" t="s">
        <v>48</v>
      </c>
      <c r="B268" s="20" t="s">
        <v>80</v>
      </c>
      <c r="C268" s="21">
        <v>0</v>
      </c>
      <c r="D268" s="21">
        <v>10</v>
      </c>
      <c r="E268" s="21">
        <v>28982</v>
      </c>
      <c r="F268" s="21">
        <v>28992</v>
      </c>
      <c r="H268" s="21">
        <v>14842</v>
      </c>
      <c r="I268" s="21">
        <v>7397</v>
      </c>
      <c r="J268" s="21">
        <v>1959</v>
      </c>
      <c r="K268" s="21">
        <v>0</v>
      </c>
      <c r="L268" s="21">
        <v>278</v>
      </c>
      <c r="M268" s="21">
        <v>0.68879999999999997</v>
      </c>
      <c r="N268" s="21">
        <v>0.68879999999999997</v>
      </c>
      <c r="O268" s="21">
        <v>7.0000000000000001E-3</v>
      </c>
      <c r="P268" s="21">
        <v>518</v>
      </c>
      <c r="Q268" s="21">
        <v>0.64480000000000004</v>
      </c>
      <c r="R268" s="21">
        <v>106</v>
      </c>
      <c r="S268" s="21">
        <v>56</v>
      </c>
      <c r="T268" s="21">
        <v>8.1600000000000006E-2</v>
      </c>
      <c r="U268" s="21">
        <v>6.7000000000000002E-3</v>
      </c>
      <c r="W268" s="21">
        <v>29</v>
      </c>
      <c r="X268" s="21">
        <v>4</v>
      </c>
      <c r="Y268" s="21">
        <v>45</v>
      </c>
      <c r="Z268" s="21">
        <v>0</v>
      </c>
      <c r="AA268" s="21">
        <v>0.1</v>
      </c>
      <c r="AB268" s="21">
        <v>89</v>
      </c>
      <c r="AC268" s="21">
        <v>89</v>
      </c>
      <c r="AD268" s="21">
        <v>196</v>
      </c>
      <c r="AE268" s="21">
        <v>2</v>
      </c>
      <c r="AF268" s="21">
        <v>6.6E-3</v>
      </c>
      <c r="AG268" s="21">
        <v>0</v>
      </c>
      <c r="AH268" s="21">
        <v>0</v>
      </c>
      <c r="AI268" s="21">
        <v>0</v>
      </c>
      <c r="AJ268" s="21">
        <v>0</v>
      </c>
      <c r="AK268" s="21">
        <v>0</v>
      </c>
      <c r="AL268" s="21">
        <v>0</v>
      </c>
      <c r="AM268" s="21">
        <v>0</v>
      </c>
      <c r="AN268" s="21">
        <v>0</v>
      </c>
      <c r="AP268" s="21">
        <v>15</v>
      </c>
      <c r="AQ268" s="21">
        <v>15</v>
      </c>
      <c r="AR268" s="21">
        <v>14</v>
      </c>
      <c r="AS268" s="21">
        <v>0</v>
      </c>
      <c r="AU268" s="21">
        <v>14</v>
      </c>
      <c r="AV268" s="21">
        <v>0</v>
      </c>
    </row>
    <row r="269" spans="1:48" x14ac:dyDescent="0.15">
      <c r="A269" s="20" t="s">
        <v>50</v>
      </c>
      <c r="B269" s="20" t="s">
        <v>80</v>
      </c>
      <c r="C269" s="21">
        <v>0</v>
      </c>
      <c r="D269" s="21">
        <v>12</v>
      </c>
      <c r="E269" s="21">
        <v>25602</v>
      </c>
      <c r="F269" s="21">
        <v>25614</v>
      </c>
      <c r="H269" s="21">
        <v>22626</v>
      </c>
      <c r="I269" s="21">
        <v>2979</v>
      </c>
      <c r="J269" s="21">
        <v>9</v>
      </c>
      <c r="K269" s="21">
        <v>0</v>
      </c>
      <c r="L269" s="21">
        <v>239</v>
      </c>
      <c r="M269" s="21">
        <v>0.82299999999999995</v>
      </c>
      <c r="N269" s="21">
        <v>0.81889999999999996</v>
      </c>
      <c r="O269" s="21">
        <v>4.1200000000000001E-2</v>
      </c>
      <c r="P269" s="21">
        <v>307</v>
      </c>
      <c r="Q269" s="21">
        <v>1.0553999999999999</v>
      </c>
      <c r="R269" s="21">
        <v>110</v>
      </c>
      <c r="S269" s="21">
        <v>83</v>
      </c>
      <c r="T269" s="21">
        <v>0.1013</v>
      </c>
      <c r="U269" s="21">
        <v>4.3400000000000001E-2</v>
      </c>
      <c r="V269" s="21">
        <v>0.92179999999999995</v>
      </c>
      <c r="W269" s="21">
        <v>82</v>
      </c>
      <c r="X269" s="21">
        <v>0</v>
      </c>
      <c r="Y269" s="21">
        <v>23</v>
      </c>
      <c r="Z269" s="21">
        <v>0</v>
      </c>
      <c r="AA269" s="21">
        <v>0</v>
      </c>
      <c r="AB269" s="21">
        <v>96</v>
      </c>
      <c r="AC269" s="21">
        <v>96</v>
      </c>
      <c r="AD269" s="21">
        <v>76</v>
      </c>
      <c r="AE269" s="21">
        <v>68</v>
      </c>
      <c r="AF269" s="21">
        <v>1.2363999999999999</v>
      </c>
      <c r="AG269" s="21">
        <v>0</v>
      </c>
      <c r="AH269" s="21">
        <v>0</v>
      </c>
      <c r="AI269" s="21">
        <v>0</v>
      </c>
      <c r="AJ269" s="21">
        <v>0</v>
      </c>
      <c r="AK269" s="21">
        <v>0</v>
      </c>
      <c r="AL269" s="21">
        <v>0</v>
      </c>
      <c r="AM269" s="21">
        <v>0</v>
      </c>
      <c r="AN269" s="21">
        <v>0</v>
      </c>
      <c r="AP269" s="21">
        <v>63</v>
      </c>
      <c r="AQ269" s="21">
        <v>63</v>
      </c>
      <c r="AR269" s="21">
        <v>62</v>
      </c>
      <c r="AS269" s="21">
        <v>0</v>
      </c>
      <c r="AU269" s="21">
        <v>7</v>
      </c>
      <c r="AV269" s="21">
        <v>0</v>
      </c>
    </row>
    <row r="270" spans="1:48" x14ac:dyDescent="0.15">
      <c r="A270" s="20" t="s">
        <v>51</v>
      </c>
      <c r="B270" s="20" t="s">
        <v>80</v>
      </c>
      <c r="C270" s="21">
        <v>0</v>
      </c>
      <c r="D270" s="21">
        <v>37</v>
      </c>
      <c r="E270" s="21">
        <v>37030</v>
      </c>
      <c r="F270" s="21">
        <v>37067</v>
      </c>
      <c r="G270" s="21">
        <v>763</v>
      </c>
      <c r="H270" s="21">
        <v>19267</v>
      </c>
      <c r="I270" s="21">
        <v>7591</v>
      </c>
      <c r="J270" s="21">
        <v>9446</v>
      </c>
      <c r="K270" s="21">
        <v>0</v>
      </c>
      <c r="L270" s="21">
        <v>827</v>
      </c>
      <c r="M270" s="21">
        <v>0.6321</v>
      </c>
      <c r="N270" s="21">
        <v>0.6321</v>
      </c>
      <c r="O270" s="21">
        <v>4.5199999999999997E-2</v>
      </c>
      <c r="P270" s="21">
        <v>726</v>
      </c>
      <c r="Q270" s="21">
        <v>0.97660000000000002</v>
      </c>
      <c r="R270" s="21">
        <v>47</v>
      </c>
      <c r="S270" s="21">
        <v>51</v>
      </c>
      <c r="T270" s="21">
        <v>0.1193</v>
      </c>
      <c r="U270" s="21">
        <v>2.0199999999999999E-2</v>
      </c>
      <c r="V270" s="21">
        <v>0.88280000000000003</v>
      </c>
      <c r="AB270" s="21">
        <v>0</v>
      </c>
      <c r="AC270" s="21">
        <v>0</v>
      </c>
      <c r="AD270" s="21">
        <v>0</v>
      </c>
      <c r="AE270" s="21">
        <v>0</v>
      </c>
      <c r="AF270" s="21">
        <v>0</v>
      </c>
      <c r="AG270" s="21">
        <v>0</v>
      </c>
      <c r="AH270" s="21">
        <v>0</v>
      </c>
      <c r="AI270" s="21">
        <v>0</v>
      </c>
      <c r="AJ270" s="21">
        <v>0</v>
      </c>
      <c r="AK270" s="21">
        <v>0</v>
      </c>
      <c r="AL270" s="21">
        <v>0</v>
      </c>
      <c r="AM270" s="21">
        <v>0</v>
      </c>
      <c r="AN270" s="21">
        <v>0</v>
      </c>
      <c r="AU270" s="21">
        <v>38</v>
      </c>
      <c r="AV270" s="21">
        <v>0</v>
      </c>
    </row>
    <row r="271" spans="1:48" x14ac:dyDescent="0.15">
      <c r="A271" s="20" t="s">
        <v>52</v>
      </c>
      <c r="B271" s="20" t="s">
        <v>80</v>
      </c>
      <c r="C271" s="21">
        <v>0</v>
      </c>
      <c r="D271" s="21">
        <v>61</v>
      </c>
      <c r="E271" s="21">
        <v>58028</v>
      </c>
      <c r="F271" s="21">
        <v>58089</v>
      </c>
      <c r="G271" s="21">
        <v>24897</v>
      </c>
      <c r="H271" s="21">
        <v>17634</v>
      </c>
      <c r="I271" s="21">
        <v>3076</v>
      </c>
      <c r="J271" s="21">
        <v>12276</v>
      </c>
      <c r="K271" s="21">
        <v>205</v>
      </c>
      <c r="L271" s="21">
        <v>457</v>
      </c>
      <c r="M271" s="21">
        <v>0.72729999999999995</v>
      </c>
      <c r="N271" s="21">
        <v>0.72729999999999995</v>
      </c>
      <c r="O271" s="21">
        <v>2.1600000000000001E-2</v>
      </c>
      <c r="P271" s="21">
        <v>403</v>
      </c>
      <c r="Q271" s="21">
        <v>1.3027</v>
      </c>
      <c r="R271" s="21">
        <v>130</v>
      </c>
      <c r="S271" s="21">
        <v>144</v>
      </c>
      <c r="T271" s="21">
        <v>0.13150000000000001</v>
      </c>
      <c r="U271" s="21">
        <v>3.4200000000000001E-2</v>
      </c>
      <c r="V271" s="21">
        <v>0.79169999999999996</v>
      </c>
      <c r="W271" s="21">
        <v>10</v>
      </c>
      <c r="X271" s="21">
        <v>1</v>
      </c>
      <c r="Y271" s="21">
        <v>16</v>
      </c>
      <c r="Z271" s="21">
        <v>0</v>
      </c>
      <c r="AA271" s="21">
        <v>0.1</v>
      </c>
      <c r="AB271" s="21">
        <v>28</v>
      </c>
      <c r="AC271" s="21">
        <v>28</v>
      </c>
      <c r="AD271" s="21">
        <v>114</v>
      </c>
      <c r="AE271" s="21">
        <v>0</v>
      </c>
      <c r="AF271" s="21">
        <v>0</v>
      </c>
      <c r="AG271" s="21">
        <v>0</v>
      </c>
      <c r="AH271" s="21">
        <v>0</v>
      </c>
      <c r="AI271" s="21">
        <v>0</v>
      </c>
      <c r="AJ271" s="21">
        <v>0</v>
      </c>
      <c r="AK271" s="21">
        <v>0</v>
      </c>
      <c r="AL271" s="21">
        <v>0</v>
      </c>
      <c r="AM271" s="21">
        <v>0</v>
      </c>
      <c r="AN271" s="21">
        <v>0</v>
      </c>
      <c r="AP271" s="21">
        <v>26</v>
      </c>
      <c r="AQ271" s="21">
        <v>26</v>
      </c>
      <c r="AR271" s="21">
        <v>23</v>
      </c>
      <c r="AS271" s="21">
        <v>3</v>
      </c>
      <c r="AU271" s="21">
        <v>13</v>
      </c>
      <c r="AV271" s="21">
        <v>0</v>
      </c>
    </row>
    <row r="272" spans="1:48" x14ac:dyDescent="0.15">
      <c r="A272" s="20" t="s">
        <v>53</v>
      </c>
      <c r="B272" s="20" t="s">
        <v>80</v>
      </c>
      <c r="C272" s="21">
        <v>0</v>
      </c>
      <c r="D272" s="21">
        <v>0</v>
      </c>
      <c r="E272" s="21">
        <v>0</v>
      </c>
      <c r="F272" s="21">
        <v>0</v>
      </c>
      <c r="AB272" s="21">
        <v>0</v>
      </c>
      <c r="AC272" s="21">
        <v>0</v>
      </c>
      <c r="AD272" s="21">
        <v>0</v>
      </c>
      <c r="AE272" s="21">
        <v>0</v>
      </c>
      <c r="AF272" s="21">
        <v>0</v>
      </c>
      <c r="AG272" s="21">
        <v>0</v>
      </c>
      <c r="AH272" s="21">
        <v>0</v>
      </c>
      <c r="AI272" s="21">
        <v>0</v>
      </c>
      <c r="AJ272" s="21">
        <v>0</v>
      </c>
      <c r="AK272" s="21">
        <v>0</v>
      </c>
      <c r="AL272" s="21">
        <v>0</v>
      </c>
      <c r="AM272" s="21">
        <v>0</v>
      </c>
      <c r="AN272" s="21">
        <v>0</v>
      </c>
    </row>
    <row r="273" spans="1:48" x14ac:dyDescent="0.15">
      <c r="A273" s="20" t="s">
        <v>0</v>
      </c>
      <c r="B273" s="20" t="s">
        <v>80</v>
      </c>
      <c r="C273" s="21">
        <v>0</v>
      </c>
      <c r="D273" s="21">
        <v>190</v>
      </c>
      <c r="E273" s="21">
        <v>262290</v>
      </c>
      <c r="F273" s="21">
        <v>262480</v>
      </c>
      <c r="G273" s="21">
        <v>55604</v>
      </c>
      <c r="H273" s="21">
        <v>89818</v>
      </c>
      <c r="I273" s="21">
        <v>46741</v>
      </c>
      <c r="J273" s="21">
        <v>51868</v>
      </c>
      <c r="K273" s="21">
        <v>3728</v>
      </c>
      <c r="L273" s="21">
        <v>2511</v>
      </c>
      <c r="M273" s="21">
        <v>0.71289999999999998</v>
      </c>
      <c r="N273" s="21">
        <v>0.71260000000000001</v>
      </c>
      <c r="O273" s="21">
        <v>3.4700000000000002E-2</v>
      </c>
      <c r="P273" s="21">
        <v>2562</v>
      </c>
      <c r="Q273" s="21">
        <v>1.0394000000000001</v>
      </c>
      <c r="R273" s="21">
        <v>107</v>
      </c>
      <c r="S273" s="21">
        <v>102</v>
      </c>
      <c r="T273" s="21">
        <v>0.1016</v>
      </c>
      <c r="U273" s="21">
        <v>3.3099999999999997E-2</v>
      </c>
      <c r="V273" s="21">
        <v>0.79159999999999997</v>
      </c>
      <c r="W273" s="21">
        <v>190</v>
      </c>
      <c r="X273" s="21">
        <v>7</v>
      </c>
      <c r="Y273" s="21">
        <v>190</v>
      </c>
      <c r="Z273" s="21">
        <v>0</v>
      </c>
      <c r="AA273" s="21">
        <v>0</v>
      </c>
      <c r="AB273" s="21">
        <v>778</v>
      </c>
      <c r="AC273" s="21">
        <v>778</v>
      </c>
      <c r="AD273" s="21">
        <v>1085</v>
      </c>
      <c r="AE273" s="21">
        <v>74</v>
      </c>
      <c r="AF273" s="21">
        <v>5.3199999999999997E-2</v>
      </c>
      <c r="AG273" s="21">
        <v>0</v>
      </c>
      <c r="AH273" s="21">
        <v>0</v>
      </c>
      <c r="AI273" s="21">
        <v>0</v>
      </c>
      <c r="AJ273" s="21">
        <v>0</v>
      </c>
      <c r="AK273" s="21">
        <v>0</v>
      </c>
      <c r="AL273" s="21">
        <v>0</v>
      </c>
      <c r="AM273" s="21">
        <v>0</v>
      </c>
      <c r="AN273" s="21">
        <v>0</v>
      </c>
      <c r="AP273" s="21">
        <v>1425</v>
      </c>
      <c r="AQ273" s="21">
        <v>545</v>
      </c>
      <c r="AR273" s="21">
        <v>520</v>
      </c>
      <c r="AS273" s="21">
        <v>25</v>
      </c>
      <c r="AU273" s="21">
        <v>211</v>
      </c>
      <c r="AV273" s="21">
        <v>0</v>
      </c>
    </row>
    <row r="274" spans="1:48" x14ac:dyDescent="0.15">
      <c r="A274" s="20" t="s">
        <v>54</v>
      </c>
      <c r="B274" s="20" t="s">
        <v>80</v>
      </c>
      <c r="C274" s="21">
        <v>0</v>
      </c>
      <c r="D274" s="21">
        <v>0</v>
      </c>
      <c r="E274" s="21">
        <v>0</v>
      </c>
      <c r="F274" s="21">
        <v>0</v>
      </c>
      <c r="AB274" s="21">
        <v>0</v>
      </c>
      <c r="AC274" s="21">
        <v>0</v>
      </c>
      <c r="AD274" s="21">
        <v>0</v>
      </c>
      <c r="AE274" s="21">
        <v>0</v>
      </c>
      <c r="AF274" s="21">
        <v>0</v>
      </c>
      <c r="AG274" s="21">
        <v>0</v>
      </c>
      <c r="AH274" s="21">
        <v>0</v>
      </c>
      <c r="AI274" s="21">
        <v>0</v>
      </c>
      <c r="AJ274" s="21">
        <v>0</v>
      </c>
      <c r="AK274" s="21">
        <v>0</v>
      </c>
      <c r="AL274" s="21">
        <v>0</v>
      </c>
      <c r="AM274" s="21">
        <v>0</v>
      </c>
      <c r="AN274" s="21">
        <v>0</v>
      </c>
      <c r="AV274" s="21">
        <v>0</v>
      </c>
    </row>
    <row r="275" spans="1:48" x14ac:dyDescent="0.15">
      <c r="A275" s="20" t="s">
        <v>55</v>
      </c>
      <c r="B275" s="20" t="s">
        <v>80</v>
      </c>
      <c r="C275" s="21">
        <v>0</v>
      </c>
      <c r="D275" s="21">
        <v>0</v>
      </c>
      <c r="E275" s="21">
        <v>0</v>
      </c>
      <c r="F275" s="21">
        <v>0</v>
      </c>
      <c r="AB275" s="21">
        <v>0</v>
      </c>
      <c r="AC275" s="21">
        <v>0</v>
      </c>
      <c r="AD275" s="21">
        <v>0</v>
      </c>
      <c r="AE275" s="21">
        <v>0</v>
      </c>
      <c r="AF275" s="21">
        <v>0</v>
      </c>
      <c r="AG275" s="21">
        <v>0</v>
      </c>
      <c r="AH275" s="21">
        <v>0</v>
      </c>
      <c r="AI275" s="21">
        <v>0</v>
      </c>
      <c r="AJ275" s="21">
        <v>0</v>
      </c>
      <c r="AK275" s="21">
        <v>0</v>
      </c>
      <c r="AL275" s="21">
        <v>0</v>
      </c>
      <c r="AM275" s="21">
        <v>0</v>
      </c>
      <c r="AN275" s="21">
        <v>0</v>
      </c>
    </row>
    <row r="276" spans="1:48" x14ac:dyDescent="0.15">
      <c r="A276" s="20" t="s">
        <v>56</v>
      </c>
      <c r="B276" s="20" t="s">
        <v>80</v>
      </c>
      <c r="C276" s="21">
        <v>0</v>
      </c>
      <c r="D276" s="21">
        <v>0</v>
      </c>
      <c r="E276" s="21">
        <v>0</v>
      </c>
      <c r="F276" s="21">
        <v>0</v>
      </c>
      <c r="AB276" s="21">
        <v>0</v>
      </c>
      <c r="AC276" s="21">
        <v>0</v>
      </c>
      <c r="AD276" s="21">
        <v>0</v>
      </c>
      <c r="AE276" s="21">
        <v>0</v>
      </c>
      <c r="AF276" s="21">
        <v>0</v>
      </c>
      <c r="AG276" s="21">
        <v>0</v>
      </c>
      <c r="AH276" s="21">
        <v>0</v>
      </c>
      <c r="AI276" s="21">
        <v>0</v>
      </c>
      <c r="AJ276" s="21">
        <v>0</v>
      </c>
      <c r="AK276" s="21">
        <v>0</v>
      </c>
      <c r="AL276" s="21">
        <v>0</v>
      </c>
      <c r="AM276" s="21">
        <v>0</v>
      </c>
      <c r="AN276" s="21">
        <v>0</v>
      </c>
      <c r="AU276" s="21">
        <v>0</v>
      </c>
      <c r="AV276" s="21">
        <v>0</v>
      </c>
    </row>
    <row r="277" spans="1:48" x14ac:dyDescent="0.15">
      <c r="A277" s="20" t="s">
        <v>57</v>
      </c>
      <c r="B277" s="20" t="s">
        <v>80</v>
      </c>
      <c r="C277" s="21">
        <v>0</v>
      </c>
      <c r="D277" s="21">
        <v>56</v>
      </c>
      <c r="E277" s="21">
        <v>77027</v>
      </c>
      <c r="F277" s="21">
        <v>77082</v>
      </c>
      <c r="G277" s="21">
        <v>25526</v>
      </c>
      <c r="H277" s="21">
        <v>7580</v>
      </c>
      <c r="I277" s="21">
        <v>12804</v>
      </c>
      <c r="J277" s="21">
        <v>17736</v>
      </c>
      <c r="K277" s="21">
        <v>3509</v>
      </c>
      <c r="L277" s="21">
        <v>419</v>
      </c>
      <c r="M277" s="21">
        <v>0.76780000000000004</v>
      </c>
      <c r="N277" s="21">
        <v>0.76780000000000004</v>
      </c>
      <c r="O277" s="21">
        <v>4.1399999999999999E-2</v>
      </c>
      <c r="P277" s="21">
        <v>344</v>
      </c>
      <c r="Q277" s="21">
        <v>1.2442</v>
      </c>
      <c r="R277" s="21">
        <v>184</v>
      </c>
      <c r="S277" s="21">
        <v>224</v>
      </c>
      <c r="T277" s="21">
        <v>7.7799999999999994E-2</v>
      </c>
      <c r="U277" s="21">
        <v>4.02E-2</v>
      </c>
      <c r="V277" s="21">
        <v>0.70940000000000003</v>
      </c>
      <c r="W277" s="21">
        <v>69</v>
      </c>
      <c r="X277" s="21">
        <v>2</v>
      </c>
      <c r="Y277" s="21">
        <v>106</v>
      </c>
      <c r="Z277" s="21">
        <v>0</v>
      </c>
      <c r="AA277" s="21">
        <v>0</v>
      </c>
      <c r="AB277" s="21">
        <v>565</v>
      </c>
      <c r="AC277" s="21">
        <v>565</v>
      </c>
      <c r="AD277" s="21">
        <v>700</v>
      </c>
      <c r="AE277" s="21">
        <v>4</v>
      </c>
      <c r="AF277" s="21">
        <v>4.7999999999999996E-3</v>
      </c>
      <c r="AG277" s="21">
        <v>0</v>
      </c>
      <c r="AH277" s="21">
        <v>0</v>
      </c>
      <c r="AI277" s="21">
        <v>0</v>
      </c>
      <c r="AJ277" s="21">
        <v>0</v>
      </c>
      <c r="AK277" s="21">
        <v>0</v>
      </c>
      <c r="AL277" s="21">
        <v>0</v>
      </c>
      <c r="AM277" s="21">
        <v>0</v>
      </c>
      <c r="AN277" s="21">
        <v>0</v>
      </c>
      <c r="AP277" s="21">
        <v>1322</v>
      </c>
      <c r="AQ277" s="21">
        <v>442</v>
      </c>
      <c r="AR277" s="21">
        <v>420</v>
      </c>
      <c r="AS277" s="21">
        <v>22</v>
      </c>
      <c r="AU277" s="21">
        <v>139</v>
      </c>
      <c r="AV277" s="21">
        <v>0</v>
      </c>
    </row>
    <row r="278" spans="1:48" x14ac:dyDescent="0.15">
      <c r="A278" s="20" t="s">
        <v>58</v>
      </c>
      <c r="B278" s="20" t="s">
        <v>80</v>
      </c>
      <c r="C278" s="21">
        <v>0</v>
      </c>
      <c r="D278" s="21">
        <v>0</v>
      </c>
      <c r="E278" s="21">
        <v>0</v>
      </c>
      <c r="F278" s="21">
        <v>0</v>
      </c>
      <c r="AB278" s="21">
        <v>0</v>
      </c>
      <c r="AC278" s="21">
        <v>0</v>
      </c>
      <c r="AD278" s="21">
        <v>0</v>
      </c>
      <c r="AE278" s="21">
        <v>0</v>
      </c>
      <c r="AF278" s="21">
        <v>0</v>
      </c>
      <c r="AG278" s="21">
        <v>0</v>
      </c>
      <c r="AH278" s="21">
        <v>0</v>
      </c>
      <c r="AI278" s="21">
        <v>0</v>
      </c>
      <c r="AJ278" s="21">
        <v>0</v>
      </c>
      <c r="AK278" s="21">
        <v>0</v>
      </c>
      <c r="AL278" s="21">
        <v>0</v>
      </c>
      <c r="AM278" s="21">
        <v>0</v>
      </c>
      <c r="AN278" s="21">
        <v>0</v>
      </c>
      <c r="AV278" s="21">
        <v>0</v>
      </c>
    </row>
    <row r="279" spans="1:48" x14ac:dyDescent="0.15">
      <c r="A279" s="20" t="s">
        <v>59</v>
      </c>
      <c r="B279" s="20" t="s">
        <v>80</v>
      </c>
      <c r="C279" s="21">
        <v>0</v>
      </c>
      <c r="D279" s="21">
        <v>0</v>
      </c>
      <c r="E279" s="21">
        <v>0</v>
      </c>
      <c r="F279" s="21">
        <v>0</v>
      </c>
      <c r="AB279" s="21">
        <v>0</v>
      </c>
      <c r="AC279" s="21">
        <v>0</v>
      </c>
      <c r="AD279" s="21">
        <v>0</v>
      </c>
      <c r="AE279" s="21">
        <v>0</v>
      </c>
      <c r="AF279" s="21">
        <v>0</v>
      </c>
      <c r="AG279" s="21">
        <v>0</v>
      </c>
      <c r="AH279" s="21">
        <v>0</v>
      </c>
      <c r="AI279" s="21">
        <v>0</v>
      </c>
      <c r="AJ279" s="21">
        <v>0</v>
      </c>
      <c r="AK279" s="21">
        <v>0</v>
      </c>
      <c r="AL279" s="21">
        <v>0</v>
      </c>
      <c r="AM279" s="21">
        <v>0</v>
      </c>
      <c r="AN279" s="21">
        <v>0</v>
      </c>
    </row>
    <row r="280" spans="1:48" x14ac:dyDescent="0.15">
      <c r="A280" s="20" t="s">
        <v>60</v>
      </c>
      <c r="B280" s="20" t="s">
        <v>80</v>
      </c>
      <c r="C280" s="21">
        <v>0</v>
      </c>
      <c r="D280" s="21">
        <v>2</v>
      </c>
      <c r="E280" s="21">
        <v>21313</v>
      </c>
      <c r="F280" s="21">
        <v>21316</v>
      </c>
      <c r="G280" s="21">
        <v>1535</v>
      </c>
      <c r="H280" s="21">
        <v>4844</v>
      </c>
      <c r="I280" s="21">
        <v>9278</v>
      </c>
      <c r="J280" s="21">
        <v>5644</v>
      </c>
      <c r="K280" s="21">
        <v>14</v>
      </c>
      <c r="L280" s="21">
        <v>175</v>
      </c>
      <c r="M280" s="21">
        <v>0.71109999999999995</v>
      </c>
      <c r="N280" s="21">
        <v>0.71109999999999995</v>
      </c>
      <c r="O280" s="21">
        <v>5.5999999999999999E-3</v>
      </c>
      <c r="P280" s="21">
        <v>140</v>
      </c>
      <c r="Q280" s="21">
        <v>1.3357000000000001</v>
      </c>
      <c r="R280" s="21">
        <v>125</v>
      </c>
      <c r="S280" s="21">
        <v>152</v>
      </c>
      <c r="T280" s="21">
        <v>9.2399999999999996E-2</v>
      </c>
      <c r="U280" s="21">
        <v>1.29E-2</v>
      </c>
      <c r="AB280" s="21">
        <v>0</v>
      </c>
      <c r="AC280" s="21">
        <v>0</v>
      </c>
      <c r="AD280" s="21">
        <v>0</v>
      </c>
      <c r="AE280" s="21">
        <v>0</v>
      </c>
      <c r="AF280" s="21">
        <v>0</v>
      </c>
      <c r="AG280" s="21">
        <v>0</v>
      </c>
      <c r="AH280" s="21">
        <v>0</v>
      </c>
      <c r="AI280" s="21">
        <v>0</v>
      </c>
      <c r="AJ280" s="21">
        <v>0</v>
      </c>
      <c r="AK280" s="21">
        <v>0</v>
      </c>
      <c r="AL280" s="21">
        <v>0</v>
      </c>
      <c r="AM280" s="21">
        <v>0</v>
      </c>
      <c r="AN280" s="21">
        <v>0</v>
      </c>
      <c r="AU280" s="21">
        <v>0</v>
      </c>
      <c r="AV280" s="21">
        <v>0</v>
      </c>
    </row>
    <row r="281" spans="1:48" x14ac:dyDescent="0.15">
      <c r="A281" s="20" t="s">
        <v>61</v>
      </c>
      <c r="B281" s="20" t="s">
        <v>80</v>
      </c>
      <c r="C281" s="21">
        <v>0</v>
      </c>
      <c r="D281" s="21">
        <v>12</v>
      </c>
      <c r="E281" s="21">
        <v>14309</v>
      </c>
      <c r="F281" s="21">
        <v>14321</v>
      </c>
      <c r="G281" s="21">
        <v>2882</v>
      </c>
      <c r="H281" s="21">
        <v>3025</v>
      </c>
      <c r="I281" s="21">
        <v>3615</v>
      </c>
      <c r="J281" s="21">
        <v>4799</v>
      </c>
      <c r="L281" s="21">
        <v>116</v>
      </c>
      <c r="M281" s="21">
        <v>0.86439999999999995</v>
      </c>
      <c r="N281" s="21">
        <v>0.86439999999999995</v>
      </c>
      <c r="O281" s="21">
        <v>8.4699999999999998E-2</v>
      </c>
      <c r="P281" s="21">
        <v>124</v>
      </c>
      <c r="Q281" s="21">
        <v>1.2581</v>
      </c>
      <c r="R281" s="21">
        <v>125</v>
      </c>
      <c r="S281" s="21">
        <v>115</v>
      </c>
      <c r="T281" s="21">
        <v>0.1081</v>
      </c>
      <c r="U281" s="21">
        <v>6.3899999999999998E-2</v>
      </c>
      <c r="AB281" s="21">
        <v>0</v>
      </c>
      <c r="AC281" s="21">
        <v>0</v>
      </c>
      <c r="AD281" s="21">
        <v>0</v>
      </c>
      <c r="AE281" s="21">
        <v>0</v>
      </c>
      <c r="AF281" s="21">
        <v>0</v>
      </c>
      <c r="AG281" s="21">
        <v>0</v>
      </c>
      <c r="AH281" s="21">
        <v>0</v>
      </c>
      <c r="AI281" s="21">
        <v>0</v>
      </c>
      <c r="AJ281" s="21">
        <v>0</v>
      </c>
      <c r="AK281" s="21">
        <v>0</v>
      </c>
      <c r="AL281" s="21">
        <v>0</v>
      </c>
      <c r="AM281" s="21">
        <v>0</v>
      </c>
      <c r="AN281" s="21">
        <v>0</v>
      </c>
      <c r="AU281" s="21">
        <v>0</v>
      </c>
      <c r="AV281" s="21">
        <v>0</v>
      </c>
    </row>
    <row r="282" spans="1:48" x14ac:dyDescent="0.15">
      <c r="A282" s="20" t="s">
        <v>48</v>
      </c>
      <c r="B282" s="20" t="s">
        <v>81</v>
      </c>
      <c r="C282" s="21">
        <v>0</v>
      </c>
      <c r="D282" s="21">
        <v>6</v>
      </c>
      <c r="E282" s="21">
        <v>31248</v>
      </c>
      <c r="F282" s="21">
        <v>31254</v>
      </c>
      <c r="H282" s="21">
        <v>13176</v>
      </c>
      <c r="I282" s="21">
        <v>8291</v>
      </c>
      <c r="J282" s="21">
        <v>3874</v>
      </c>
      <c r="K282" s="21">
        <v>0</v>
      </c>
      <c r="L282" s="21">
        <v>273</v>
      </c>
      <c r="M282" s="21">
        <v>0.76819999999999999</v>
      </c>
      <c r="N282" s="21">
        <v>0.76819999999999999</v>
      </c>
      <c r="O282" s="21">
        <v>1.7299999999999999E-2</v>
      </c>
      <c r="P282" s="21">
        <v>525</v>
      </c>
      <c r="Q282" s="21">
        <v>0.7429</v>
      </c>
      <c r="R282" s="21">
        <v>113</v>
      </c>
      <c r="S282" s="21">
        <v>60</v>
      </c>
      <c r="T282" s="21">
        <v>7.4499999999999997E-2</v>
      </c>
      <c r="U282" s="21">
        <v>1.2500000000000001E-2</v>
      </c>
      <c r="V282" s="21">
        <v>0.76470000000000005</v>
      </c>
      <c r="W282" s="21">
        <v>6</v>
      </c>
      <c r="X282" s="21">
        <v>1</v>
      </c>
      <c r="Y282" s="21">
        <v>14</v>
      </c>
      <c r="Z282" s="21">
        <v>0</v>
      </c>
      <c r="AA282" s="21">
        <v>0</v>
      </c>
      <c r="AB282" s="21">
        <v>90</v>
      </c>
      <c r="AC282" s="21">
        <v>90</v>
      </c>
      <c r="AD282" s="21">
        <v>90</v>
      </c>
      <c r="AE282" s="21">
        <v>1</v>
      </c>
      <c r="AF282" s="21">
        <v>1.12E-2</v>
      </c>
      <c r="AG282" s="21">
        <v>0</v>
      </c>
      <c r="AH282" s="21">
        <v>0</v>
      </c>
      <c r="AI282" s="21">
        <v>0</v>
      </c>
      <c r="AJ282" s="21">
        <v>0.25309999999999999</v>
      </c>
      <c r="AK282" s="21">
        <v>0</v>
      </c>
      <c r="AL282" s="21">
        <v>0</v>
      </c>
      <c r="AM282" s="21">
        <v>0</v>
      </c>
      <c r="AN282" s="21">
        <v>0</v>
      </c>
      <c r="AP282" s="21">
        <v>1</v>
      </c>
      <c r="AQ282" s="21">
        <v>1</v>
      </c>
      <c r="AR282" s="21">
        <v>1</v>
      </c>
      <c r="AS282" s="21">
        <v>0</v>
      </c>
      <c r="AU282" s="21">
        <v>13</v>
      </c>
      <c r="AV282" s="21">
        <v>0</v>
      </c>
    </row>
    <row r="283" spans="1:48" x14ac:dyDescent="0.15">
      <c r="A283" s="20" t="s">
        <v>50</v>
      </c>
      <c r="B283" s="20" t="s">
        <v>81</v>
      </c>
      <c r="C283" s="21">
        <v>0</v>
      </c>
      <c r="D283" s="21">
        <v>22</v>
      </c>
      <c r="E283" s="21">
        <v>25502</v>
      </c>
      <c r="F283" s="21">
        <v>25524</v>
      </c>
      <c r="H283" s="21">
        <v>21602</v>
      </c>
      <c r="I283" s="21">
        <v>3900</v>
      </c>
      <c r="J283" s="21">
        <v>22</v>
      </c>
      <c r="K283" s="21">
        <v>0</v>
      </c>
      <c r="L283" s="21">
        <v>246</v>
      </c>
      <c r="M283" s="21">
        <v>0.84399999999999997</v>
      </c>
      <c r="N283" s="21">
        <v>0.83599999999999997</v>
      </c>
      <c r="O283" s="21">
        <v>9.1999999999999998E-2</v>
      </c>
      <c r="P283" s="21">
        <v>316</v>
      </c>
      <c r="Q283" s="21">
        <v>1.0981000000000001</v>
      </c>
      <c r="R283" s="21">
        <v>105</v>
      </c>
      <c r="S283" s="21">
        <v>81</v>
      </c>
      <c r="T283" s="21">
        <v>9.8500000000000004E-2</v>
      </c>
      <c r="U283" s="21">
        <v>2.5999999999999999E-2</v>
      </c>
      <c r="V283" s="21">
        <v>0.41299999999999998</v>
      </c>
      <c r="W283" s="21">
        <v>18</v>
      </c>
      <c r="X283" s="21">
        <v>0</v>
      </c>
      <c r="Y283" s="21">
        <v>3</v>
      </c>
      <c r="Z283" s="21">
        <v>0</v>
      </c>
      <c r="AA283" s="21">
        <v>0</v>
      </c>
      <c r="AB283" s="21">
        <v>102</v>
      </c>
      <c r="AC283" s="21">
        <v>101</v>
      </c>
      <c r="AD283" s="21">
        <v>99</v>
      </c>
      <c r="AE283" s="21">
        <v>6</v>
      </c>
      <c r="AF283" s="21">
        <v>6.25E-2</v>
      </c>
      <c r="AG283" s="21">
        <v>0</v>
      </c>
      <c r="AH283" s="21">
        <v>0</v>
      </c>
      <c r="AI283" s="21">
        <v>0</v>
      </c>
      <c r="AJ283" s="21">
        <v>0</v>
      </c>
      <c r="AK283" s="21">
        <v>0</v>
      </c>
      <c r="AL283" s="21">
        <v>0</v>
      </c>
      <c r="AM283" s="21">
        <v>0</v>
      </c>
      <c r="AN283" s="21">
        <v>0</v>
      </c>
      <c r="AP283" s="21">
        <v>5</v>
      </c>
      <c r="AQ283" s="21">
        <v>5</v>
      </c>
      <c r="AR283" s="21">
        <v>5</v>
      </c>
      <c r="AS283" s="21">
        <v>0</v>
      </c>
      <c r="AU283" s="21">
        <v>28</v>
      </c>
      <c r="AV283" s="21">
        <v>0</v>
      </c>
    </row>
    <row r="284" spans="1:48" x14ac:dyDescent="0.15">
      <c r="A284" s="20" t="s">
        <v>51</v>
      </c>
      <c r="B284" s="20" t="s">
        <v>81</v>
      </c>
      <c r="C284" s="21">
        <v>0</v>
      </c>
      <c r="D284" s="21">
        <v>73</v>
      </c>
      <c r="E284" s="21">
        <v>44241</v>
      </c>
      <c r="F284" s="21">
        <v>44314</v>
      </c>
      <c r="G284" s="21">
        <v>627</v>
      </c>
      <c r="H284" s="21">
        <v>26335</v>
      </c>
      <c r="I284" s="21">
        <v>7881</v>
      </c>
      <c r="J284" s="21">
        <v>9468</v>
      </c>
      <c r="K284" s="21">
        <v>3</v>
      </c>
      <c r="L284" s="21">
        <v>808</v>
      </c>
      <c r="M284" s="21">
        <v>0.68379999999999996</v>
      </c>
      <c r="N284" s="21">
        <v>0.68379999999999996</v>
      </c>
      <c r="O284" s="21">
        <v>7.1199999999999999E-2</v>
      </c>
      <c r="P284" s="21">
        <v>920</v>
      </c>
      <c r="Q284" s="21">
        <v>0.84350000000000003</v>
      </c>
      <c r="R284" s="21">
        <v>54</v>
      </c>
      <c r="S284" s="21">
        <v>48</v>
      </c>
      <c r="T284" s="21">
        <v>0.1452</v>
      </c>
      <c r="U284" s="21">
        <v>1.89E-2</v>
      </c>
      <c r="V284" s="21">
        <v>0.64949999999999997</v>
      </c>
      <c r="AB284" s="21">
        <v>0</v>
      </c>
      <c r="AC284" s="21">
        <v>0</v>
      </c>
      <c r="AD284" s="21">
        <v>0</v>
      </c>
      <c r="AE284" s="21">
        <v>0</v>
      </c>
      <c r="AF284" s="21">
        <v>0</v>
      </c>
      <c r="AG284" s="21">
        <v>0</v>
      </c>
      <c r="AH284" s="21">
        <v>0</v>
      </c>
      <c r="AI284" s="21">
        <v>0</v>
      </c>
      <c r="AJ284" s="21">
        <v>0</v>
      </c>
      <c r="AK284" s="21">
        <v>0</v>
      </c>
      <c r="AL284" s="21">
        <v>0</v>
      </c>
      <c r="AM284" s="21">
        <v>0</v>
      </c>
      <c r="AN284" s="21">
        <v>0</v>
      </c>
      <c r="AU284" s="21">
        <v>92</v>
      </c>
      <c r="AV284" s="21">
        <v>0</v>
      </c>
    </row>
    <row r="285" spans="1:48" x14ac:dyDescent="0.15">
      <c r="A285" s="20" t="s">
        <v>52</v>
      </c>
      <c r="B285" s="20" t="s">
        <v>81</v>
      </c>
      <c r="C285" s="21">
        <v>0</v>
      </c>
      <c r="D285" s="21">
        <v>67</v>
      </c>
      <c r="E285" s="21">
        <v>42345</v>
      </c>
      <c r="F285" s="21">
        <v>42412</v>
      </c>
      <c r="G285" s="21">
        <v>15510</v>
      </c>
      <c r="H285" s="21">
        <v>12690</v>
      </c>
      <c r="I285" s="21">
        <v>3208</v>
      </c>
      <c r="J285" s="21">
        <v>10626</v>
      </c>
      <c r="K285" s="21">
        <v>378</v>
      </c>
      <c r="L285" s="21">
        <v>442</v>
      </c>
      <c r="M285" s="21">
        <v>0.70789999999999997</v>
      </c>
      <c r="N285" s="21">
        <v>0.70789999999999997</v>
      </c>
      <c r="O285" s="21">
        <v>2.7699999999999999E-2</v>
      </c>
      <c r="P285" s="21">
        <v>411</v>
      </c>
      <c r="Q285" s="21">
        <v>1.2992999999999999</v>
      </c>
      <c r="R285" s="21">
        <v>94</v>
      </c>
      <c r="S285" s="21">
        <v>103</v>
      </c>
      <c r="T285" s="21">
        <v>0.10979999999999999</v>
      </c>
      <c r="U285" s="21">
        <v>2.9499999999999998E-2</v>
      </c>
      <c r="V285" s="21">
        <v>0.95240000000000002</v>
      </c>
      <c r="W285" s="21">
        <v>22</v>
      </c>
      <c r="X285" s="21">
        <v>0</v>
      </c>
      <c r="Y285" s="21">
        <v>5</v>
      </c>
      <c r="Z285" s="21">
        <v>0</v>
      </c>
      <c r="AA285" s="21">
        <v>0.1</v>
      </c>
      <c r="AB285" s="21">
        <v>28</v>
      </c>
      <c r="AC285" s="21">
        <v>28</v>
      </c>
      <c r="AD285" s="21">
        <v>28</v>
      </c>
      <c r="AE285" s="21">
        <v>0</v>
      </c>
      <c r="AF285" s="21">
        <v>0</v>
      </c>
      <c r="AG285" s="21">
        <v>0</v>
      </c>
      <c r="AH285" s="21">
        <v>0</v>
      </c>
      <c r="AI285" s="21">
        <v>0</v>
      </c>
      <c r="AJ285" s="21">
        <v>7.7799999999999994E-2</v>
      </c>
      <c r="AK285" s="21">
        <v>0</v>
      </c>
      <c r="AL285" s="21">
        <v>0</v>
      </c>
      <c r="AM285" s="21">
        <v>0</v>
      </c>
      <c r="AN285" s="21">
        <v>0</v>
      </c>
      <c r="AP285" s="21">
        <v>49</v>
      </c>
      <c r="AQ285" s="21">
        <v>49</v>
      </c>
      <c r="AR285" s="21">
        <v>48</v>
      </c>
      <c r="AS285" s="21">
        <v>1</v>
      </c>
      <c r="AU285" s="21">
        <v>11</v>
      </c>
      <c r="AV285" s="21">
        <v>0</v>
      </c>
    </row>
    <row r="286" spans="1:48" x14ac:dyDescent="0.15">
      <c r="A286" s="20" t="s">
        <v>53</v>
      </c>
      <c r="B286" s="20" t="s">
        <v>81</v>
      </c>
      <c r="C286" s="21">
        <v>0</v>
      </c>
      <c r="D286" s="21">
        <v>0</v>
      </c>
      <c r="E286" s="21">
        <v>0</v>
      </c>
      <c r="F286" s="21">
        <v>0</v>
      </c>
      <c r="AB286" s="21">
        <v>0</v>
      </c>
      <c r="AC286" s="21">
        <v>0</v>
      </c>
      <c r="AD286" s="21">
        <v>0</v>
      </c>
      <c r="AE286" s="21">
        <v>0</v>
      </c>
      <c r="AF286" s="21">
        <v>0</v>
      </c>
      <c r="AG286" s="21">
        <v>0</v>
      </c>
      <c r="AH286" s="21">
        <v>0</v>
      </c>
      <c r="AI286" s="21">
        <v>0</v>
      </c>
      <c r="AJ286" s="21">
        <v>0</v>
      </c>
      <c r="AK286" s="21">
        <v>0</v>
      </c>
      <c r="AL286" s="21">
        <v>0</v>
      </c>
      <c r="AM286" s="21">
        <v>0</v>
      </c>
      <c r="AN286" s="21">
        <v>0</v>
      </c>
    </row>
    <row r="287" spans="1:48" x14ac:dyDescent="0.15">
      <c r="A287" s="20" t="s">
        <v>0</v>
      </c>
      <c r="B287" s="20" t="s">
        <v>81</v>
      </c>
      <c r="C287" s="21">
        <v>0</v>
      </c>
      <c r="D287" s="21">
        <v>256</v>
      </c>
      <c r="E287" s="21">
        <v>218395</v>
      </c>
      <c r="F287" s="21">
        <v>218651</v>
      </c>
      <c r="G287" s="21">
        <v>34551</v>
      </c>
      <c r="H287" s="21">
        <v>87305</v>
      </c>
      <c r="I287" s="21">
        <v>44401</v>
      </c>
      <c r="J287" s="21">
        <v>37328</v>
      </c>
      <c r="K287" s="21">
        <v>3489</v>
      </c>
      <c r="L287" s="21">
        <v>2447</v>
      </c>
      <c r="M287" s="21">
        <v>0.74199999999999999</v>
      </c>
      <c r="N287" s="21">
        <v>0.74119999999999997</v>
      </c>
      <c r="O287" s="21">
        <v>5.2499999999999998E-2</v>
      </c>
      <c r="P287" s="21">
        <v>2782</v>
      </c>
      <c r="Q287" s="21">
        <v>1.0168999999999999</v>
      </c>
      <c r="R287" s="21">
        <v>88</v>
      </c>
      <c r="S287" s="21">
        <v>79</v>
      </c>
      <c r="T287" s="21">
        <v>0.10970000000000001</v>
      </c>
      <c r="U287" s="21">
        <v>2.52E-2</v>
      </c>
      <c r="V287" s="21">
        <v>0.62360000000000004</v>
      </c>
      <c r="W287" s="21">
        <v>50</v>
      </c>
      <c r="X287" s="21">
        <v>1</v>
      </c>
      <c r="Y287" s="21">
        <v>33</v>
      </c>
      <c r="Z287" s="21">
        <v>0</v>
      </c>
      <c r="AA287" s="21">
        <v>0</v>
      </c>
      <c r="AB287" s="21">
        <v>779</v>
      </c>
      <c r="AC287" s="21">
        <v>778</v>
      </c>
      <c r="AD287" s="21">
        <v>778</v>
      </c>
      <c r="AE287" s="21">
        <v>7</v>
      </c>
      <c r="AF287" s="21">
        <v>8.9999999999999993E-3</v>
      </c>
      <c r="AG287" s="21">
        <v>0</v>
      </c>
      <c r="AH287" s="21">
        <v>0</v>
      </c>
      <c r="AI287" s="21">
        <v>0</v>
      </c>
      <c r="AJ287" s="21">
        <v>0.1729</v>
      </c>
      <c r="AK287" s="21">
        <v>0</v>
      </c>
      <c r="AL287" s="21">
        <v>0</v>
      </c>
      <c r="AM287" s="21">
        <v>0</v>
      </c>
      <c r="AN287" s="21">
        <v>0</v>
      </c>
      <c r="AP287" s="21">
        <v>107</v>
      </c>
      <c r="AQ287" s="21">
        <v>107</v>
      </c>
      <c r="AR287" s="21">
        <v>99</v>
      </c>
      <c r="AS287" s="21">
        <v>8</v>
      </c>
      <c r="AU287" s="21">
        <v>198</v>
      </c>
      <c r="AV287" s="21">
        <v>0</v>
      </c>
    </row>
    <row r="288" spans="1:48" x14ac:dyDescent="0.15">
      <c r="A288" s="20" t="s">
        <v>54</v>
      </c>
      <c r="B288" s="20" t="s">
        <v>81</v>
      </c>
      <c r="C288" s="21">
        <v>0</v>
      </c>
      <c r="D288" s="21">
        <v>0</v>
      </c>
      <c r="E288" s="21">
        <v>0</v>
      </c>
      <c r="F288" s="21">
        <v>0</v>
      </c>
      <c r="AB288" s="21">
        <v>0</v>
      </c>
      <c r="AC288" s="21">
        <v>0</v>
      </c>
      <c r="AD288" s="21">
        <v>0</v>
      </c>
      <c r="AE288" s="21">
        <v>0</v>
      </c>
      <c r="AF288" s="21">
        <v>0</v>
      </c>
      <c r="AG288" s="21">
        <v>0</v>
      </c>
      <c r="AH288" s="21">
        <v>0</v>
      </c>
      <c r="AI288" s="21">
        <v>0</v>
      </c>
      <c r="AJ288" s="21">
        <v>0</v>
      </c>
      <c r="AK288" s="21">
        <v>0</v>
      </c>
      <c r="AL288" s="21">
        <v>0</v>
      </c>
      <c r="AM288" s="21">
        <v>0</v>
      </c>
      <c r="AN288" s="21">
        <v>0</v>
      </c>
      <c r="AV288" s="21">
        <v>0</v>
      </c>
    </row>
    <row r="289" spans="1:48" x14ac:dyDescent="0.15">
      <c r="A289" s="20" t="s">
        <v>55</v>
      </c>
      <c r="B289" s="20" t="s">
        <v>81</v>
      </c>
      <c r="C289" s="21">
        <v>0</v>
      </c>
      <c r="D289" s="21">
        <v>0</v>
      </c>
      <c r="E289" s="21">
        <v>0</v>
      </c>
      <c r="F289" s="21">
        <v>0</v>
      </c>
      <c r="AB289" s="21">
        <v>0</v>
      </c>
      <c r="AC289" s="21">
        <v>0</v>
      </c>
      <c r="AD289" s="21">
        <v>0</v>
      </c>
      <c r="AE289" s="21">
        <v>0</v>
      </c>
      <c r="AF289" s="21">
        <v>0</v>
      </c>
      <c r="AG289" s="21">
        <v>0</v>
      </c>
      <c r="AH289" s="21">
        <v>0</v>
      </c>
      <c r="AI289" s="21">
        <v>0</v>
      </c>
      <c r="AJ289" s="21">
        <v>0</v>
      </c>
      <c r="AK289" s="21">
        <v>0</v>
      </c>
      <c r="AL289" s="21">
        <v>0</v>
      </c>
      <c r="AM289" s="21">
        <v>0</v>
      </c>
      <c r="AN289" s="21">
        <v>0</v>
      </c>
    </row>
    <row r="290" spans="1:48" x14ac:dyDescent="0.15">
      <c r="A290" s="20" t="s">
        <v>56</v>
      </c>
      <c r="B290" s="20" t="s">
        <v>81</v>
      </c>
      <c r="C290" s="21">
        <v>0</v>
      </c>
      <c r="D290" s="21">
        <v>0</v>
      </c>
      <c r="E290" s="21">
        <v>0</v>
      </c>
      <c r="F290" s="21">
        <v>0</v>
      </c>
      <c r="AB290" s="21">
        <v>0</v>
      </c>
      <c r="AC290" s="21">
        <v>0</v>
      </c>
      <c r="AD290" s="21">
        <v>0</v>
      </c>
      <c r="AE290" s="21">
        <v>0</v>
      </c>
      <c r="AF290" s="21">
        <v>0</v>
      </c>
      <c r="AG290" s="21">
        <v>0</v>
      </c>
      <c r="AH290" s="21">
        <v>0</v>
      </c>
      <c r="AI290" s="21">
        <v>0</v>
      </c>
      <c r="AJ290" s="21">
        <v>0</v>
      </c>
      <c r="AK290" s="21">
        <v>0</v>
      </c>
      <c r="AL290" s="21">
        <v>0</v>
      </c>
      <c r="AM290" s="21">
        <v>0</v>
      </c>
      <c r="AN290" s="21">
        <v>0</v>
      </c>
      <c r="AU290" s="21">
        <v>0</v>
      </c>
      <c r="AV290" s="21">
        <v>0</v>
      </c>
    </row>
    <row r="291" spans="1:48" x14ac:dyDescent="0.15">
      <c r="A291" s="20" t="s">
        <v>57</v>
      </c>
      <c r="B291" s="20" t="s">
        <v>81</v>
      </c>
      <c r="C291" s="21">
        <v>0</v>
      </c>
      <c r="D291" s="21">
        <v>62</v>
      </c>
      <c r="E291" s="21">
        <v>47725</v>
      </c>
      <c r="F291" s="21">
        <v>47787</v>
      </c>
      <c r="G291" s="21">
        <v>14495</v>
      </c>
      <c r="H291" s="21">
        <v>7832</v>
      </c>
      <c r="I291" s="21">
        <v>9154</v>
      </c>
      <c r="J291" s="21">
        <v>7599</v>
      </c>
      <c r="K291" s="21">
        <v>3043</v>
      </c>
      <c r="L291" s="21">
        <v>395</v>
      </c>
      <c r="M291" s="21">
        <v>0.78249999999999997</v>
      </c>
      <c r="N291" s="21">
        <v>0.78249999999999997</v>
      </c>
      <c r="O291" s="21">
        <v>3.78E-2</v>
      </c>
      <c r="P291" s="21">
        <v>345</v>
      </c>
      <c r="Q291" s="21">
        <v>1.2174</v>
      </c>
      <c r="R291" s="21">
        <v>117</v>
      </c>
      <c r="S291" s="21">
        <v>139</v>
      </c>
      <c r="T291" s="21">
        <v>9.7600000000000006E-2</v>
      </c>
      <c r="U291" s="21">
        <v>2.41E-2</v>
      </c>
      <c r="V291" s="21">
        <v>0.52929999999999999</v>
      </c>
      <c r="W291" s="21">
        <v>4</v>
      </c>
      <c r="X291" s="21">
        <v>0</v>
      </c>
      <c r="Y291" s="21">
        <v>11</v>
      </c>
      <c r="Z291" s="21">
        <v>0</v>
      </c>
      <c r="AA291" s="21">
        <v>0</v>
      </c>
      <c r="AB291" s="21">
        <v>559</v>
      </c>
      <c r="AC291" s="21">
        <v>559</v>
      </c>
      <c r="AD291" s="21">
        <v>562</v>
      </c>
      <c r="AE291" s="21">
        <v>0</v>
      </c>
      <c r="AF291" s="21">
        <v>0</v>
      </c>
      <c r="AG291" s="21">
        <v>0</v>
      </c>
      <c r="AH291" s="21">
        <v>0</v>
      </c>
      <c r="AI291" s="21">
        <v>0</v>
      </c>
      <c r="AJ291" s="21">
        <v>0</v>
      </c>
      <c r="AK291" s="21">
        <v>0</v>
      </c>
      <c r="AL291" s="21">
        <v>0</v>
      </c>
      <c r="AM291" s="21">
        <v>0</v>
      </c>
      <c r="AN291" s="21">
        <v>0</v>
      </c>
      <c r="AP291" s="21">
        <v>53</v>
      </c>
      <c r="AQ291" s="21">
        <v>53</v>
      </c>
      <c r="AR291" s="21">
        <v>45</v>
      </c>
      <c r="AS291" s="21">
        <v>7</v>
      </c>
      <c r="AU291" s="21">
        <v>53</v>
      </c>
      <c r="AV291" s="21">
        <v>0</v>
      </c>
    </row>
    <row r="292" spans="1:48" x14ac:dyDescent="0.15">
      <c r="A292" s="20" t="s">
        <v>58</v>
      </c>
      <c r="B292" s="20" t="s">
        <v>81</v>
      </c>
      <c r="C292" s="21">
        <v>0</v>
      </c>
      <c r="D292" s="21">
        <v>0</v>
      </c>
      <c r="E292" s="21">
        <v>0</v>
      </c>
      <c r="F292" s="21">
        <v>0</v>
      </c>
      <c r="AB292" s="21">
        <v>0</v>
      </c>
      <c r="AC292" s="21">
        <v>0</v>
      </c>
      <c r="AD292" s="21">
        <v>0</v>
      </c>
      <c r="AE292" s="21">
        <v>0</v>
      </c>
      <c r="AF292" s="21">
        <v>0</v>
      </c>
      <c r="AG292" s="21">
        <v>0</v>
      </c>
      <c r="AH292" s="21">
        <v>0</v>
      </c>
      <c r="AI292" s="21">
        <v>0</v>
      </c>
      <c r="AJ292" s="21">
        <v>0</v>
      </c>
      <c r="AK292" s="21">
        <v>0</v>
      </c>
      <c r="AL292" s="21">
        <v>0</v>
      </c>
      <c r="AM292" s="21">
        <v>0</v>
      </c>
      <c r="AN292" s="21">
        <v>0</v>
      </c>
      <c r="AV292" s="21">
        <v>0</v>
      </c>
    </row>
    <row r="293" spans="1:48" x14ac:dyDescent="0.15">
      <c r="A293" s="20" t="s">
        <v>59</v>
      </c>
      <c r="B293" s="20" t="s">
        <v>81</v>
      </c>
      <c r="C293" s="21">
        <v>0</v>
      </c>
      <c r="D293" s="21">
        <v>0</v>
      </c>
      <c r="E293" s="21">
        <v>0</v>
      </c>
      <c r="F293" s="21">
        <v>0</v>
      </c>
      <c r="AB293" s="21">
        <v>0</v>
      </c>
      <c r="AC293" s="21">
        <v>0</v>
      </c>
      <c r="AD293" s="21">
        <v>0</v>
      </c>
      <c r="AE293" s="21">
        <v>0</v>
      </c>
      <c r="AF293" s="21">
        <v>0</v>
      </c>
      <c r="AG293" s="21">
        <v>0</v>
      </c>
      <c r="AH293" s="21">
        <v>0</v>
      </c>
      <c r="AI293" s="21">
        <v>0</v>
      </c>
      <c r="AJ293" s="21">
        <v>0</v>
      </c>
      <c r="AK293" s="21">
        <v>0</v>
      </c>
      <c r="AL293" s="21">
        <v>0</v>
      </c>
      <c r="AM293" s="21">
        <v>0</v>
      </c>
      <c r="AN293" s="21">
        <v>0</v>
      </c>
    </row>
    <row r="294" spans="1:48" x14ac:dyDescent="0.15">
      <c r="A294" s="20" t="s">
        <v>60</v>
      </c>
      <c r="B294" s="20" t="s">
        <v>81</v>
      </c>
      <c r="C294" s="21">
        <v>0</v>
      </c>
      <c r="D294" s="21">
        <v>8</v>
      </c>
      <c r="E294" s="21">
        <v>15142</v>
      </c>
      <c r="F294" s="21">
        <v>15150</v>
      </c>
      <c r="G294" s="21">
        <v>2075</v>
      </c>
      <c r="H294" s="21">
        <v>2837</v>
      </c>
      <c r="I294" s="21">
        <v>7179</v>
      </c>
      <c r="J294" s="21">
        <v>2994</v>
      </c>
      <c r="K294" s="21">
        <v>65</v>
      </c>
      <c r="L294" s="21">
        <v>165</v>
      </c>
      <c r="M294" s="21">
        <v>0.73029999999999995</v>
      </c>
      <c r="N294" s="21">
        <v>0.73029999999999995</v>
      </c>
      <c r="O294" s="21">
        <v>1.6899999999999998E-2</v>
      </c>
      <c r="P294" s="21">
        <v>141</v>
      </c>
      <c r="Q294" s="21">
        <v>1.4113</v>
      </c>
      <c r="R294" s="21">
        <v>89</v>
      </c>
      <c r="S294" s="21">
        <v>107</v>
      </c>
      <c r="T294" s="21">
        <v>0.14199999999999999</v>
      </c>
      <c r="U294" s="21">
        <v>9.4999999999999998E-3</v>
      </c>
      <c r="AB294" s="21">
        <v>0</v>
      </c>
      <c r="AC294" s="21">
        <v>0</v>
      </c>
      <c r="AD294" s="21">
        <v>0</v>
      </c>
      <c r="AE294" s="21">
        <v>0</v>
      </c>
      <c r="AF294" s="21">
        <v>0</v>
      </c>
      <c r="AG294" s="21">
        <v>0</v>
      </c>
      <c r="AH294" s="21">
        <v>0</v>
      </c>
      <c r="AI294" s="21">
        <v>0</v>
      </c>
      <c r="AJ294" s="21">
        <v>0</v>
      </c>
      <c r="AK294" s="21">
        <v>0</v>
      </c>
      <c r="AL294" s="21">
        <v>0</v>
      </c>
      <c r="AM294" s="21">
        <v>0</v>
      </c>
      <c r="AN294" s="21">
        <v>0</v>
      </c>
      <c r="AU294" s="21">
        <v>0</v>
      </c>
      <c r="AV294" s="21">
        <v>0</v>
      </c>
    </row>
    <row r="295" spans="1:48" x14ac:dyDescent="0.15">
      <c r="A295" s="20" t="s">
        <v>61</v>
      </c>
      <c r="B295" s="20" t="s">
        <v>81</v>
      </c>
      <c r="C295" s="21">
        <v>0</v>
      </c>
      <c r="D295" s="21">
        <v>18</v>
      </c>
      <c r="E295" s="21">
        <v>12193</v>
      </c>
      <c r="F295" s="21">
        <v>12211</v>
      </c>
      <c r="G295" s="21">
        <v>1845</v>
      </c>
      <c r="H295" s="21">
        <v>2833</v>
      </c>
      <c r="I295" s="21">
        <v>4789</v>
      </c>
      <c r="J295" s="21">
        <v>2745</v>
      </c>
      <c r="L295" s="21">
        <v>118</v>
      </c>
      <c r="M295" s="21">
        <v>0.88619999999999999</v>
      </c>
      <c r="N295" s="21">
        <v>0.88619999999999999</v>
      </c>
      <c r="O295" s="21">
        <v>0.122</v>
      </c>
      <c r="P295" s="21">
        <v>124</v>
      </c>
      <c r="Q295" s="21">
        <v>1.3145</v>
      </c>
      <c r="R295" s="21">
        <v>104</v>
      </c>
      <c r="S295" s="21">
        <v>98</v>
      </c>
      <c r="T295" s="21">
        <v>8.9099999999999999E-2</v>
      </c>
      <c r="U295" s="21">
        <v>6.6400000000000001E-2</v>
      </c>
      <c r="AB295" s="21">
        <v>0</v>
      </c>
      <c r="AC295" s="21">
        <v>0</v>
      </c>
      <c r="AD295" s="21">
        <v>0</v>
      </c>
      <c r="AE295" s="21">
        <v>0</v>
      </c>
      <c r="AF295" s="21">
        <v>0</v>
      </c>
      <c r="AG295" s="21">
        <v>0</v>
      </c>
      <c r="AH295" s="21">
        <v>0</v>
      </c>
      <c r="AI295" s="21">
        <v>0</v>
      </c>
      <c r="AJ295" s="21">
        <v>0</v>
      </c>
      <c r="AK295" s="21">
        <v>0</v>
      </c>
      <c r="AL295" s="21">
        <v>0</v>
      </c>
      <c r="AM295" s="21">
        <v>0</v>
      </c>
      <c r="AN295" s="21">
        <v>0</v>
      </c>
      <c r="AU295" s="21">
        <v>0</v>
      </c>
      <c r="AV295" s="21">
        <v>0</v>
      </c>
    </row>
    <row r="296" spans="1:48" x14ac:dyDescent="0.15">
      <c r="A296" s="20" t="s">
        <v>48</v>
      </c>
      <c r="B296" s="20" t="s">
        <v>82</v>
      </c>
      <c r="C296" s="21">
        <v>0</v>
      </c>
      <c r="D296" s="21">
        <v>4</v>
      </c>
      <c r="E296" s="21">
        <v>52553</v>
      </c>
      <c r="F296" s="21">
        <v>52556</v>
      </c>
      <c r="H296" s="21">
        <v>19663</v>
      </c>
      <c r="I296" s="21">
        <v>20923</v>
      </c>
      <c r="J296" s="21">
        <v>4966</v>
      </c>
      <c r="K296" s="21">
        <v>15</v>
      </c>
      <c r="L296" s="21">
        <v>279</v>
      </c>
      <c r="M296" s="21">
        <v>0.80900000000000005</v>
      </c>
      <c r="N296" s="21">
        <v>0.80900000000000005</v>
      </c>
      <c r="O296" s="21">
        <v>1.3899999999999999E-2</v>
      </c>
      <c r="P296" s="21">
        <v>532</v>
      </c>
      <c r="Q296" s="21">
        <v>0.80640000000000001</v>
      </c>
      <c r="R296" s="21">
        <v>190</v>
      </c>
      <c r="S296" s="21">
        <v>99</v>
      </c>
      <c r="T296" s="21">
        <v>0.1079</v>
      </c>
      <c r="U296" s="21">
        <v>1.4500000000000001E-2</v>
      </c>
      <c r="V296" s="21">
        <v>0.69399999999999995</v>
      </c>
      <c r="W296" s="21">
        <v>41</v>
      </c>
      <c r="X296" s="21">
        <v>2</v>
      </c>
      <c r="Y296" s="21">
        <v>77</v>
      </c>
      <c r="Z296" s="21">
        <v>0</v>
      </c>
      <c r="AA296" s="21">
        <v>0</v>
      </c>
      <c r="AB296" s="21">
        <v>97</v>
      </c>
      <c r="AC296" s="21">
        <v>97</v>
      </c>
      <c r="AD296" s="21">
        <v>94</v>
      </c>
      <c r="AE296" s="21">
        <v>8</v>
      </c>
      <c r="AF296" s="21">
        <v>8.8900000000000007E-2</v>
      </c>
      <c r="AG296" s="21">
        <v>0</v>
      </c>
      <c r="AH296" s="21">
        <v>0</v>
      </c>
      <c r="AI296" s="21">
        <v>0</v>
      </c>
      <c r="AJ296" s="21">
        <v>0.1429</v>
      </c>
      <c r="AK296" s="21">
        <v>0</v>
      </c>
      <c r="AL296" s="21">
        <v>0</v>
      </c>
      <c r="AM296" s="21">
        <v>0</v>
      </c>
      <c r="AN296" s="21">
        <v>0</v>
      </c>
      <c r="AP296" s="21">
        <v>15</v>
      </c>
      <c r="AQ296" s="21">
        <v>15</v>
      </c>
      <c r="AR296" s="21">
        <v>15</v>
      </c>
      <c r="AS296" s="21">
        <v>0</v>
      </c>
      <c r="AU296" s="21">
        <v>41</v>
      </c>
      <c r="AV296" s="21">
        <v>0</v>
      </c>
    </row>
    <row r="297" spans="1:48" x14ac:dyDescent="0.15">
      <c r="A297" s="20" t="s">
        <v>50</v>
      </c>
      <c r="B297" s="20" t="s">
        <v>82</v>
      </c>
      <c r="C297" s="21">
        <v>0</v>
      </c>
      <c r="D297" s="21">
        <v>20</v>
      </c>
      <c r="E297" s="21">
        <v>31325</v>
      </c>
      <c r="F297" s="21">
        <v>31344</v>
      </c>
      <c r="H297" s="21">
        <v>28472</v>
      </c>
      <c r="I297" s="21">
        <v>2661</v>
      </c>
      <c r="J297" s="21">
        <v>77</v>
      </c>
      <c r="K297" s="21">
        <v>0</v>
      </c>
      <c r="L297" s="21">
        <v>279</v>
      </c>
      <c r="M297" s="21">
        <v>0.8</v>
      </c>
      <c r="N297" s="21">
        <v>0.79649999999999999</v>
      </c>
      <c r="O297" s="21">
        <v>4.9099999999999998E-2</v>
      </c>
      <c r="P297" s="21">
        <v>342</v>
      </c>
      <c r="Q297" s="21">
        <v>1.1256999999999999</v>
      </c>
      <c r="R297" s="21">
        <v>119</v>
      </c>
      <c r="S297" s="21">
        <v>92</v>
      </c>
      <c r="T297" s="21">
        <v>0.13020000000000001</v>
      </c>
      <c r="U297" s="21">
        <v>3.2199999999999999E-2</v>
      </c>
      <c r="V297" s="21">
        <v>0.74229999999999996</v>
      </c>
      <c r="W297" s="21">
        <v>118</v>
      </c>
      <c r="X297" s="21">
        <v>0</v>
      </c>
      <c r="Y297" s="21">
        <v>63</v>
      </c>
      <c r="Z297" s="21">
        <v>0</v>
      </c>
      <c r="AA297" s="21">
        <v>0</v>
      </c>
      <c r="AB297" s="21">
        <v>107</v>
      </c>
      <c r="AC297" s="21">
        <v>92</v>
      </c>
      <c r="AD297" s="21">
        <v>104</v>
      </c>
      <c r="AE297" s="21">
        <v>16</v>
      </c>
      <c r="AF297" s="21">
        <v>0.15690000000000001</v>
      </c>
      <c r="AG297" s="21">
        <v>0</v>
      </c>
      <c r="AH297" s="21">
        <v>0</v>
      </c>
      <c r="AI297" s="21">
        <v>0</v>
      </c>
      <c r="AJ297" s="21">
        <v>0</v>
      </c>
      <c r="AK297" s="21">
        <v>0</v>
      </c>
      <c r="AL297" s="21">
        <v>0</v>
      </c>
      <c r="AM297" s="21">
        <v>0</v>
      </c>
      <c r="AN297" s="21">
        <v>0</v>
      </c>
      <c r="AP297" s="21">
        <v>108</v>
      </c>
      <c r="AQ297" s="21">
        <v>108</v>
      </c>
      <c r="AR297" s="21">
        <v>105</v>
      </c>
      <c r="AS297" s="21">
        <v>2</v>
      </c>
      <c r="AU297" s="21">
        <v>18</v>
      </c>
      <c r="AV297" s="21">
        <v>0</v>
      </c>
    </row>
    <row r="298" spans="1:48" x14ac:dyDescent="0.15">
      <c r="A298" s="20" t="s">
        <v>51</v>
      </c>
      <c r="B298" s="20" t="s">
        <v>82</v>
      </c>
      <c r="C298" s="21">
        <v>0</v>
      </c>
      <c r="D298" s="21">
        <v>57</v>
      </c>
      <c r="E298" s="21">
        <v>68928</v>
      </c>
      <c r="F298" s="21">
        <v>68985</v>
      </c>
      <c r="G298" s="21">
        <v>1650</v>
      </c>
      <c r="H298" s="21">
        <v>30709</v>
      </c>
      <c r="I298" s="21">
        <v>19484</v>
      </c>
      <c r="J298" s="21">
        <v>14858</v>
      </c>
      <c r="K298" s="21">
        <v>2272</v>
      </c>
      <c r="L298" s="21">
        <v>845</v>
      </c>
      <c r="M298" s="21">
        <v>0.72650000000000003</v>
      </c>
      <c r="N298" s="21">
        <v>0.72650000000000003</v>
      </c>
      <c r="O298" s="21">
        <v>3.9199999999999999E-2</v>
      </c>
      <c r="P298" s="21">
        <v>1044</v>
      </c>
      <c r="Q298" s="21">
        <v>1.0306999999999999</v>
      </c>
      <c r="R298" s="21">
        <v>83</v>
      </c>
      <c r="S298" s="21">
        <v>66</v>
      </c>
      <c r="T298" s="21">
        <v>0.13139999999999999</v>
      </c>
      <c r="U298" s="21">
        <v>2.3400000000000001E-2</v>
      </c>
      <c r="V298" s="21">
        <v>0.79059999999999997</v>
      </c>
      <c r="AB298" s="21">
        <v>0</v>
      </c>
      <c r="AC298" s="21">
        <v>0</v>
      </c>
      <c r="AD298" s="21">
        <v>0</v>
      </c>
      <c r="AE298" s="21">
        <v>0</v>
      </c>
      <c r="AF298" s="21">
        <v>0</v>
      </c>
      <c r="AG298" s="21">
        <v>0</v>
      </c>
      <c r="AH298" s="21">
        <v>0</v>
      </c>
      <c r="AI298" s="21">
        <v>0</v>
      </c>
      <c r="AJ298" s="21">
        <v>0</v>
      </c>
      <c r="AK298" s="21">
        <v>0</v>
      </c>
      <c r="AL298" s="21">
        <v>0</v>
      </c>
      <c r="AM298" s="21">
        <v>0</v>
      </c>
      <c r="AN298" s="21">
        <v>0</v>
      </c>
      <c r="AU298" s="21">
        <v>64</v>
      </c>
      <c r="AV298" s="21">
        <v>0</v>
      </c>
    </row>
    <row r="299" spans="1:48" x14ac:dyDescent="0.15">
      <c r="A299" s="20" t="s">
        <v>52</v>
      </c>
      <c r="B299" s="20" t="s">
        <v>82</v>
      </c>
      <c r="C299" s="21">
        <v>0</v>
      </c>
      <c r="D299" s="21">
        <v>23</v>
      </c>
      <c r="E299" s="21">
        <v>72477</v>
      </c>
      <c r="F299" s="21">
        <v>72500</v>
      </c>
      <c r="G299" s="21">
        <v>23608</v>
      </c>
      <c r="H299" s="21">
        <v>22210</v>
      </c>
      <c r="I299" s="21">
        <v>6330</v>
      </c>
      <c r="J299" s="21">
        <v>19260</v>
      </c>
      <c r="K299" s="21">
        <v>877</v>
      </c>
      <c r="L299" s="21">
        <v>460</v>
      </c>
      <c r="M299" s="21">
        <v>0.72670000000000001</v>
      </c>
      <c r="N299" s="21">
        <v>0.72670000000000001</v>
      </c>
      <c r="O299" s="21">
        <v>1.24E-2</v>
      </c>
      <c r="P299" s="21">
        <v>496</v>
      </c>
      <c r="Q299" s="21">
        <v>1.2218</v>
      </c>
      <c r="R299" s="21">
        <v>161</v>
      </c>
      <c r="S299" s="21">
        <v>146</v>
      </c>
      <c r="T299" s="21">
        <v>9.2799999999999994E-2</v>
      </c>
      <c r="U299" s="21">
        <v>2.5700000000000001E-2</v>
      </c>
      <c r="V299" s="21">
        <v>0.2994</v>
      </c>
      <c r="W299" s="21">
        <v>45</v>
      </c>
      <c r="X299" s="21">
        <v>1</v>
      </c>
      <c r="Y299" s="21">
        <v>70</v>
      </c>
      <c r="Z299" s="21">
        <v>0</v>
      </c>
      <c r="AA299" s="21">
        <v>0</v>
      </c>
      <c r="AB299" s="21">
        <v>34</v>
      </c>
      <c r="AC299" s="21">
        <v>34</v>
      </c>
      <c r="AD299" s="21">
        <v>31</v>
      </c>
      <c r="AE299" s="21">
        <v>6</v>
      </c>
      <c r="AF299" s="21">
        <v>0.21429999999999999</v>
      </c>
      <c r="AG299" s="21">
        <v>0</v>
      </c>
      <c r="AH299" s="21">
        <v>0</v>
      </c>
      <c r="AI299" s="21">
        <v>0</v>
      </c>
      <c r="AJ299" s="21">
        <v>0.1842</v>
      </c>
      <c r="AK299" s="21">
        <v>0</v>
      </c>
      <c r="AL299" s="21">
        <v>0</v>
      </c>
      <c r="AM299" s="21">
        <v>0</v>
      </c>
      <c r="AN299" s="21">
        <v>0</v>
      </c>
      <c r="AP299" s="21">
        <v>24</v>
      </c>
      <c r="AQ299" s="21">
        <v>24</v>
      </c>
      <c r="AR299" s="21">
        <v>22</v>
      </c>
      <c r="AS299" s="21">
        <v>2</v>
      </c>
      <c r="AU299" s="21">
        <v>6</v>
      </c>
      <c r="AV299" s="21">
        <v>0</v>
      </c>
    </row>
    <row r="300" spans="1:48" x14ac:dyDescent="0.15">
      <c r="A300" s="20" t="s">
        <v>53</v>
      </c>
      <c r="B300" s="20" t="s">
        <v>82</v>
      </c>
      <c r="C300" s="21">
        <v>0</v>
      </c>
      <c r="D300" s="21">
        <v>0</v>
      </c>
      <c r="E300" s="21">
        <v>0</v>
      </c>
      <c r="F300" s="21">
        <v>0</v>
      </c>
      <c r="AB300" s="21">
        <v>0</v>
      </c>
      <c r="AC300" s="21">
        <v>0</v>
      </c>
      <c r="AD300" s="21">
        <v>0</v>
      </c>
      <c r="AE300" s="21">
        <v>0</v>
      </c>
      <c r="AF300" s="21">
        <v>0</v>
      </c>
      <c r="AG300" s="21">
        <v>0</v>
      </c>
      <c r="AH300" s="21">
        <v>0</v>
      </c>
      <c r="AI300" s="21">
        <v>0</v>
      </c>
      <c r="AJ300" s="21">
        <v>0</v>
      </c>
      <c r="AK300" s="21">
        <v>0</v>
      </c>
      <c r="AL300" s="21">
        <v>0</v>
      </c>
      <c r="AM300" s="21">
        <v>0</v>
      </c>
      <c r="AN300" s="21">
        <v>0</v>
      </c>
    </row>
    <row r="301" spans="1:48" x14ac:dyDescent="0.15">
      <c r="A301" s="20" t="s">
        <v>0</v>
      </c>
      <c r="B301" s="20" t="s">
        <v>82</v>
      </c>
      <c r="C301" s="21">
        <v>0</v>
      </c>
      <c r="D301" s="21">
        <v>205</v>
      </c>
      <c r="E301" s="21">
        <v>356815</v>
      </c>
      <c r="F301" s="21">
        <v>357020</v>
      </c>
      <c r="G301" s="21">
        <v>53875</v>
      </c>
      <c r="H301" s="21">
        <v>131259</v>
      </c>
      <c r="I301" s="21">
        <v>88252</v>
      </c>
      <c r="J301" s="21">
        <v>57400</v>
      </c>
      <c r="K301" s="21">
        <v>7746</v>
      </c>
      <c r="L301" s="21">
        <v>2546</v>
      </c>
      <c r="M301" s="21">
        <v>0.76339999999999997</v>
      </c>
      <c r="N301" s="21">
        <v>0.76300000000000001</v>
      </c>
      <c r="O301" s="21">
        <v>3.3700000000000001E-2</v>
      </c>
      <c r="P301" s="21">
        <v>3067</v>
      </c>
      <c r="Q301" s="21">
        <v>1.1052999999999999</v>
      </c>
      <c r="R301" s="21">
        <v>143</v>
      </c>
      <c r="S301" s="21">
        <v>116</v>
      </c>
      <c r="T301" s="21">
        <v>0.1076</v>
      </c>
      <c r="U301" s="21">
        <v>2.4899999999999999E-2</v>
      </c>
      <c r="V301" s="21">
        <v>0.65400000000000003</v>
      </c>
      <c r="W301" s="21">
        <v>512</v>
      </c>
      <c r="X301" s="21">
        <v>3</v>
      </c>
      <c r="Y301" s="21">
        <v>451</v>
      </c>
      <c r="Z301" s="21">
        <v>0</v>
      </c>
      <c r="AA301" s="21">
        <v>0</v>
      </c>
      <c r="AB301" s="21">
        <v>784</v>
      </c>
      <c r="AC301" s="21">
        <v>769</v>
      </c>
      <c r="AD301" s="21">
        <v>782</v>
      </c>
      <c r="AE301" s="21">
        <v>43</v>
      </c>
      <c r="AF301" s="21">
        <v>5.5199999999999999E-2</v>
      </c>
      <c r="AG301" s="21">
        <v>0</v>
      </c>
      <c r="AH301" s="21">
        <v>0</v>
      </c>
      <c r="AI301" s="21">
        <v>0</v>
      </c>
      <c r="AJ301" s="21">
        <v>0.17780000000000001</v>
      </c>
      <c r="AK301" s="21">
        <v>0</v>
      </c>
      <c r="AL301" s="21">
        <v>0</v>
      </c>
      <c r="AM301" s="21">
        <v>0</v>
      </c>
      <c r="AN301" s="21">
        <v>0</v>
      </c>
      <c r="AP301" s="21">
        <v>207</v>
      </c>
      <c r="AQ301" s="21">
        <v>207</v>
      </c>
      <c r="AR301" s="21">
        <v>196</v>
      </c>
      <c r="AS301" s="21">
        <v>11</v>
      </c>
      <c r="AU301" s="21">
        <v>317</v>
      </c>
      <c r="AV301" s="21">
        <v>0</v>
      </c>
    </row>
    <row r="302" spans="1:48" x14ac:dyDescent="0.15">
      <c r="A302" s="20" t="s">
        <v>54</v>
      </c>
      <c r="B302" s="20" t="s">
        <v>82</v>
      </c>
      <c r="C302" s="21">
        <v>0</v>
      </c>
      <c r="D302" s="21">
        <v>0</v>
      </c>
      <c r="E302" s="21">
        <v>0</v>
      </c>
      <c r="F302" s="21">
        <v>0</v>
      </c>
      <c r="AB302" s="21">
        <v>0</v>
      </c>
      <c r="AC302" s="21">
        <v>0</v>
      </c>
      <c r="AD302" s="21">
        <v>0</v>
      </c>
      <c r="AE302" s="21">
        <v>0</v>
      </c>
      <c r="AF302" s="21">
        <v>0</v>
      </c>
      <c r="AG302" s="21">
        <v>0</v>
      </c>
      <c r="AH302" s="21">
        <v>0</v>
      </c>
      <c r="AI302" s="21">
        <v>0</v>
      </c>
      <c r="AJ302" s="21">
        <v>0</v>
      </c>
      <c r="AK302" s="21">
        <v>0</v>
      </c>
      <c r="AL302" s="21">
        <v>0</v>
      </c>
      <c r="AM302" s="21">
        <v>0</v>
      </c>
      <c r="AN302" s="21">
        <v>0</v>
      </c>
      <c r="AV302" s="21">
        <v>0</v>
      </c>
    </row>
    <row r="303" spans="1:48" x14ac:dyDescent="0.15">
      <c r="A303" s="20" t="s">
        <v>55</v>
      </c>
      <c r="B303" s="20" t="s">
        <v>82</v>
      </c>
      <c r="C303" s="21">
        <v>0</v>
      </c>
      <c r="D303" s="21">
        <v>0</v>
      </c>
      <c r="E303" s="21">
        <v>0</v>
      </c>
      <c r="F303" s="21">
        <v>0</v>
      </c>
      <c r="AB303" s="21">
        <v>0</v>
      </c>
      <c r="AC303" s="21">
        <v>0</v>
      </c>
      <c r="AD303" s="21">
        <v>0</v>
      </c>
      <c r="AE303" s="21">
        <v>0</v>
      </c>
      <c r="AF303" s="21">
        <v>0</v>
      </c>
      <c r="AG303" s="21">
        <v>0</v>
      </c>
      <c r="AH303" s="21">
        <v>0</v>
      </c>
      <c r="AI303" s="21">
        <v>0</v>
      </c>
      <c r="AJ303" s="21">
        <v>0</v>
      </c>
      <c r="AK303" s="21">
        <v>0</v>
      </c>
      <c r="AL303" s="21">
        <v>0</v>
      </c>
      <c r="AM303" s="21">
        <v>0</v>
      </c>
      <c r="AN303" s="21">
        <v>0</v>
      </c>
    </row>
    <row r="304" spans="1:48" x14ac:dyDescent="0.15">
      <c r="A304" s="20" t="s">
        <v>56</v>
      </c>
      <c r="B304" s="20" t="s">
        <v>82</v>
      </c>
      <c r="C304" s="21">
        <v>0</v>
      </c>
      <c r="D304" s="21">
        <v>0</v>
      </c>
      <c r="E304" s="21">
        <v>0</v>
      </c>
      <c r="F304" s="21">
        <v>0</v>
      </c>
      <c r="AB304" s="21">
        <v>0</v>
      </c>
      <c r="AC304" s="21">
        <v>0</v>
      </c>
      <c r="AD304" s="21">
        <v>0</v>
      </c>
      <c r="AE304" s="21">
        <v>0</v>
      </c>
      <c r="AF304" s="21">
        <v>0</v>
      </c>
      <c r="AG304" s="21">
        <v>0</v>
      </c>
      <c r="AH304" s="21">
        <v>0</v>
      </c>
      <c r="AI304" s="21">
        <v>0</v>
      </c>
      <c r="AJ304" s="21">
        <v>0</v>
      </c>
      <c r="AK304" s="21">
        <v>0</v>
      </c>
      <c r="AL304" s="21">
        <v>0</v>
      </c>
      <c r="AM304" s="21">
        <v>0</v>
      </c>
      <c r="AN304" s="21">
        <v>0</v>
      </c>
      <c r="AU304" s="21">
        <v>0</v>
      </c>
      <c r="AV304" s="21">
        <v>0</v>
      </c>
    </row>
    <row r="305" spans="1:48" x14ac:dyDescent="0.15">
      <c r="A305" s="20" t="s">
        <v>57</v>
      </c>
      <c r="B305" s="20" t="s">
        <v>82</v>
      </c>
      <c r="C305" s="21">
        <v>0</v>
      </c>
      <c r="D305" s="21">
        <v>77</v>
      </c>
      <c r="E305" s="21">
        <v>87916</v>
      </c>
      <c r="F305" s="21">
        <v>87994</v>
      </c>
      <c r="G305" s="21">
        <v>24578</v>
      </c>
      <c r="H305" s="21">
        <v>18987</v>
      </c>
      <c r="I305" s="21">
        <v>19444</v>
      </c>
      <c r="J305" s="21">
        <v>10166</v>
      </c>
      <c r="K305" s="21">
        <v>4122</v>
      </c>
      <c r="L305" s="21">
        <v>397</v>
      </c>
      <c r="M305" s="21">
        <v>0.78269999999999995</v>
      </c>
      <c r="N305" s="21">
        <v>0.78269999999999995</v>
      </c>
      <c r="O305" s="21">
        <v>4.4400000000000002E-2</v>
      </c>
      <c r="P305" s="21">
        <v>371</v>
      </c>
      <c r="Q305" s="21">
        <v>1.3046</v>
      </c>
      <c r="R305" s="21">
        <v>222</v>
      </c>
      <c r="S305" s="21">
        <v>237</v>
      </c>
      <c r="T305" s="21">
        <v>8.8200000000000001E-2</v>
      </c>
      <c r="U305" s="21">
        <v>2.1499999999999998E-2</v>
      </c>
      <c r="V305" s="21">
        <v>0.67310000000000003</v>
      </c>
      <c r="W305" s="21">
        <v>308</v>
      </c>
      <c r="X305" s="21">
        <v>1</v>
      </c>
      <c r="Y305" s="21">
        <v>241</v>
      </c>
      <c r="Z305" s="21">
        <v>0</v>
      </c>
      <c r="AA305" s="21">
        <v>0</v>
      </c>
      <c r="AB305" s="21">
        <v>546</v>
      </c>
      <c r="AC305" s="21">
        <v>546</v>
      </c>
      <c r="AD305" s="21">
        <v>552</v>
      </c>
      <c r="AE305" s="21">
        <v>13</v>
      </c>
      <c r="AF305" s="21">
        <v>2.3300000000000001E-2</v>
      </c>
      <c r="AG305" s="21">
        <v>0</v>
      </c>
      <c r="AH305" s="21">
        <v>0</v>
      </c>
      <c r="AI305" s="21">
        <v>0</v>
      </c>
      <c r="AJ305" s="21">
        <v>0</v>
      </c>
      <c r="AK305" s="21">
        <v>0</v>
      </c>
      <c r="AL305" s="21">
        <v>0</v>
      </c>
      <c r="AM305" s="21">
        <v>0</v>
      </c>
      <c r="AN305" s="21">
        <v>0</v>
      </c>
      <c r="AP305" s="21">
        <v>61</v>
      </c>
      <c r="AQ305" s="21">
        <v>61</v>
      </c>
      <c r="AR305" s="21">
        <v>54</v>
      </c>
      <c r="AS305" s="21">
        <v>6</v>
      </c>
      <c r="AU305" s="21">
        <v>184</v>
      </c>
      <c r="AV305" s="21">
        <v>0</v>
      </c>
    </row>
    <row r="306" spans="1:48" x14ac:dyDescent="0.15">
      <c r="A306" s="20" t="s">
        <v>58</v>
      </c>
      <c r="B306" s="20" t="s">
        <v>82</v>
      </c>
      <c r="C306" s="21">
        <v>0</v>
      </c>
      <c r="D306" s="21">
        <v>0</v>
      </c>
      <c r="E306" s="21">
        <v>0</v>
      </c>
      <c r="F306" s="21">
        <v>0</v>
      </c>
      <c r="AB306" s="21">
        <v>0</v>
      </c>
      <c r="AC306" s="21">
        <v>0</v>
      </c>
      <c r="AD306" s="21">
        <v>0</v>
      </c>
      <c r="AE306" s="21">
        <v>0</v>
      </c>
      <c r="AF306" s="21">
        <v>0</v>
      </c>
      <c r="AG306" s="21">
        <v>0</v>
      </c>
      <c r="AH306" s="21">
        <v>0</v>
      </c>
      <c r="AI306" s="21">
        <v>0</v>
      </c>
      <c r="AJ306" s="21">
        <v>0</v>
      </c>
      <c r="AK306" s="21">
        <v>0</v>
      </c>
      <c r="AL306" s="21">
        <v>0</v>
      </c>
      <c r="AM306" s="21">
        <v>0</v>
      </c>
      <c r="AN306" s="21">
        <v>0</v>
      </c>
      <c r="AV306" s="21">
        <v>0</v>
      </c>
    </row>
    <row r="307" spans="1:48" x14ac:dyDescent="0.15">
      <c r="A307" s="20" t="s">
        <v>59</v>
      </c>
      <c r="B307" s="20" t="s">
        <v>82</v>
      </c>
      <c r="C307" s="21">
        <v>0</v>
      </c>
      <c r="D307" s="21">
        <v>0</v>
      </c>
      <c r="E307" s="21">
        <v>0</v>
      </c>
      <c r="F307" s="21">
        <v>0</v>
      </c>
      <c r="AB307" s="21">
        <v>0</v>
      </c>
      <c r="AC307" s="21">
        <v>0</v>
      </c>
      <c r="AD307" s="21">
        <v>0</v>
      </c>
      <c r="AE307" s="21">
        <v>0</v>
      </c>
      <c r="AF307" s="21">
        <v>0</v>
      </c>
      <c r="AG307" s="21">
        <v>0</v>
      </c>
      <c r="AH307" s="21">
        <v>0</v>
      </c>
      <c r="AI307" s="21">
        <v>0</v>
      </c>
      <c r="AJ307" s="21">
        <v>0</v>
      </c>
      <c r="AK307" s="21">
        <v>0</v>
      </c>
      <c r="AL307" s="21">
        <v>0</v>
      </c>
      <c r="AM307" s="21">
        <v>0</v>
      </c>
      <c r="AN307" s="21">
        <v>0</v>
      </c>
    </row>
    <row r="308" spans="1:48" x14ac:dyDescent="0.15">
      <c r="A308" s="20" t="s">
        <v>60</v>
      </c>
      <c r="B308" s="20" t="s">
        <v>82</v>
      </c>
      <c r="C308" s="21">
        <v>0</v>
      </c>
      <c r="D308" s="21">
        <v>3</v>
      </c>
      <c r="E308" s="21">
        <v>25214</v>
      </c>
      <c r="F308" s="21">
        <v>25217</v>
      </c>
      <c r="G308" s="21">
        <v>1868</v>
      </c>
      <c r="H308" s="21">
        <v>5207</v>
      </c>
      <c r="I308" s="21">
        <v>12257</v>
      </c>
      <c r="J308" s="21">
        <v>5425</v>
      </c>
      <c r="K308" s="21">
        <v>461</v>
      </c>
      <c r="L308" s="21">
        <v>167</v>
      </c>
      <c r="M308" s="21">
        <v>0.80589999999999995</v>
      </c>
      <c r="N308" s="21">
        <v>0.80589999999999995</v>
      </c>
      <c r="O308" s="21">
        <v>2.35E-2</v>
      </c>
      <c r="P308" s="21">
        <v>152</v>
      </c>
      <c r="Q308" s="21">
        <v>1.6052999999999999</v>
      </c>
      <c r="R308" s="21">
        <v>152</v>
      </c>
      <c r="S308" s="21">
        <v>166</v>
      </c>
      <c r="T308" s="21">
        <v>9.6199999999999994E-2</v>
      </c>
      <c r="U308" s="21">
        <v>1.09E-2</v>
      </c>
      <c r="AB308" s="21">
        <v>0</v>
      </c>
      <c r="AC308" s="21">
        <v>0</v>
      </c>
      <c r="AD308" s="21">
        <v>0</v>
      </c>
      <c r="AE308" s="21">
        <v>0</v>
      </c>
      <c r="AF308" s="21">
        <v>0</v>
      </c>
      <c r="AG308" s="21">
        <v>0</v>
      </c>
      <c r="AH308" s="21">
        <v>0</v>
      </c>
      <c r="AI308" s="21">
        <v>0</v>
      </c>
      <c r="AJ308" s="21">
        <v>0</v>
      </c>
      <c r="AK308" s="21">
        <v>0</v>
      </c>
      <c r="AL308" s="21">
        <v>0</v>
      </c>
      <c r="AM308" s="21">
        <v>0</v>
      </c>
      <c r="AN308" s="21">
        <v>0</v>
      </c>
      <c r="AU308" s="21">
        <v>0</v>
      </c>
      <c r="AV308" s="21">
        <v>0</v>
      </c>
    </row>
    <row r="309" spans="1:48" x14ac:dyDescent="0.15">
      <c r="A309" s="20" t="s">
        <v>61</v>
      </c>
      <c r="B309" s="20" t="s">
        <v>82</v>
      </c>
      <c r="C309" s="21">
        <v>0</v>
      </c>
      <c r="D309" s="21">
        <v>22</v>
      </c>
      <c r="E309" s="21">
        <v>18403</v>
      </c>
      <c r="F309" s="21">
        <v>18424</v>
      </c>
      <c r="G309" s="21">
        <v>2172</v>
      </c>
      <c r="H309" s="21">
        <v>6011</v>
      </c>
      <c r="I309" s="21">
        <v>7152</v>
      </c>
      <c r="J309" s="21">
        <v>2647</v>
      </c>
      <c r="L309" s="21">
        <v>119</v>
      </c>
      <c r="M309" s="21">
        <v>0.85599999999999998</v>
      </c>
      <c r="N309" s="21">
        <v>0.85599999999999998</v>
      </c>
      <c r="O309" s="21">
        <v>6.4000000000000001E-2</v>
      </c>
      <c r="P309" s="21">
        <v>130</v>
      </c>
      <c r="Q309" s="21">
        <v>1.2768999999999999</v>
      </c>
      <c r="R309" s="21">
        <v>155</v>
      </c>
      <c r="S309" s="21">
        <v>142</v>
      </c>
      <c r="T309" s="21">
        <v>0.13769999999999999</v>
      </c>
      <c r="U309" s="21">
        <v>6.9500000000000006E-2</v>
      </c>
      <c r="AB309" s="21">
        <v>0</v>
      </c>
      <c r="AC309" s="21">
        <v>0</v>
      </c>
      <c r="AD309" s="21">
        <v>0</v>
      </c>
      <c r="AE309" s="21">
        <v>0</v>
      </c>
      <c r="AF309" s="21">
        <v>0</v>
      </c>
      <c r="AG309" s="21">
        <v>0</v>
      </c>
      <c r="AH309" s="21">
        <v>0</v>
      </c>
      <c r="AI309" s="21">
        <v>0</v>
      </c>
      <c r="AJ309" s="21">
        <v>0</v>
      </c>
      <c r="AK309" s="21">
        <v>0</v>
      </c>
      <c r="AL309" s="21">
        <v>0</v>
      </c>
      <c r="AM309" s="21">
        <v>0</v>
      </c>
      <c r="AN309" s="21">
        <v>0</v>
      </c>
      <c r="AU309" s="21">
        <v>2</v>
      </c>
      <c r="AV309" s="21">
        <v>0</v>
      </c>
    </row>
    <row r="310" spans="1:48" x14ac:dyDescent="0.15">
      <c r="A310" s="20" t="s">
        <v>48</v>
      </c>
      <c r="B310" s="20" t="s">
        <v>83</v>
      </c>
      <c r="C310" s="21">
        <v>0</v>
      </c>
      <c r="D310" s="21">
        <v>0</v>
      </c>
      <c r="E310" s="21">
        <v>19836</v>
      </c>
      <c r="F310" s="21">
        <v>19836</v>
      </c>
      <c r="H310" s="21">
        <v>9487</v>
      </c>
      <c r="I310" s="21">
        <v>3280</v>
      </c>
      <c r="J310" s="21">
        <v>2568</v>
      </c>
      <c r="K310" s="21">
        <v>13</v>
      </c>
      <c r="L310" s="21">
        <v>287</v>
      </c>
      <c r="M310" s="21">
        <v>0.66779999999999995</v>
      </c>
      <c r="N310" s="21">
        <v>0.66779999999999995</v>
      </c>
      <c r="O310" s="21">
        <v>3.3E-3</v>
      </c>
      <c r="P310" s="21">
        <v>561</v>
      </c>
      <c r="Q310" s="21">
        <v>0.59179999999999999</v>
      </c>
      <c r="R310" s="21">
        <v>70</v>
      </c>
      <c r="S310" s="21">
        <v>35</v>
      </c>
      <c r="T310" s="21">
        <v>0.18179999999999999</v>
      </c>
      <c r="U310" s="21">
        <v>1.7600000000000001E-2</v>
      </c>
      <c r="V310" s="21">
        <v>0.84240000000000004</v>
      </c>
      <c r="W310" s="21">
        <v>-13</v>
      </c>
      <c r="X310" s="21">
        <v>0</v>
      </c>
      <c r="Y310" s="21">
        <v>12</v>
      </c>
      <c r="Z310" s="21">
        <v>0</v>
      </c>
      <c r="AA310" s="21">
        <v>0</v>
      </c>
      <c r="AB310" s="21">
        <v>99</v>
      </c>
      <c r="AC310" s="21">
        <v>99</v>
      </c>
      <c r="AD310" s="21">
        <v>98</v>
      </c>
      <c r="AE310" s="21">
        <v>2</v>
      </c>
      <c r="AF310" s="21">
        <v>2.06E-2</v>
      </c>
      <c r="AG310" s="21">
        <v>0</v>
      </c>
      <c r="AH310" s="21">
        <v>0</v>
      </c>
      <c r="AI310" s="21">
        <v>0</v>
      </c>
      <c r="AJ310" s="21">
        <v>0.5</v>
      </c>
      <c r="AK310" s="21">
        <v>0</v>
      </c>
      <c r="AL310" s="21">
        <v>0</v>
      </c>
      <c r="AM310" s="21">
        <v>0</v>
      </c>
      <c r="AN310" s="21">
        <v>0</v>
      </c>
      <c r="AP310" s="21">
        <v>7</v>
      </c>
      <c r="AQ310" s="21">
        <v>7</v>
      </c>
      <c r="AR310" s="21">
        <v>6</v>
      </c>
      <c r="AS310" s="21">
        <v>0</v>
      </c>
      <c r="AU310" s="21">
        <v>8</v>
      </c>
      <c r="AV310" s="21">
        <v>0</v>
      </c>
    </row>
    <row r="311" spans="1:48" x14ac:dyDescent="0.15">
      <c r="A311" s="20" t="s">
        <v>50</v>
      </c>
      <c r="B311" s="20" t="s">
        <v>83</v>
      </c>
      <c r="C311" s="21">
        <v>0</v>
      </c>
      <c r="D311" s="21">
        <v>10</v>
      </c>
      <c r="E311" s="21">
        <v>14112</v>
      </c>
      <c r="F311" s="21">
        <v>14122</v>
      </c>
      <c r="H311" s="21">
        <v>13335</v>
      </c>
      <c r="I311" s="21">
        <v>-8</v>
      </c>
      <c r="J311" s="21">
        <v>37</v>
      </c>
      <c r="K311" s="21">
        <v>0</v>
      </c>
      <c r="L311" s="21">
        <v>297</v>
      </c>
      <c r="M311" s="21">
        <v>0.69099999999999995</v>
      </c>
      <c r="N311" s="21">
        <v>0.68440000000000001</v>
      </c>
      <c r="O311" s="21">
        <v>2.3300000000000001E-2</v>
      </c>
      <c r="P311" s="21">
        <v>421</v>
      </c>
      <c r="Q311" s="21">
        <v>0.6865</v>
      </c>
      <c r="R311" s="21">
        <v>49</v>
      </c>
      <c r="S311" s="21">
        <v>34</v>
      </c>
      <c r="T311" s="21">
        <v>0.1646</v>
      </c>
      <c r="U311" s="21">
        <v>2.8299999999999999E-2</v>
      </c>
      <c r="V311" s="21">
        <v>0.93500000000000005</v>
      </c>
      <c r="W311" s="21">
        <v>31</v>
      </c>
      <c r="X311" s="21">
        <v>0</v>
      </c>
      <c r="Y311" s="21">
        <v>16</v>
      </c>
      <c r="Z311" s="21">
        <v>0</v>
      </c>
      <c r="AA311" s="21">
        <v>0</v>
      </c>
      <c r="AB311" s="21">
        <v>108</v>
      </c>
      <c r="AC311" s="21">
        <v>108</v>
      </c>
      <c r="AD311" s="21">
        <v>108</v>
      </c>
      <c r="AE311" s="21">
        <v>1</v>
      </c>
      <c r="AF311" s="21">
        <v>9.2999999999999992E-3</v>
      </c>
      <c r="AG311" s="21">
        <v>0</v>
      </c>
      <c r="AH311" s="21">
        <v>0</v>
      </c>
      <c r="AI311" s="21">
        <v>0</v>
      </c>
      <c r="AJ311" s="21">
        <v>0.34549999999999997</v>
      </c>
      <c r="AK311" s="21">
        <v>0</v>
      </c>
      <c r="AL311" s="21">
        <v>0</v>
      </c>
      <c r="AM311" s="21">
        <v>0</v>
      </c>
      <c r="AN311" s="21">
        <v>0</v>
      </c>
      <c r="AP311" s="21">
        <v>49</v>
      </c>
      <c r="AQ311" s="21">
        <v>49</v>
      </c>
      <c r="AR311" s="21">
        <v>49</v>
      </c>
      <c r="AS311" s="21">
        <v>0</v>
      </c>
      <c r="AU311" s="21">
        <v>12</v>
      </c>
      <c r="AV311" s="21">
        <v>0</v>
      </c>
    </row>
    <row r="312" spans="1:48" x14ac:dyDescent="0.15">
      <c r="A312" s="20" t="s">
        <v>51</v>
      </c>
      <c r="B312" s="20" t="s">
        <v>83</v>
      </c>
      <c r="C312" s="21">
        <v>0</v>
      </c>
      <c r="D312" s="21">
        <v>8</v>
      </c>
      <c r="E312" s="21">
        <v>36462</v>
      </c>
      <c r="F312" s="21">
        <v>36470</v>
      </c>
      <c r="G312" s="21">
        <v>1036</v>
      </c>
      <c r="H312" s="21">
        <v>15347</v>
      </c>
      <c r="I312" s="21">
        <v>8661</v>
      </c>
      <c r="J312" s="21">
        <v>7187</v>
      </c>
      <c r="K312" s="21">
        <v>4058</v>
      </c>
      <c r="L312" s="21">
        <v>893</v>
      </c>
      <c r="M312" s="21">
        <v>0.61760000000000004</v>
      </c>
      <c r="N312" s="21">
        <v>0.61760000000000004</v>
      </c>
      <c r="O312" s="21">
        <v>2.47E-2</v>
      </c>
      <c r="P312" s="21">
        <v>1342</v>
      </c>
      <c r="Q312" s="21">
        <v>0.59460000000000002</v>
      </c>
      <c r="R312" s="21">
        <v>42</v>
      </c>
      <c r="S312" s="21">
        <v>27</v>
      </c>
      <c r="T312" s="21">
        <v>0.19689999999999999</v>
      </c>
      <c r="U312" s="21">
        <v>2.7699999999999999E-2</v>
      </c>
      <c r="V312" s="21">
        <v>0.74970000000000003</v>
      </c>
      <c r="AB312" s="21">
        <v>0</v>
      </c>
      <c r="AC312" s="21">
        <v>0</v>
      </c>
      <c r="AD312" s="21">
        <v>0</v>
      </c>
      <c r="AE312" s="21">
        <v>0</v>
      </c>
      <c r="AF312" s="21">
        <v>0</v>
      </c>
      <c r="AG312" s="21">
        <v>0</v>
      </c>
      <c r="AH312" s="21">
        <v>0</v>
      </c>
      <c r="AI312" s="21">
        <v>0</v>
      </c>
      <c r="AJ312" s="21">
        <v>0</v>
      </c>
      <c r="AK312" s="21">
        <v>0</v>
      </c>
      <c r="AL312" s="21">
        <v>0</v>
      </c>
      <c r="AM312" s="21">
        <v>0</v>
      </c>
      <c r="AN312" s="21">
        <v>0</v>
      </c>
      <c r="AU312" s="21">
        <v>46</v>
      </c>
      <c r="AV312" s="21">
        <v>0</v>
      </c>
    </row>
    <row r="313" spans="1:48" x14ac:dyDescent="0.15">
      <c r="A313" s="20" t="s">
        <v>52</v>
      </c>
      <c r="B313" s="20" t="s">
        <v>83</v>
      </c>
      <c r="C313" s="21">
        <v>0</v>
      </c>
      <c r="D313" s="21">
        <v>34</v>
      </c>
      <c r="E313" s="21">
        <v>51318</v>
      </c>
      <c r="F313" s="21">
        <v>51352</v>
      </c>
      <c r="G313" s="21">
        <v>17239</v>
      </c>
      <c r="H313" s="21">
        <v>10228</v>
      </c>
      <c r="I313" s="21">
        <v>5815</v>
      </c>
      <c r="J313" s="21">
        <v>12076</v>
      </c>
      <c r="K313" s="21">
        <v>4152</v>
      </c>
      <c r="L313" s="21">
        <v>489</v>
      </c>
      <c r="M313" s="21">
        <v>0.65610000000000002</v>
      </c>
      <c r="N313" s="21">
        <v>0.65410000000000001</v>
      </c>
      <c r="O313" s="21">
        <v>1.1900000000000001E-2</v>
      </c>
      <c r="P313" s="21">
        <v>706</v>
      </c>
      <c r="Q313" s="21">
        <v>0.73650000000000004</v>
      </c>
      <c r="R313" s="21">
        <v>108</v>
      </c>
      <c r="S313" s="21">
        <v>73</v>
      </c>
      <c r="T313" s="21">
        <v>0.1389</v>
      </c>
      <c r="U313" s="21">
        <v>2.6499999999999999E-2</v>
      </c>
      <c r="V313" s="21">
        <v>0.7319</v>
      </c>
      <c r="W313" s="21">
        <v>10</v>
      </c>
      <c r="X313" s="21">
        <v>0</v>
      </c>
      <c r="Y313" s="21">
        <v>24</v>
      </c>
      <c r="Z313" s="21">
        <v>0</v>
      </c>
      <c r="AA313" s="21">
        <v>0</v>
      </c>
      <c r="AB313" s="21">
        <v>38</v>
      </c>
      <c r="AC313" s="21">
        <v>38</v>
      </c>
      <c r="AD313" s="21">
        <v>36</v>
      </c>
      <c r="AE313" s="21">
        <v>4</v>
      </c>
      <c r="AF313" s="21">
        <v>0.1176</v>
      </c>
      <c r="AG313" s="21">
        <v>0</v>
      </c>
      <c r="AH313" s="21">
        <v>0</v>
      </c>
      <c r="AI313" s="21">
        <v>0</v>
      </c>
      <c r="AJ313" s="21">
        <v>0</v>
      </c>
      <c r="AK313" s="21">
        <v>0</v>
      </c>
      <c r="AL313" s="21">
        <v>0</v>
      </c>
      <c r="AM313" s="21">
        <v>0</v>
      </c>
      <c r="AN313" s="21">
        <v>0</v>
      </c>
      <c r="AP313" s="21">
        <v>36</v>
      </c>
      <c r="AQ313" s="21">
        <v>36</v>
      </c>
      <c r="AR313" s="21">
        <v>33</v>
      </c>
      <c r="AS313" s="21">
        <v>2</v>
      </c>
      <c r="AU313" s="21">
        <v>34</v>
      </c>
      <c r="AV313" s="21">
        <v>0</v>
      </c>
    </row>
    <row r="314" spans="1:48" x14ac:dyDescent="0.15">
      <c r="A314" s="20" t="s">
        <v>53</v>
      </c>
      <c r="B314" s="20" t="s">
        <v>83</v>
      </c>
      <c r="C314" s="21">
        <v>0</v>
      </c>
      <c r="D314" s="21">
        <v>0</v>
      </c>
      <c r="E314" s="21">
        <v>0</v>
      </c>
      <c r="F314" s="21">
        <v>0</v>
      </c>
      <c r="AB314" s="21">
        <v>0</v>
      </c>
      <c r="AC314" s="21">
        <v>0</v>
      </c>
      <c r="AD314" s="21">
        <v>0</v>
      </c>
      <c r="AE314" s="21">
        <v>0</v>
      </c>
      <c r="AF314" s="21">
        <v>0</v>
      </c>
      <c r="AG314" s="21">
        <v>0</v>
      </c>
      <c r="AH314" s="21">
        <v>0</v>
      </c>
      <c r="AI314" s="21">
        <v>0</v>
      </c>
      <c r="AJ314" s="21">
        <v>0</v>
      </c>
      <c r="AK314" s="21">
        <v>0</v>
      </c>
      <c r="AL314" s="21">
        <v>0</v>
      </c>
      <c r="AM314" s="21">
        <v>0</v>
      </c>
      <c r="AN314" s="21">
        <v>0</v>
      </c>
    </row>
    <row r="315" spans="1:48" x14ac:dyDescent="0.15">
      <c r="A315" s="20" t="s">
        <v>0</v>
      </c>
      <c r="B315" s="20" t="s">
        <v>83</v>
      </c>
      <c r="C315" s="21">
        <v>0</v>
      </c>
      <c r="D315" s="21">
        <v>137</v>
      </c>
      <c r="E315" s="21">
        <v>231198</v>
      </c>
      <c r="F315" s="21">
        <v>231335</v>
      </c>
      <c r="G315" s="21">
        <v>38108</v>
      </c>
      <c r="H315" s="21">
        <v>73985</v>
      </c>
      <c r="I315" s="21">
        <v>50526</v>
      </c>
      <c r="J315" s="21">
        <v>42700</v>
      </c>
      <c r="K315" s="21">
        <v>10497</v>
      </c>
      <c r="L315" s="21">
        <v>2671</v>
      </c>
      <c r="M315" s="21">
        <v>0.66769999999999996</v>
      </c>
      <c r="N315" s="21">
        <v>0.6663</v>
      </c>
      <c r="O315" s="21">
        <v>2.01E-2</v>
      </c>
      <c r="P315" s="21">
        <v>3818</v>
      </c>
      <c r="Q315" s="21">
        <v>0.69850000000000001</v>
      </c>
      <c r="R315" s="21">
        <v>89</v>
      </c>
      <c r="S315" s="21">
        <v>61</v>
      </c>
      <c r="T315" s="21">
        <v>0.15210000000000001</v>
      </c>
      <c r="U315" s="21">
        <v>2.6700000000000002E-2</v>
      </c>
      <c r="V315" s="21">
        <v>0.58330000000000004</v>
      </c>
      <c r="W315" s="21">
        <v>200</v>
      </c>
      <c r="X315" s="21">
        <v>1</v>
      </c>
      <c r="Y315" s="21">
        <v>169</v>
      </c>
      <c r="Z315" s="21">
        <v>0</v>
      </c>
      <c r="AA315" s="21">
        <v>0</v>
      </c>
      <c r="AB315" s="21">
        <v>707</v>
      </c>
      <c r="AC315" s="21">
        <v>707</v>
      </c>
      <c r="AD315" s="21">
        <v>746</v>
      </c>
      <c r="AE315" s="21">
        <v>24</v>
      </c>
      <c r="AF315" s="21">
        <v>3.0599999999999999E-2</v>
      </c>
      <c r="AG315" s="21">
        <v>0</v>
      </c>
      <c r="AH315" s="21">
        <v>0</v>
      </c>
      <c r="AI315" s="21">
        <v>0</v>
      </c>
      <c r="AJ315" s="21">
        <v>0.36849999999999999</v>
      </c>
      <c r="AK315" s="21">
        <v>0</v>
      </c>
      <c r="AL315" s="21">
        <v>0</v>
      </c>
      <c r="AM315" s="21">
        <v>0</v>
      </c>
      <c r="AN315" s="21">
        <v>0</v>
      </c>
      <c r="AP315" s="21">
        <v>169</v>
      </c>
      <c r="AQ315" s="21">
        <v>132</v>
      </c>
      <c r="AR315" s="21">
        <v>123</v>
      </c>
      <c r="AS315" s="21">
        <v>8</v>
      </c>
      <c r="AU315" s="21">
        <v>332</v>
      </c>
      <c r="AV315" s="21">
        <v>0</v>
      </c>
    </row>
    <row r="316" spans="1:48" x14ac:dyDescent="0.15">
      <c r="A316" s="20" t="s">
        <v>54</v>
      </c>
      <c r="B316" s="20" t="s">
        <v>83</v>
      </c>
      <c r="C316" s="21">
        <v>0</v>
      </c>
      <c r="D316" s="21">
        <v>0</v>
      </c>
      <c r="E316" s="21">
        <v>0</v>
      </c>
      <c r="F316" s="21">
        <v>0</v>
      </c>
      <c r="AB316" s="21">
        <v>0</v>
      </c>
      <c r="AC316" s="21">
        <v>0</v>
      </c>
      <c r="AD316" s="21">
        <v>0</v>
      </c>
      <c r="AE316" s="21">
        <v>0</v>
      </c>
      <c r="AF316" s="21">
        <v>0</v>
      </c>
      <c r="AG316" s="21">
        <v>0</v>
      </c>
      <c r="AH316" s="21">
        <v>0</v>
      </c>
      <c r="AI316" s="21">
        <v>0</v>
      </c>
      <c r="AJ316" s="21">
        <v>0</v>
      </c>
      <c r="AK316" s="21">
        <v>0</v>
      </c>
      <c r="AL316" s="21">
        <v>0</v>
      </c>
      <c r="AM316" s="21">
        <v>0</v>
      </c>
      <c r="AN316" s="21">
        <v>0</v>
      </c>
      <c r="AV316" s="21">
        <v>0</v>
      </c>
    </row>
    <row r="317" spans="1:48" x14ac:dyDescent="0.15">
      <c r="A317" s="20" t="s">
        <v>55</v>
      </c>
      <c r="B317" s="20" t="s">
        <v>83</v>
      </c>
      <c r="C317" s="21">
        <v>0</v>
      </c>
      <c r="D317" s="21">
        <v>0</v>
      </c>
      <c r="E317" s="21">
        <v>0</v>
      </c>
      <c r="F317" s="21">
        <v>0</v>
      </c>
      <c r="AB317" s="21">
        <v>0</v>
      </c>
      <c r="AC317" s="21">
        <v>0</v>
      </c>
      <c r="AD317" s="21">
        <v>0</v>
      </c>
      <c r="AE317" s="21">
        <v>0</v>
      </c>
      <c r="AF317" s="21">
        <v>0</v>
      </c>
      <c r="AG317" s="21">
        <v>0</v>
      </c>
      <c r="AH317" s="21">
        <v>0</v>
      </c>
      <c r="AI317" s="21">
        <v>0</v>
      </c>
      <c r="AJ317" s="21">
        <v>0</v>
      </c>
      <c r="AK317" s="21">
        <v>0</v>
      </c>
      <c r="AL317" s="21">
        <v>0</v>
      </c>
      <c r="AM317" s="21">
        <v>0</v>
      </c>
      <c r="AN317" s="21">
        <v>0</v>
      </c>
    </row>
    <row r="318" spans="1:48" x14ac:dyDescent="0.15">
      <c r="A318" s="20" t="s">
        <v>56</v>
      </c>
      <c r="B318" s="20" t="s">
        <v>83</v>
      </c>
      <c r="C318" s="21">
        <v>0</v>
      </c>
      <c r="D318" s="21">
        <v>0</v>
      </c>
      <c r="E318" s="21">
        <v>0</v>
      </c>
      <c r="F318" s="21">
        <v>0</v>
      </c>
      <c r="AB318" s="21">
        <v>0</v>
      </c>
      <c r="AC318" s="21">
        <v>0</v>
      </c>
      <c r="AD318" s="21">
        <v>0</v>
      </c>
      <c r="AE318" s="21">
        <v>0</v>
      </c>
      <c r="AF318" s="21">
        <v>0</v>
      </c>
      <c r="AG318" s="21">
        <v>0</v>
      </c>
      <c r="AH318" s="21">
        <v>0</v>
      </c>
      <c r="AI318" s="21">
        <v>0</v>
      </c>
      <c r="AJ318" s="21">
        <v>0</v>
      </c>
      <c r="AK318" s="21">
        <v>0</v>
      </c>
      <c r="AL318" s="21">
        <v>0</v>
      </c>
      <c r="AM318" s="21">
        <v>0</v>
      </c>
      <c r="AN318" s="21">
        <v>0</v>
      </c>
      <c r="AU318" s="21">
        <v>0</v>
      </c>
      <c r="AV318" s="21">
        <v>0</v>
      </c>
    </row>
    <row r="319" spans="1:48" x14ac:dyDescent="0.15">
      <c r="A319" s="20" t="s">
        <v>57</v>
      </c>
      <c r="B319" s="20" t="s">
        <v>83</v>
      </c>
      <c r="C319" s="21">
        <v>0</v>
      </c>
      <c r="D319" s="21">
        <v>79</v>
      </c>
      <c r="E319" s="21">
        <v>80607</v>
      </c>
      <c r="F319" s="21">
        <v>80686</v>
      </c>
      <c r="G319" s="21">
        <v>16614</v>
      </c>
      <c r="H319" s="21">
        <v>19905</v>
      </c>
      <c r="I319" s="21">
        <v>20091</v>
      </c>
      <c r="J319" s="21">
        <v>14850</v>
      </c>
      <c r="K319" s="21">
        <v>1968</v>
      </c>
      <c r="L319" s="21">
        <v>411</v>
      </c>
      <c r="M319" s="21">
        <v>0.7389</v>
      </c>
      <c r="N319" s="21">
        <v>0.73660000000000003</v>
      </c>
      <c r="O319" s="21">
        <v>3.2599999999999997E-2</v>
      </c>
      <c r="P319" s="21">
        <v>408</v>
      </c>
      <c r="Q319" s="21">
        <v>1.0294000000000001</v>
      </c>
      <c r="R319" s="21">
        <v>200</v>
      </c>
      <c r="S319" s="21">
        <v>198</v>
      </c>
      <c r="T319" s="21">
        <v>0.12809999999999999</v>
      </c>
      <c r="U319" s="21">
        <v>2.1000000000000001E-2</v>
      </c>
      <c r="V319" s="21">
        <v>0.37859999999999999</v>
      </c>
      <c r="W319" s="21">
        <v>171</v>
      </c>
      <c r="X319" s="21">
        <v>1</v>
      </c>
      <c r="Y319" s="21">
        <v>117</v>
      </c>
      <c r="Z319" s="21">
        <v>0</v>
      </c>
      <c r="AA319" s="21">
        <v>0</v>
      </c>
      <c r="AB319" s="21">
        <v>462</v>
      </c>
      <c r="AC319" s="21">
        <v>462</v>
      </c>
      <c r="AD319" s="21">
        <v>504</v>
      </c>
      <c r="AE319" s="21">
        <v>17</v>
      </c>
      <c r="AF319" s="21">
        <v>3.1099999999999999E-2</v>
      </c>
      <c r="AG319" s="21">
        <v>0</v>
      </c>
      <c r="AH319" s="21">
        <v>0</v>
      </c>
      <c r="AI319" s="21">
        <v>0</v>
      </c>
      <c r="AJ319" s="21">
        <v>0.36959999999999998</v>
      </c>
      <c r="AK319" s="21">
        <v>0</v>
      </c>
      <c r="AL319" s="21">
        <v>0</v>
      </c>
      <c r="AM319" s="21">
        <v>0</v>
      </c>
      <c r="AN319" s="21">
        <v>0</v>
      </c>
      <c r="AP319" s="21">
        <v>77</v>
      </c>
      <c r="AQ319" s="21">
        <v>41</v>
      </c>
      <c r="AR319" s="21">
        <v>35</v>
      </c>
      <c r="AS319" s="21">
        <v>6</v>
      </c>
      <c r="AU319" s="21">
        <v>232</v>
      </c>
      <c r="AV319" s="21">
        <v>0</v>
      </c>
    </row>
    <row r="320" spans="1:48" x14ac:dyDescent="0.15">
      <c r="A320" s="20" t="s">
        <v>58</v>
      </c>
      <c r="B320" s="20" t="s">
        <v>83</v>
      </c>
      <c r="C320" s="21">
        <v>0</v>
      </c>
      <c r="D320" s="21">
        <v>0</v>
      </c>
      <c r="E320" s="21">
        <v>0</v>
      </c>
      <c r="F320" s="21">
        <v>0</v>
      </c>
      <c r="AB320" s="21">
        <v>0</v>
      </c>
      <c r="AC320" s="21">
        <v>0</v>
      </c>
      <c r="AD320" s="21">
        <v>0</v>
      </c>
      <c r="AE320" s="21">
        <v>0</v>
      </c>
      <c r="AF320" s="21">
        <v>0</v>
      </c>
      <c r="AG320" s="21">
        <v>0</v>
      </c>
      <c r="AH320" s="21">
        <v>0</v>
      </c>
      <c r="AI320" s="21">
        <v>0</v>
      </c>
      <c r="AJ320" s="21">
        <v>0</v>
      </c>
      <c r="AK320" s="21">
        <v>0</v>
      </c>
      <c r="AL320" s="21">
        <v>0</v>
      </c>
      <c r="AM320" s="21">
        <v>0</v>
      </c>
      <c r="AN320" s="21">
        <v>0</v>
      </c>
      <c r="AV320" s="21">
        <v>0</v>
      </c>
    </row>
    <row r="321" spans="1:48" x14ac:dyDescent="0.15">
      <c r="A321" s="20" t="s">
        <v>59</v>
      </c>
      <c r="B321" s="20" t="s">
        <v>83</v>
      </c>
      <c r="C321" s="21">
        <v>0</v>
      </c>
      <c r="D321" s="21">
        <v>0</v>
      </c>
      <c r="E321" s="21">
        <v>0</v>
      </c>
      <c r="F321" s="21">
        <v>0</v>
      </c>
      <c r="AB321" s="21">
        <v>0</v>
      </c>
      <c r="AC321" s="21">
        <v>0</v>
      </c>
      <c r="AD321" s="21">
        <v>0</v>
      </c>
      <c r="AE321" s="21">
        <v>0</v>
      </c>
      <c r="AF321" s="21">
        <v>0</v>
      </c>
      <c r="AG321" s="21">
        <v>0</v>
      </c>
      <c r="AH321" s="21">
        <v>0</v>
      </c>
      <c r="AI321" s="21">
        <v>0</v>
      </c>
      <c r="AJ321" s="21">
        <v>0</v>
      </c>
      <c r="AK321" s="21">
        <v>0</v>
      </c>
      <c r="AL321" s="21">
        <v>0</v>
      </c>
      <c r="AM321" s="21">
        <v>0</v>
      </c>
      <c r="AN321" s="21">
        <v>0</v>
      </c>
    </row>
    <row r="322" spans="1:48" x14ac:dyDescent="0.15">
      <c r="A322" s="20" t="s">
        <v>60</v>
      </c>
      <c r="B322" s="20" t="s">
        <v>83</v>
      </c>
      <c r="C322" s="21">
        <v>0</v>
      </c>
      <c r="D322" s="21">
        <v>4</v>
      </c>
      <c r="E322" s="21">
        <v>15025</v>
      </c>
      <c r="F322" s="21">
        <v>15028</v>
      </c>
      <c r="G322" s="21">
        <v>1370</v>
      </c>
      <c r="H322" s="21">
        <v>2368</v>
      </c>
      <c r="I322" s="21">
        <v>7184</v>
      </c>
      <c r="J322" s="21">
        <v>3800</v>
      </c>
      <c r="K322" s="21">
        <v>306</v>
      </c>
      <c r="L322" s="21">
        <v>163</v>
      </c>
      <c r="M322" s="21">
        <v>0.65539999999999998</v>
      </c>
      <c r="N322" s="21">
        <v>0.65539999999999998</v>
      </c>
      <c r="O322" s="21">
        <v>1.1299999999999999E-2</v>
      </c>
      <c r="P322" s="21">
        <v>244</v>
      </c>
      <c r="Q322" s="21">
        <v>0.69669999999999999</v>
      </c>
      <c r="R322" s="21">
        <v>91</v>
      </c>
      <c r="S322" s="21">
        <v>62</v>
      </c>
      <c r="T322" s="21">
        <v>0.11119999999999999</v>
      </c>
      <c r="U322" s="21">
        <v>1.9800000000000002E-2</v>
      </c>
      <c r="AB322" s="21">
        <v>0</v>
      </c>
      <c r="AC322" s="21">
        <v>0</v>
      </c>
      <c r="AD322" s="21">
        <v>0</v>
      </c>
      <c r="AE322" s="21">
        <v>0</v>
      </c>
      <c r="AF322" s="21">
        <v>0</v>
      </c>
      <c r="AG322" s="21">
        <v>0</v>
      </c>
      <c r="AH322" s="21">
        <v>0</v>
      </c>
      <c r="AI322" s="21">
        <v>0</v>
      </c>
      <c r="AJ322" s="21">
        <v>0</v>
      </c>
      <c r="AK322" s="21">
        <v>0</v>
      </c>
      <c r="AL322" s="21">
        <v>0</v>
      </c>
      <c r="AM322" s="21">
        <v>0</v>
      </c>
      <c r="AN322" s="21">
        <v>0</v>
      </c>
      <c r="AU322" s="21">
        <v>0</v>
      </c>
      <c r="AV322" s="21">
        <v>0</v>
      </c>
    </row>
    <row r="323" spans="1:48" x14ac:dyDescent="0.15">
      <c r="A323" s="20" t="s">
        <v>61</v>
      </c>
      <c r="B323" s="20" t="s">
        <v>83</v>
      </c>
      <c r="C323" s="21">
        <v>0</v>
      </c>
      <c r="D323" s="21">
        <v>2</v>
      </c>
      <c r="E323" s="21">
        <v>13839</v>
      </c>
      <c r="F323" s="21">
        <v>13841</v>
      </c>
      <c r="G323" s="21">
        <v>1849</v>
      </c>
      <c r="H323" s="21">
        <v>3314</v>
      </c>
      <c r="I323" s="21">
        <v>5502</v>
      </c>
      <c r="J323" s="21">
        <v>2182</v>
      </c>
      <c r="L323" s="21">
        <v>131</v>
      </c>
      <c r="M323" s="21">
        <v>0.79410000000000003</v>
      </c>
      <c r="N323" s="21">
        <v>0.79410000000000003</v>
      </c>
      <c r="O323" s="21">
        <v>2.2100000000000002E-2</v>
      </c>
      <c r="P323" s="21">
        <v>136</v>
      </c>
      <c r="Q323" s="21">
        <v>1.0146999999999999</v>
      </c>
      <c r="R323" s="21">
        <v>111</v>
      </c>
      <c r="S323" s="21">
        <v>102</v>
      </c>
      <c r="T323" s="21">
        <v>0.19500000000000001</v>
      </c>
      <c r="U323" s="21">
        <v>8.1600000000000006E-2</v>
      </c>
      <c r="AB323" s="21">
        <v>0</v>
      </c>
      <c r="AC323" s="21">
        <v>0</v>
      </c>
      <c r="AD323" s="21">
        <v>0</v>
      </c>
      <c r="AE323" s="21">
        <v>0</v>
      </c>
      <c r="AF323" s="21">
        <v>0</v>
      </c>
      <c r="AG323" s="21">
        <v>0</v>
      </c>
      <c r="AH323" s="21">
        <v>0</v>
      </c>
      <c r="AI323" s="21">
        <v>0</v>
      </c>
      <c r="AJ323" s="21">
        <v>0</v>
      </c>
      <c r="AK323" s="21">
        <v>0</v>
      </c>
      <c r="AL323" s="21">
        <v>0</v>
      </c>
      <c r="AM323" s="21">
        <v>0</v>
      </c>
      <c r="AN323" s="21">
        <v>0</v>
      </c>
      <c r="AU323" s="21">
        <v>0</v>
      </c>
      <c r="AV323" s="21">
        <v>0</v>
      </c>
    </row>
    <row r="324" spans="1:48" x14ac:dyDescent="0.15">
      <c r="A324" s="20" t="s">
        <v>48</v>
      </c>
      <c r="B324" s="20" t="s">
        <v>84</v>
      </c>
      <c r="C324" s="21">
        <v>0</v>
      </c>
      <c r="D324" s="21">
        <v>0</v>
      </c>
      <c r="E324" s="21">
        <v>19667</v>
      </c>
      <c r="F324" s="21">
        <v>19667</v>
      </c>
      <c r="H324" s="21">
        <v>10922</v>
      </c>
      <c r="I324" s="21">
        <v>2690</v>
      </c>
      <c r="J324" s="21">
        <v>1632</v>
      </c>
      <c r="K324" s="21">
        <v>112</v>
      </c>
      <c r="L324" s="21">
        <v>281</v>
      </c>
      <c r="M324" s="21">
        <v>0.71240000000000003</v>
      </c>
      <c r="N324" s="21">
        <v>0.71240000000000003</v>
      </c>
      <c r="O324" s="21">
        <v>0</v>
      </c>
      <c r="P324" s="21">
        <v>610</v>
      </c>
      <c r="Q324" s="21">
        <v>0.55079999999999996</v>
      </c>
      <c r="R324" s="21">
        <v>69</v>
      </c>
      <c r="S324" s="21">
        <v>32</v>
      </c>
      <c r="T324" s="21">
        <v>0.12970000000000001</v>
      </c>
      <c r="U324" s="21">
        <v>1.83E-2</v>
      </c>
      <c r="V324" s="21">
        <v>0.70250000000000001</v>
      </c>
      <c r="W324" s="21">
        <v>19</v>
      </c>
      <c r="X324" s="21">
        <v>1</v>
      </c>
      <c r="Y324" s="21">
        <v>52</v>
      </c>
      <c r="Z324" s="21">
        <v>0</v>
      </c>
      <c r="AA324" s="21">
        <v>0</v>
      </c>
      <c r="AB324" s="21">
        <v>122</v>
      </c>
      <c r="AC324" s="21">
        <v>122</v>
      </c>
      <c r="AD324" s="21">
        <v>110</v>
      </c>
      <c r="AE324" s="21">
        <v>31</v>
      </c>
      <c r="AF324" s="21">
        <v>0.31309999999999999</v>
      </c>
      <c r="AG324" s="21">
        <v>0</v>
      </c>
      <c r="AH324" s="21">
        <v>0</v>
      </c>
      <c r="AI324" s="21">
        <v>0</v>
      </c>
      <c r="AJ324" s="21">
        <v>1</v>
      </c>
      <c r="AK324" s="21">
        <v>0</v>
      </c>
      <c r="AL324" s="21">
        <v>0</v>
      </c>
      <c r="AM324" s="21">
        <v>0</v>
      </c>
      <c r="AN324" s="21">
        <v>0</v>
      </c>
      <c r="AP324" s="21">
        <v>11</v>
      </c>
      <c r="AQ324" s="21">
        <v>11</v>
      </c>
      <c r="AR324" s="21">
        <v>11</v>
      </c>
      <c r="AS324" s="21">
        <v>0</v>
      </c>
      <c r="AU324" s="21">
        <v>8</v>
      </c>
      <c r="AV324" s="21">
        <v>0</v>
      </c>
    </row>
    <row r="325" spans="1:48" x14ac:dyDescent="0.15">
      <c r="A325" s="20" t="s">
        <v>50</v>
      </c>
      <c r="B325" s="20" t="s">
        <v>84</v>
      </c>
      <c r="C325" s="21">
        <v>0</v>
      </c>
      <c r="D325" s="21">
        <v>10</v>
      </c>
      <c r="E325" s="21">
        <v>19639</v>
      </c>
      <c r="F325" s="21">
        <v>19648</v>
      </c>
      <c r="G325" s="21">
        <v>160</v>
      </c>
      <c r="H325" s="21">
        <v>18277</v>
      </c>
      <c r="I325" s="21">
        <v>0</v>
      </c>
      <c r="J325" s="21">
        <v>141</v>
      </c>
      <c r="K325" s="21">
        <v>0</v>
      </c>
      <c r="L325" s="21">
        <v>292</v>
      </c>
      <c r="M325" s="21">
        <v>0.79479999999999995</v>
      </c>
      <c r="N325" s="21">
        <v>0.79149999999999998</v>
      </c>
      <c r="O325" s="21">
        <v>2.6100000000000002E-2</v>
      </c>
      <c r="P325" s="21">
        <v>444</v>
      </c>
      <c r="Q325" s="21">
        <v>0.68920000000000003</v>
      </c>
      <c r="R325" s="21">
        <v>67</v>
      </c>
      <c r="S325" s="21">
        <v>44</v>
      </c>
      <c r="T325" s="21">
        <v>0.12139999999999999</v>
      </c>
      <c r="U325" s="21">
        <v>2.7900000000000001E-2</v>
      </c>
      <c r="V325" s="21">
        <v>0.84909999999999997</v>
      </c>
      <c r="W325" s="21">
        <v>15</v>
      </c>
      <c r="X325" s="21">
        <v>1</v>
      </c>
      <c r="Y325" s="21">
        <v>40</v>
      </c>
      <c r="Z325" s="21">
        <v>0</v>
      </c>
      <c r="AA325" s="21">
        <v>0</v>
      </c>
      <c r="AB325" s="21">
        <v>123</v>
      </c>
      <c r="AC325" s="21">
        <v>123</v>
      </c>
      <c r="AD325" s="21">
        <v>116</v>
      </c>
      <c r="AE325" s="21">
        <v>16</v>
      </c>
      <c r="AF325" s="21">
        <v>0.14810000000000001</v>
      </c>
      <c r="AG325" s="21">
        <v>0</v>
      </c>
      <c r="AH325" s="21">
        <v>0</v>
      </c>
      <c r="AI325" s="21">
        <v>0</v>
      </c>
      <c r="AJ325" s="21">
        <v>0</v>
      </c>
      <c r="AK325" s="21">
        <v>0</v>
      </c>
      <c r="AL325" s="21">
        <v>0</v>
      </c>
      <c r="AM325" s="21">
        <v>0</v>
      </c>
      <c r="AN325" s="21">
        <v>0</v>
      </c>
      <c r="AP325" s="21">
        <v>62</v>
      </c>
      <c r="AQ325" s="21">
        <v>62</v>
      </c>
      <c r="AR325" s="21">
        <v>62</v>
      </c>
      <c r="AS325" s="21">
        <v>0</v>
      </c>
      <c r="AU325" s="21">
        <v>6</v>
      </c>
      <c r="AV325" s="21">
        <v>0</v>
      </c>
    </row>
    <row r="326" spans="1:48" x14ac:dyDescent="0.15">
      <c r="A326" s="20" t="s">
        <v>51</v>
      </c>
      <c r="B326" s="20" t="s">
        <v>84</v>
      </c>
      <c r="C326" s="21">
        <v>0</v>
      </c>
      <c r="D326" s="21">
        <v>22</v>
      </c>
      <c r="E326" s="21">
        <v>38217</v>
      </c>
      <c r="F326" s="21">
        <v>38239</v>
      </c>
      <c r="G326" s="21">
        <v>844</v>
      </c>
      <c r="H326" s="21">
        <v>13979</v>
      </c>
      <c r="I326" s="21">
        <v>10371</v>
      </c>
      <c r="J326" s="21">
        <v>9354</v>
      </c>
      <c r="K326" s="21">
        <v>3561</v>
      </c>
      <c r="L326" s="21">
        <v>957</v>
      </c>
      <c r="M326" s="21">
        <v>0.64439999999999997</v>
      </c>
      <c r="N326" s="21">
        <v>0.64339999999999997</v>
      </c>
      <c r="O326" s="21">
        <v>2.12E-2</v>
      </c>
      <c r="P326" s="21">
        <v>1540</v>
      </c>
      <c r="Q326" s="21">
        <v>0.53569999999999995</v>
      </c>
      <c r="R326" s="21">
        <v>41</v>
      </c>
      <c r="S326" s="21">
        <v>25</v>
      </c>
      <c r="T326" s="21">
        <v>0.16070000000000001</v>
      </c>
      <c r="U326" s="21">
        <v>2.6700000000000002E-2</v>
      </c>
      <c r="V326" s="21">
        <v>0.77800000000000002</v>
      </c>
      <c r="AB326" s="21">
        <v>0</v>
      </c>
      <c r="AC326" s="21">
        <v>0</v>
      </c>
      <c r="AD326" s="21">
        <v>0</v>
      </c>
      <c r="AE326" s="21">
        <v>0</v>
      </c>
      <c r="AF326" s="21">
        <v>0</v>
      </c>
      <c r="AG326" s="21">
        <v>0</v>
      </c>
      <c r="AH326" s="21">
        <v>0</v>
      </c>
      <c r="AI326" s="21">
        <v>0</v>
      </c>
      <c r="AJ326" s="21">
        <v>0</v>
      </c>
      <c r="AK326" s="21">
        <v>0</v>
      </c>
      <c r="AL326" s="21">
        <v>0</v>
      </c>
      <c r="AM326" s="21">
        <v>0</v>
      </c>
      <c r="AN326" s="21">
        <v>0</v>
      </c>
      <c r="AU326" s="21">
        <v>34</v>
      </c>
      <c r="AV326" s="21">
        <v>0</v>
      </c>
    </row>
    <row r="327" spans="1:48" x14ac:dyDescent="0.15">
      <c r="A327" s="20" t="s">
        <v>52</v>
      </c>
      <c r="B327" s="20" t="s">
        <v>84</v>
      </c>
      <c r="C327" s="21">
        <v>0</v>
      </c>
      <c r="D327" s="21">
        <v>39</v>
      </c>
      <c r="E327" s="21">
        <v>44973</v>
      </c>
      <c r="F327" s="21">
        <v>45012</v>
      </c>
      <c r="G327" s="21">
        <v>10840</v>
      </c>
      <c r="H327" s="21">
        <v>11520</v>
      </c>
      <c r="I327" s="21">
        <v>5424</v>
      </c>
      <c r="J327" s="21">
        <v>10014</v>
      </c>
      <c r="K327" s="21">
        <v>5655</v>
      </c>
      <c r="L327" s="21">
        <v>465</v>
      </c>
      <c r="M327" s="21">
        <v>0.65149999999999997</v>
      </c>
      <c r="N327" s="21">
        <v>0.65149999999999997</v>
      </c>
      <c r="O327" s="21">
        <v>7.9000000000000008E-3</v>
      </c>
      <c r="P327" s="21">
        <v>927</v>
      </c>
      <c r="Q327" s="21">
        <v>0.51349999999999996</v>
      </c>
      <c r="R327" s="21">
        <v>94</v>
      </c>
      <c r="S327" s="21">
        <v>49</v>
      </c>
      <c r="T327" s="21">
        <v>0.15809999999999999</v>
      </c>
      <c r="U327" s="21">
        <v>2.81E-2</v>
      </c>
      <c r="V327" s="21">
        <v>0.65</v>
      </c>
      <c r="W327" s="21">
        <v>20</v>
      </c>
      <c r="X327" s="21">
        <v>0</v>
      </c>
      <c r="Y327" s="21">
        <v>61</v>
      </c>
      <c r="Z327" s="21">
        <v>0</v>
      </c>
      <c r="AA327" s="21">
        <v>0</v>
      </c>
      <c r="AB327" s="21">
        <v>63</v>
      </c>
      <c r="AC327" s="21">
        <v>63</v>
      </c>
      <c r="AD327" s="21">
        <v>50</v>
      </c>
      <c r="AE327" s="21">
        <v>25</v>
      </c>
      <c r="AF327" s="21">
        <v>0.65790000000000004</v>
      </c>
      <c r="AG327" s="21">
        <v>0</v>
      </c>
      <c r="AH327" s="21">
        <v>0</v>
      </c>
      <c r="AI327" s="21">
        <v>0</v>
      </c>
      <c r="AJ327" s="21">
        <v>0</v>
      </c>
      <c r="AK327" s="21">
        <v>0</v>
      </c>
      <c r="AL327" s="21">
        <v>0</v>
      </c>
      <c r="AM327" s="21">
        <v>0</v>
      </c>
      <c r="AN327" s="21">
        <v>0</v>
      </c>
      <c r="AP327" s="21">
        <v>68</v>
      </c>
      <c r="AQ327" s="21">
        <v>68</v>
      </c>
      <c r="AR327" s="21">
        <v>43</v>
      </c>
      <c r="AS327" s="21">
        <v>25</v>
      </c>
      <c r="AU327" s="21">
        <v>20</v>
      </c>
      <c r="AV327" s="21">
        <v>0</v>
      </c>
    </row>
    <row r="328" spans="1:48" x14ac:dyDescent="0.15">
      <c r="A328" s="20" t="s">
        <v>53</v>
      </c>
      <c r="B328" s="20" t="s">
        <v>84</v>
      </c>
      <c r="C328" s="21">
        <v>0</v>
      </c>
      <c r="D328" s="21">
        <v>0</v>
      </c>
      <c r="E328" s="21">
        <v>0</v>
      </c>
      <c r="F328" s="21">
        <v>0</v>
      </c>
      <c r="AB328" s="21">
        <v>0</v>
      </c>
      <c r="AC328" s="21">
        <v>0</v>
      </c>
      <c r="AD328" s="21">
        <v>0</v>
      </c>
      <c r="AE328" s="21">
        <v>0</v>
      </c>
      <c r="AF328" s="21">
        <v>0</v>
      </c>
      <c r="AG328" s="21">
        <v>0</v>
      </c>
      <c r="AH328" s="21">
        <v>0</v>
      </c>
      <c r="AI328" s="21">
        <v>0</v>
      </c>
      <c r="AJ328" s="21">
        <v>0</v>
      </c>
      <c r="AK328" s="21">
        <v>0</v>
      </c>
      <c r="AL328" s="21">
        <v>0</v>
      </c>
      <c r="AM328" s="21">
        <v>0</v>
      </c>
      <c r="AN328" s="21">
        <v>0</v>
      </c>
    </row>
    <row r="329" spans="1:48" x14ac:dyDescent="0.15">
      <c r="A329" s="20" t="s">
        <v>0</v>
      </c>
      <c r="B329" s="20" t="s">
        <v>84</v>
      </c>
      <c r="C329" s="21">
        <v>0</v>
      </c>
      <c r="D329" s="21">
        <v>163</v>
      </c>
      <c r="E329" s="21">
        <v>202278</v>
      </c>
      <c r="F329" s="21">
        <v>202440</v>
      </c>
      <c r="G329" s="21">
        <v>25156</v>
      </c>
      <c r="H329" s="21">
        <v>75438</v>
      </c>
      <c r="I329" s="21">
        <v>44034</v>
      </c>
      <c r="J329" s="21">
        <v>33866</v>
      </c>
      <c r="K329" s="21">
        <v>12340</v>
      </c>
      <c r="L329" s="21">
        <v>2693</v>
      </c>
      <c r="M329" s="21">
        <v>0.68620000000000003</v>
      </c>
      <c r="N329" s="21">
        <v>0.68510000000000004</v>
      </c>
      <c r="O329" s="21">
        <v>2.0500000000000001E-2</v>
      </c>
      <c r="P329" s="21">
        <v>4385</v>
      </c>
      <c r="Q329" s="21">
        <v>0.59360000000000002</v>
      </c>
      <c r="R329" s="21">
        <v>75</v>
      </c>
      <c r="S329" s="21">
        <v>46</v>
      </c>
      <c r="T329" s="21">
        <v>0.14249999999999999</v>
      </c>
      <c r="U329" s="21">
        <v>2.7199999999999998E-2</v>
      </c>
      <c r="V329" s="21">
        <v>0.72370000000000001</v>
      </c>
      <c r="W329" s="21">
        <v>101</v>
      </c>
      <c r="X329" s="21">
        <v>4</v>
      </c>
      <c r="Y329" s="21">
        <v>256</v>
      </c>
      <c r="Z329" s="21">
        <v>0</v>
      </c>
      <c r="AA329" s="21">
        <v>0</v>
      </c>
      <c r="AB329" s="21">
        <v>747</v>
      </c>
      <c r="AC329" s="21">
        <v>747</v>
      </c>
      <c r="AD329" s="21">
        <v>727</v>
      </c>
      <c r="AE329" s="21">
        <v>107</v>
      </c>
      <c r="AF329" s="21">
        <v>0.15129999999999999</v>
      </c>
      <c r="AG329" s="21">
        <v>0</v>
      </c>
      <c r="AH329" s="21">
        <v>0</v>
      </c>
      <c r="AI329" s="21">
        <v>0</v>
      </c>
      <c r="AJ329" s="21">
        <v>0.39889999999999998</v>
      </c>
      <c r="AK329" s="21">
        <v>0</v>
      </c>
      <c r="AL329" s="21">
        <v>0</v>
      </c>
      <c r="AM329" s="21">
        <v>0</v>
      </c>
      <c r="AN329" s="21">
        <v>0</v>
      </c>
      <c r="AP329" s="21">
        <v>199</v>
      </c>
      <c r="AQ329" s="21">
        <v>199</v>
      </c>
      <c r="AR329" s="21">
        <v>172</v>
      </c>
      <c r="AS329" s="21">
        <v>27</v>
      </c>
      <c r="AU329" s="21">
        <v>230</v>
      </c>
      <c r="AV329" s="21">
        <v>0</v>
      </c>
    </row>
    <row r="330" spans="1:48" x14ac:dyDescent="0.15">
      <c r="A330" s="20" t="s">
        <v>54</v>
      </c>
      <c r="B330" s="20" t="s">
        <v>84</v>
      </c>
      <c r="C330" s="21">
        <v>0</v>
      </c>
      <c r="D330" s="21">
        <v>0</v>
      </c>
      <c r="E330" s="21">
        <v>0</v>
      </c>
      <c r="F330" s="21">
        <v>0</v>
      </c>
      <c r="AB330" s="21">
        <v>0</v>
      </c>
      <c r="AC330" s="21">
        <v>0</v>
      </c>
      <c r="AD330" s="21">
        <v>0</v>
      </c>
      <c r="AE330" s="21">
        <v>0</v>
      </c>
      <c r="AF330" s="21">
        <v>0</v>
      </c>
      <c r="AG330" s="21">
        <v>0</v>
      </c>
      <c r="AH330" s="21">
        <v>0</v>
      </c>
      <c r="AI330" s="21">
        <v>0</v>
      </c>
      <c r="AJ330" s="21">
        <v>0</v>
      </c>
      <c r="AK330" s="21">
        <v>0</v>
      </c>
      <c r="AL330" s="21">
        <v>0</v>
      </c>
      <c r="AM330" s="21">
        <v>0</v>
      </c>
      <c r="AN330" s="21">
        <v>0</v>
      </c>
      <c r="AV330" s="21">
        <v>0</v>
      </c>
    </row>
    <row r="331" spans="1:48" x14ac:dyDescent="0.15">
      <c r="A331" s="20" t="s">
        <v>55</v>
      </c>
      <c r="B331" s="20" t="s">
        <v>84</v>
      </c>
      <c r="C331" s="21">
        <v>0</v>
      </c>
      <c r="D331" s="21">
        <v>0</v>
      </c>
      <c r="E331" s="21">
        <v>0</v>
      </c>
      <c r="F331" s="21">
        <v>0</v>
      </c>
      <c r="AB331" s="21">
        <v>0</v>
      </c>
      <c r="AC331" s="21">
        <v>0</v>
      </c>
      <c r="AD331" s="21">
        <v>0</v>
      </c>
      <c r="AE331" s="21">
        <v>0</v>
      </c>
      <c r="AF331" s="21">
        <v>0</v>
      </c>
      <c r="AG331" s="21">
        <v>0</v>
      </c>
      <c r="AH331" s="21">
        <v>0</v>
      </c>
      <c r="AI331" s="21">
        <v>0</v>
      </c>
      <c r="AJ331" s="21">
        <v>0</v>
      </c>
      <c r="AK331" s="21">
        <v>0</v>
      </c>
      <c r="AL331" s="21">
        <v>0</v>
      </c>
      <c r="AM331" s="21">
        <v>0</v>
      </c>
      <c r="AN331" s="21">
        <v>0</v>
      </c>
    </row>
    <row r="332" spans="1:48" x14ac:dyDescent="0.15">
      <c r="A332" s="20" t="s">
        <v>56</v>
      </c>
      <c r="B332" s="20" t="s">
        <v>84</v>
      </c>
      <c r="C332" s="21">
        <v>0</v>
      </c>
      <c r="D332" s="21">
        <v>0</v>
      </c>
      <c r="E332" s="21">
        <v>0</v>
      </c>
      <c r="F332" s="21">
        <v>0</v>
      </c>
      <c r="L332" s="21">
        <v>2</v>
      </c>
      <c r="M332" s="21">
        <v>0</v>
      </c>
      <c r="N332" s="21">
        <v>0</v>
      </c>
      <c r="O332" s="21">
        <v>0</v>
      </c>
      <c r="P332" s="21">
        <v>0</v>
      </c>
      <c r="R332" s="21">
        <v>0</v>
      </c>
      <c r="AB332" s="21">
        <v>0</v>
      </c>
      <c r="AC332" s="21">
        <v>0</v>
      </c>
      <c r="AD332" s="21">
        <v>0</v>
      </c>
      <c r="AE332" s="21">
        <v>0</v>
      </c>
      <c r="AF332" s="21">
        <v>0</v>
      </c>
      <c r="AG332" s="21">
        <v>0</v>
      </c>
      <c r="AH332" s="21">
        <v>0</v>
      </c>
      <c r="AI332" s="21">
        <v>0</v>
      </c>
      <c r="AJ332" s="21">
        <v>0</v>
      </c>
      <c r="AK332" s="21">
        <v>0</v>
      </c>
      <c r="AL332" s="21">
        <v>0</v>
      </c>
      <c r="AM332" s="21">
        <v>0</v>
      </c>
      <c r="AN332" s="21">
        <v>0</v>
      </c>
      <c r="AU332" s="21">
        <v>0</v>
      </c>
      <c r="AV332" s="21">
        <v>0</v>
      </c>
    </row>
    <row r="333" spans="1:48" x14ac:dyDescent="0.15">
      <c r="A333" s="20" t="s">
        <v>57</v>
      </c>
      <c r="B333" s="20" t="s">
        <v>84</v>
      </c>
      <c r="C333" s="21">
        <v>0</v>
      </c>
      <c r="D333" s="21">
        <v>81</v>
      </c>
      <c r="E333" s="21">
        <v>45488</v>
      </c>
      <c r="F333" s="21">
        <v>45570</v>
      </c>
      <c r="G333" s="21">
        <v>10355</v>
      </c>
      <c r="H333" s="21">
        <v>12931</v>
      </c>
      <c r="I333" s="21">
        <v>8839</v>
      </c>
      <c r="J333" s="21">
        <v>7986</v>
      </c>
      <c r="K333" s="21">
        <v>2608</v>
      </c>
      <c r="L333" s="21">
        <v>392</v>
      </c>
      <c r="M333" s="21">
        <v>0.68810000000000004</v>
      </c>
      <c r="N333" s="21">
        <v>0.68569999999999998</v>
      </c>
      <c r="O333" s="21">
        <v>4.5199999999999997E-2</v>
      </c>
      <c r="P333" s="21">
        <v>443</v>
      </c>
      <c r="Q333" s="21">
        <v>0.8488</v>
      </c>
      <c r="R333" s="21">
        <v>113</v>
      </c>
      <c r="S333" s="21">
        <v>103</v>
      </c>
      <c r="T333" s="21">
        <v>0.13730000000000001</v>
      </c>
      <c r="U333" s="21">
        <v>2.2599999999999999E-2</v>
      </c>
      <c r="V333" s="21">
        <v>0.69540000000000002</v>
      </c>
      <c r="W333" s="21">
        <v>47</v>
      </c>
      <c r="X333" s="21">
        <v>2</v>
      </c>
      <c r="Y333" s="21">
        <v>103</v>
      </c>
      <c r="Z333" s="21">
        <v>0</v>
      </c>
      <c r="AA333" s="21">
        <v>0</v>
      </c>
      <c r="AB333" s="21">
        <v>439</v>
      </c>
      <c r="AC333" s="21">
        <v>439</v>
      </c>
      <c r="AD333" s="21">
        <v>450</v>
      </c>
      <c r="AE333" s="21">
        <v>35</v>
      </c>
      <c r="AF333" s="21">
        <v>7.5800000000000006E-2</v>
      </c>
      <c r="AG333" s="21">
        <v>0</v>
      </c>
      <c r="AH333" s="21">
        <v>0</v>
      </c>
      <c r="AI333" s="21">
        <v>0</v>
      </c>
      <c r="AJ333" s="21">
        <v>0.39389999999999997</v>
      </c>
      <c r="AK333" s="21">
        <v>0</v>
      </c>
      <c r="AL333" s="21">
        <v>0</v>
      </c>
      <c r="AM333" s="21">
        <v>0</v>
      </c>
      <c r="AN333" s="21">
        <v>0</v>
      </c>
      <c r="AP333" s="21">
        <v>58</v>
      </c>
      <c r="AQ333" s="21">
        <v>58</v>
      </c>
      <c r="AR333" s="21">
        <v>56</v>
      </c>
      <c r="AS333" s="21">
        <v>1</v>
      </c>
      <c r="AU333" s="21">
        <v>158</v>
      </c>
      <c r="AV333" s="21">
        <v>0</v>
      </c>
    </row>
    <row r="334" spans="1:48" x14ac:dyDescent="0.15">
      <c r="A334" s="20" t="s">
        <v>58</v>
      </c>
      <c r="B334" s="20" t="s">
        <v>84</v>
      </c>
      <c r="C334" s="21">
        <v>0</v>
      </c>
      <c r="D334" s="21">
        <v>0</v>
      </c>
      <c r="E334" s="21">
        <v>0</v>
      </c>
      <c r="F334" s="21">
        <v>0</v>
      </c>
      <c r="AB334" s="21">
        <v>0</v>
      </c>
      <c r="AC334" s="21">
        <v>0</v>
      </c>
      <c r="AD334" s="21">
        <v>0</v>
      </c>
      <c r="AE334" s="21">
        <v>0</v>
      </c>
      <c r="AF334" s="21">
        <v>0</v>
      </c>
      <c r="AG334" s="21">
        <v>0</v>
      </c>
      <c r="AH334" s="21">
        <v>0</v>
      </c>
      <c r="AI334" s="21">
        <v>0</v>
      </c>
      <c r="AJ334" s="21">
        <v>0</v>
      </c>
      <c r="AK334" s="21">
        <v>0</v>
      </c>
      <c r="AL334" s="21">
        <v>0</v>
      </c>
      <c r="AM334" s="21">
        <v>0</v>
      </c>
      <c r="AN334" s="21">
        <v>0</v>
      </c>
      <c r="AV334" s="21">
        <v>0</v>
      </c>
    </row>
    <row r="335" spans="1:48" x14ac:dyDescent="0.15">
      <c r="A335" s="20" t="s">
        <v>59</v>
      </c>
      <c r="B335" s="20" t="s">
        <v>84</v>
      </c>
      <c r="C335" s="21">
        <v>0</v>
      </c>
      <c r="D335" s="21">
        <v>0</v>
      </c>
      <c r="E335" s="21">
        <v>0</v>
      </c>
      <c r="F335" s="21">
        <v>0</v>
      </c>
      <c r="AB335" s="21">
        <v>0</v>
      </c>
      <c r="AC335" s="21">
        <v>0</v>
      </c>
      <c r="AD335" s="21">
        <v>0</v>
      </c>
      <c r="AE335" s="21">
        <v>0</v>
      </c>
      <c r="AF335" s="21">
        <v>0</v>
      </c>
      <c r="AG335" s="21">
        <v>0</v>
      </c>
      <c r="AH335" s="21">
        <v>0</v>
      </c>
      <c r="AI335" s="21">
        <v>0</v>
      </c>
      <c r="AJ335" s="21">
        <v>0</v>
      </c>
      <c r="AK335" s="21">
        <v>0</v>
      </c>
      <c r="AL335" s="21">
        <v>0</v>
      </c>
      <c r="AM335" s="21">
        <v>0</v>
      </c>
      <c r="AN335" s="21">
        <v>0</v>
      </c>
    </row>
    <row r="336" spans="1:48" x14ac:dyDescent="0.15">
      <c r="A336" s="20" t="s">
        <v>60</v>
      </c>
      <c r="B336" s="20" t="s">
        <v>84</v>
      </c>
      <c r="C336" s="21">
        <v>0</v>
      </c>
      <c r="D336" s="21">
        <v>2</v>
      </c>
      <c r="E336" s="21">
        <v>19365</v>
      </c>
      <c r="F336" s="21">
        <v>19367</v>
      </c>
      <c r="G336" s="21">
        <v>1801</v>
      </c>
      <c r="H336" s="21">
        <v>3357</v>
      </c>
      <c r="I336" s="21">
        <v>11150</v>
      </c>
      <c r="J336" s="21">
        <v>2655</v>
      </c>
      <c r="K336" s="21">
        <v>404</v>
      </c>
      <c r="L336" s="21">
        <v>175</v>
      </c>
      <c r="M336" s="21">
        <v>0.67049999999999998</v>
      </c>
      <c r="N336" s="21">
        <v>0.67049999999999998</v>
      </c>
      <c r="O336" s="21">
        <v>1.14E-2</v>
      </c>
      <c r="P336" s="21">
        <v>280</v>
      </c>
      <c r="Q336" s="21">
        <v>0.55000000000000004</v>
      </c>
      <c r="R336" s="21">
        <v>115</v>
      </c>
      <c r="S336" s="21">
        <v>69</v>
      </c>
      <c r="T336" s="21">
        <v>0.1346</v>
      </c>
      <c r="U336" s="21">
        <v>2.2599999999999999E-2</v>
      </c>
      <c r="AB336" s="21">
        <v>0</v>
      </c>
      <c r="AC336" s="21">
        <v>0</v>
      </c>
      <c r="AD336" s="21">
        <v>0</v>
      </c>
      <c r="AE336" s="21">
        <v>0</v>
      </c>
      <c r="AF336" s="21">
        <v>0</v>
      </c>
      <c r="AG336" s="21">
        <v>0</v>
      </c>
      <c r="AH336" s="21">
        <v>0</v>
      </c>
      <c r="AI336" s="21">
        <v>0</v>
      </c>
      <c r="AJ336" s="21">
        <v>0</v>
      </c>
      <c r="AK336" s="21">
        <v>0</v>
      </c>
      <c r="AL336" s="21">
        <v>0</v>
      </c>
      <c r="AM336" s="21">
        <v>0</v>
      </c>
      <c r="AN336" s="21">
        <v>0</v>
      </c>
      <c r="AU336" s="21">
        <v>0</v>
      </c>
      <c r="AV336" s="21">
        <v>0</v>
      </c>
    </row>
    <row r="337" spans="1:48" x14ac:dyDescent="0.15">
      <c r="A337" s="20" t="s">
        <v>61</v>
      </c>
      <c r="B337" s="20" t="s">
        <v>84</v>
      </c>
      <c r="C337" s="21">
        <v>0</v>
      </c>
      <c r="D337" s="21">
        <v>9</v>
      </c>
      <c r="E337" s="21">
        <v>14928</v>
      </c>
      <c r="F337" s="21">
        <v>14937</v>
      </c>
      <c r="G337" s="21">
        <v>1156</v>
      </c>
      <c r="H337" s="21">
        <v>4451</v>
      </c>
      <c r="I337" s="21">
        <v>5562</v>
      </c>
      <c r="J337" s="21">
        <v>2085</v>
      </c>
      <c r="L337" s="21">
        <v>129</v>
      </c>
      <c r="M337" s="21">
        <v>0.84330000000000005</v>
      </c>
      <c r="N337" s="21">
        <v>0.84330000000000005</v>
      </c>
      <c r="O337" s="21">
        <v>2.9899999999999999E-2</v>
      </c>
      <c r="P337" s="21">
        <v>141</v>
      </c>
      <c r="Q337" s="21">
        <v>0.92200000000000004</v>
      </c>
      <c r="R337" s="21">
        <v>115</v>
      </c>
      <c r="S337" s="21">
        <v>106</v>
      </c>
      <c r="T337" s="21">
        <v>0.1153</v>
      </c>
      <c r="U337" s="21">
        <v>7.1400000000000005E-2</v>
      </c>
      <c r="V337" s="21">
        <v>1</v>
      </c>
      <c r="AB337" s="21">
        <v>0</v>
      </c>
      <c r="AC337" s="21">
        <v>0</v>
      </c>
      <c r="AD337" s="21">
        <v>0</v>
      </c>
      <c r="AE337" s="21">
        <v>0</v>
      </c>
      <c r="AF337" s="21">
        <v>0</v>
      </c>
      <c r="AG337" s="21">
        <v>0</v>
      </c>
      <c r="AH337" s="21">
        <v>0</v>
      </c>
      <c r="AI337" s="21">
        <v>0</v>
      </c>
      <c r="AJ337" s="21">
        <v>0</v>
      </c>
      <c r="AK337" s="21">
        <v>0</v>
      </c>
      <c r="AL337" s="21">
        <v>0</v>
      </c>
      <c r="AM337" s="21">
        <v>0</v>
      </c>
      <c r="AN337" s="21">
        <v>0</v>
      </c>
      <c r="AU337" s="21">
        <v>3</v>
      </c>
      <c r="AV337" s="21">
        <v>0</v>
      </c>
    </row>
    <row r="338" spans="1:48" x14ac:dyDescent="0.15">
      <c r="A338" s="20" t="s">
        <v>48</v>
      </c>
      <c r="B338" s="20" t="s">
        <v>85</v>
      </c>
      <c r="C338" s="21">
        <v>0</v>
      </c>
      <c r="D338" s="21">
        <v>11</v>
      </c>
      <c r="E338" s="21">
        <v>16196</v>
      </c>
      <c r="F338" s="21">
        <v>16207</v>
      </c>
      <c r="H338" s="21">
        <v>8514</v>
      </c>
      <c r="I338" s="21">
        <v>2623</v>
      </c>
      <c r="J338" s="21">
        <v>1500</v>
      </c>
      <c r="K338" s="21">
        <v>255</v>
      </c>
      <c r="L338" s="21">
        <v>278</v>
      </c>
      <c r="M338" s="21">
        <v>0.71430000000000005</v>
      </c>
      <c r="N338" s="21">
        <v>0.71089999999999998</v>
      </c>
      <c r="O338" s="21">
        <v>6.7999999999999996E-3</v>
      </c>
      <c r="P338" s="21">
        <v>627</v>
      </c>
      <c r="Q338" s="21">
        <v>0.47689999999999999</v>
      </c>
      <c r="R338" s="21">
        <v>58</v>
      </c>
      <c r="S338" s="21">
        <v>26</v>
      </c>
      <c r="T338" s="21">
        <v>0.13650000000000001</v>
      </c>
      <c r="U338" s="21">
        <v>2.2800000000000001E-2</v>
      </c>
      <c r="V338" s="21">
        <v>0.59379999999999999</v>
      </c>
      <c r="W338" s="21">
        <v>13</v>
      </c>
      <c r="X338" s="21">
        <v>1</v>
      </c>
      <c r="Y338" s="21">
        <v>49</v>
      </c>
      <c r="Z338" s="21">
        <v>0</v>
      </c>
      <c r="AA338" s="21">
        <v>0</v>
      </c>
      <c r="AB338" s="21">
        <v>117</v>
      </c>
      <c r="AC338" s="21">
        <v>117</v>
      </c>
      <c r="AD338" s="21">
        <v>120</v>
      </c>
      <c r="AE338" s="21">
        <v>1</v>
      </c>
      <c r="AF338" s="21">
        <v>8.2000000000000007E-3</v>
      </c>
      <c r="AG338" s="21">
        <v>0</v>
      </c>
      <c r="AH338" s="21">
        <v>0</v>
      </c>
      <c r="AI338" s="21">
        <v>0</v>
      </c>
      <c r="AJ338" s="21">
        <v>1</v>
      </c>
      <c r="AK338" s="21">
        <v>0</v>
      </c>
      <c r="AL338" s="21">
        <v>0</v>
      </c>
      <c r="AM338" s="21">
        <v>0</v>
      </c>
      <c r="AN338" s="21">
        <v>0</v>
      </c>
      <c r="AP338" s="21">
        <v>6</v>
      </c>
      <c r="AQ338" s="21">
        <v>6</v>
      </c>
      <c r="AR338" s="21">
        <v>5</v>
      </c>
      <c r="AS338" s="21">
        <v>0</v>
      </c>
      <c r="AU338" s="21">
        <v>5</v>
      </c>
      <c r="AV338" s="21">
        <v>0</v>
      </c>
    </row>
    <row r="339" spans="1:48" x14ac:dyDescent="0.15">
      <c r="A339" s="20" t="s">
        <v>50</v>
      </c>
      <c r="B339" s="20" t="s">
        <v>85</v>
      </c>
      <c r="C339" s="21">
        <v>0</v>
      </c>
      <c r="D339" s="21">
        <v>5</v>
      </c>
      <c r="E339" s="21">
        <v>15641</v>
      </c>
      <c r="F339" s="21">
        <v>15646</v>
      </c>
      <c r="G339" s="21">
        <v>557</v>
      </c>
      <c r="H339" s="21">
        <v>13924</v>
      </c>
      <c r="I339" s="21">
        <v>0</v>
      </c>
      <c r="J339" s="21">
        <v>236</v>
      </c>
      <c r="K339" s="21">
        <v>0</v>
      </c>
      <c r="L339" s="21">
        <v>292</v>
      </c>
      <c r="M339" s="21">
        <v>0.75329999999999997</v>
      </c>
      <c r="N339" s="21">
        <v>0.75329999999999997</v>
      </c>
      <c r="O339" s="21">
        <v>1.67E-2</v>
      </c>
      <c r="P339" s="21">
        <v>458</v>
      </c>
      <c r="Q339" s="21">
        <v>0.64849999999999997</v>
      </c>
      <c r="R339" s="21">
        <v>54</v>
      </c>
      <c r="S339" s="21">
        <v>34</v>
      </c>
      <c r="T339" s="21">
        <v>0.13039999999999999</v>
      </c>
      <c r="U339" s="21">
        <v>3.1899999999999998E-2</v>
      </c>
      <c r="V339" s="21">
        <v>0.85319999999999996</v>
      </c>
      <c r="W339" s="21">
        <v>11</v>
      </c>
      <c r="X339" s="21">
        <v>1</v>
      </c>
      <c r="Y339" s="21">
        <v>31</v>
      </c>
      <c r="Z339" s="21">
        <v>0</v>
      </c>
      <c r="AA339" s="21">
        <v>0</v>
      </c>
      <c r="AB339" s="21">
        <v>125</v>
      </c>
      <c r="AC339" s="21">
        <v>125</v>
      </c>
      <c r="AD339" s="21">
        <v>124</v>
      </c>
      <c r="AE339" s="21">
        <v>2</v>
      </c>
      <c r="AF339" s="21">
        <v>1.6299999999999999E-2</v>
      </c>
      <c r="AG339" s="21">
        <v>0</v>
      </c>
      <c r="AH339" s="21">
        <v>0</v>
      </c>
      <c r="AI339" s="21">
        <v>0</v>
      </c>
      <c r="AJ339" s="21">
        <v>0.98529999999999995</v>
      </c>
      <c r="AK339" s="21">
        <v>0</v>
      </c>
      <c r="AL339" s="21">
        <v>0</v>
      </c>
      <c r="AM339" s="21">
        <v>0</v>
      </c>
      <c r="AN339" s="21">
        <v>0</v>
      </c>
      <c r="AP339" s="21">
        <v>159</v>
      </c>
      <c r="AQ339" s="21">
        <v>149</v>
      </c>
      <c r="AR339" s="21">
        <v>149</v>
      </c>
      <c r="AS339" s="21">
        <v>0</v>
      </c>
      <c r="AU339" s="21">
        <v>13</v>
      </c>
      <c r="AV339" s="21">
        <v>0</v>
      </c>
    </row>
    <row r="340" spans="1:48" x14ac:dyDescent="0.15">
      <c r="A340" s="20" t="s">
        <v>51</v>
      </c>
      <c r="B340" s="20" t="s">
        <v>85</v>
      </c>
      <c r="C340" s="21">
        <v>0</v>
      </c>
      <c r="D340" s="21">
        <v>58</v>
      </c>
      <c r="E340" s="21">
        <v>47085</v>
      </c>
      <c r="F340" s="21">
        <v>47144</v>
      </c>
      <c r="G340" s="21">
        <v>648</v>
      </c>
      <c r="H340" s="21">
        <v>20041</v>
      </c>
      <c r="I340" s="21">
        <v>10349</v>
      </c>
      <c r="J340" s="21">
        <v>8815</v>
      </c>
      <c r="K340" s="21">
        <v>6951</v>
      </c>
      <c r="L340" s="21">
        <v>986</v>
      </c>
      <c r="M340" s="21">
        <v>0.70909999999999995</v>
      </c>
      <c r="N340" s="21">
        <v>0.70809999999999995</v>
      </c>
      <c r="O340" s="21">
        <v>2.53E-2</v>
      </c>
      <c r="P340" s="21">
        <v>1791</v>
      </c>
      <c r="Q340" s="21">
        <v>0.52600000000000002</v>
      </c>
      <c r="R340" s="21">
        <v>49</v>
      </c>
      <c r="S340" s="21">
        <v>26</v>
      </c>
      <c r="T340" s="21">
        <v>0.14949999999999999</v>
      </c>
      <c r="U340" s="21">
        <v>3.61E-2</v>
      </c>
      <c r="V340" s="21">
        <v>0.7278</v>
      </c>
      <c r="AB340" s="21">
        <v>0</v>
      </c>
      <c r="AC340" s="21">
        <v>0</v>
      </c>
      <c r="AD340" s="21">
        <v>0</v>
      </c>
      <c r="AE340" s="21">
        <v>0</v>
      </c>
      <c r="AF340" s="21">
        <v>0</v>
      </c>
      <c r="AG340" s="21">
        <v>0</v>
      </c>
      <c r="AH340" s="21">
        <v>0</v>
      </c>
      <c r="AI340" s="21">
        <v>0</v>
      </c>
      <c r="AJ340" s="21">
        <v>0</v>
      </c>
      <c r="AK340" s="21">
        <v>0</v>
      </c>
      <c r="AL340" s="21">
        <v>0</v>
      </c>
      <c r="AM340" s="21">
        <v>0</v>
      </c>
      <c r="AN340" s="21">
        <v>0</v>
      </c>
      <c r="AU340" s="21">
        <v>32</v>
      </c>
      <c r="AV340" s="21">
        <v>0</v>
      </c>
    </row>
    <row r="341" spans="1:48" x14ac:dyDescent="0.15">
      <c r="A341" s="20" t="s">
        <v>52</v>
      </c>
      <c r="B341" s="20" t="s">
        <v>85</v>
      </c>
      <c r="C341" s="21">
        <v>0</v>
      </c>
      <c r="D341" s="21">
        <v>41</v>
      </c>
      <c r="E341" s="21">
        <v>51575</v>
      </c>
      <c r="F341" s="21">
        <v>51616</v>
      </c>
      <c r="G341" s="21">
        <v>9672</v>
      </c>
      <c r="H341" s="21">
        <v>12492</v>
      </c>
      <c r="I341" s="21">
        <v>5976</v>
      </c>
      <c r="J341" s="21">
        <v>12674</v>
      </c>
      <c r="K341" s="21">
        <v>5850</v>
      </c>
      <c r="L341" s="21">
        <v>443</v>
      </c>
      <c r="M341" s="21">
        <v>0.80669999999999997</v>
      </c>
      <c r="N341" s="21">
        <v>0.80669999999999997</v>
      </c>
      <c r="O341" s="21">
        <v>1.35E-2</v>
      </c>
      <c r="P341" s="21">
        <v>923</v>
      </c>
      <c r="Q341" s="21">
        <v>0.61860000000000004</v>
      </c>
      <c r="R341" s="21">
        <v>114</v>
      </c>
      <c r="S341" s="21">
        <v>56</v>
      </c>
      <c r="T341" s="21">
        <v>0.1116</v>
      </c>
      <c r="U341" s="21">
        <v>3.1E-2</v>
      </c>
      <c r="V341" s="21">
        <v>0.6774</v>
      </c>
      <c r="W341" s="21">
        <v>16</v>
      </c>
      <c r="X341" s="21">
        <v>1</v>
      </c>
      <c r="Y341" s="21">
        <v>44</v>
      </c>
      <c r="Z341" s="21">
        <v>0</v>
      </c>
      <c r="AA341" s="21">
        <v>0</v>
      </c>
      <c r="AB341" s="21">
        <v>61</v>
      </c>
      <c r="AC341" s="21">
        <v>61</v>
      </c>
      <c r="AD341" s="21">
        <v>62</v>
      </c>
      <c r="AE341" s="21">
        <v>0</v>
      </c>
      <c r="AF341" s="21">
        <v>0</v>
      </c>
      <c r="AG341" s="21">
        <v>0</v>
      </c>
      <c r="AH341" s="21">
        <v>0</v>
      </c>
      <c r="AI341" s="21">
        <v>0</v>
      </c>
      <c r="AJ341" s="21">
        <v>0</v>
      </c>
      <c r="AK341" s="21">
        <v>0</v>
      </c>
      <c r="AL341" s="21">
        <v>0</v>
      </c>
      <c r="AM341" s="21">
        <v>0</v>
      </c>
      <c r="AN341" s="21">
        <v>0</v>
      </c>
      <c r="AP341" s="21">
        <v>60</v>
      </c>
      <c r="AQ341" s="21">
        <v>47</v>
      </c>
      <c r="AR341" s="21">
        <v>46</v>
      </c>
      <c r="AS341" s="21">
        <v>1</v>
      </c>
      <c r="AU341" s="21">
        <v>5</v>
      </c>
      <c r="AV341" s="21">
        <v>0</v>
      </c>
    </row>
    <row r="342" spans="1:48" x14ac:dyDescent="0.15">
      <c r="A342" s="20" t="s">
        <v>53</v>
      </c>
      <c r="B342" s="20" t="s">
        <v>85</v>
      </c>
      <c r="C342" s="21">
        <v>0</v>
      </c>
      <c r="D342" s="21">
        <v>0</v>
      </c>
      <c r="E342" s="21">
        <v>0</v>
      </c>
      <c r="F342" s="21">
        <v>0</v>
      </c>
      <c r="AB342" s="21">
        <v>0</v>
      </c>
      <c r="AC342" s="21">
        <v>0</v>
      </c>
      <c r="AD342" s="21">
        <v>0</v>
      </c>
      <c r="AE342" s="21">
        <v>0</v>
      </c>
      <c r="AF342" s="21">
        <v>0</v>
      </c>
      <c r="AG342" s="21">
        <v>0</v>
      </c>
      <c r="AH342" s="21">
        <v>0</v>
      </c>
      <c r="AI342" s="21">
        <v>0</v>
      </c>
      <c r="AJ342" s="21">
        <v>0</v>
      </c>
      <c r="AK342" s="21">
        <v>0</v>
      </c>
      <c r="AL342" s="21">
        <v>0</v>
      </c>
      <c r="AM342" s="21">
        <v>0</v>
      </c>
      <c r="AN342" s="21">
        <v>0</v>
      </c>
    </row>
    <row r="343" spans="1:48" x14ac:dyDescent="0.15">
      <c r="A343" s="20" t="s">
        <v>0</v>
      </c>
      <c r="B343" s="20" t="s">
        <v>85</v>
      </c>
      <c r="C343" s="21">
        <v>0</v>
      </c>
      <c r="D343" s="21">
        <v>240</v>
      </c>
      <c r="E343" s="21">
        <v>216409</v>
      </c>
      <c r="F343" s="21">
        <v>216649</v>
      </c>
      <c r="G343" s="21">
        <v>27211</v>
      </c>
      <c r="H343" s="21">
        <v>74044</v>
      </c>
      <c r="I343" s="21">
        <v>44268</v>
      </c>
      <c r="J343" s="21">
        <v>39849</v>
      </c>
      <c r="K343" s="21">
        <v>16928</v>
      </c>
      <c r="L343" s="21">
        <v>2699</v>
      </c>
      <c r="M343" s="21">
        <v>0.74339999999999995</v>
      </c>
      <c r="N343" s="21">
        <v>0.74229999999999996</v>
      </c>
      <c r="O343" s="21">
        <v>2.1899999999999999E-2</v>
      </c>
      <c r="P343" s="21">
        <v>4717</v>
      </c>
      <c r="Q343" s="21">
        <v>0.58360000000000001</v>
      </c>
      <c r="R343" s="21">
        <v>80</v>
      </c>
      <c r="S343" s="21">
        <v>46</v>
      </c>
      <c r="T343" s="21">
        <v>0.1341</v>
      </c>
      <c r="U343" s="21">
        <v>3.15E-2</v>
      </c>
      <c r="V343" s="21">
        <v>0.74619999999999997</v>
      </c>
      <c r="W343" s="21">
        <v>56</v>
      </c>
      <c r="X343" s="21">
        <v>4</v>
      </c>
      <c r="Y343" s="21">
        <v>172</v>
      </c>
      <c r="Z343" s="21">
        <v>0</v>
      </c>
      <c r="AA343" s="21">
        <v>0</v>
      </c>
      <c r="AB343" s="21">
        <v>692</v>
      </c>
      <c r="AC343" s="21">
        <v>692</v>
      </c>
      <c r="AD343" s="21">
        <v>720</v>
      </c>
      <c r="AE343" s="21">
        <v>6</v>
      </c>
      <c r="AF343" s="21">
        <v>8.0000000000000002E-3</v>
      </c>
      <c r="AG343" s="21">
        <v>0</v>
      </c>
      <c r="AH343" s="21">
        <v>0</v>
      </c>
      <c r="AI343" s="21">
        <v>0</v>
      </c>
      <c r="AJ343" s="21">
        <v>0.98650000000000004</v>
      </c>
      <c r="AK343" s="21">
        <v>0</v>
      </c>
      <c r="AL343" s="21">
        <v>0</v>
      </c>
      <c r="AM343" s="21">
        <v>0</v>
      </c>
      <c r="AN343" s="21">
        <v>0</v>
      </c>
      <c r="AP343" s="21">
        <v>301</v>
      </c>
      <c r="AQ343" s="21">
        <v>278</v>
      </c>
      <c r="AR343" s="21">
        <v>275</v>
      </c>
      <c r="AS343" s="21">
        <v>2</v>
      </c>
      <c r="AU343" s="21">
        <v>215</v>
      </c>
      <c r="AV343" s="21">
        <v>0</v>
      </c>
    </row>
    <row r="344" spans="1:48" x14ac:dyDescent="0.15">
      <c r="A344" s="20" t="s">
        <v>54</v>
      </c>
      <c r="B344" s="20" t="s">
        <v>85</v>
      </c>
      <c r="C344" s="21">
        <v>0</v>
      </c>
      <c r="D344" s="21">
        <v>0</v>
      </c>
      <c r="E344" s="21">
        <v>0</v>
      </c>
      <c r="F344" s="21">
        <v>0</v>
      </c>
      <c r="AB344" s="21">
        <v>0</v>
      </c>
      <c r="AC344" s="21">
        <v>0</v>
      </c>
      <c r="AD344" s="21">
        <v>0</v>
      </c>
      <c r="AE344" s="21">
        <v>0</v>
      </c>
      <c r="AF344" s="21">
        <v>0</v>
      </c>
      <c r="AG344" s="21">
        <v>0</v>
      </c>
      <c r="AH344" s="21">
        <v>0</v>
      </c>
      <c r="AI344" s="21">
        <v>0</v>
      </c>
      <c r="AJ344" s="21">
        <v>0</v>
      </c>
      <c r="AK344" s="21">
        <v>0</v>
      </c>
      <c r="AL344" s="21">
        <v>0</v>
      </c>
      <c r="AM344" s="21">
        <v>0</v>
      </c>
      <c r="AN344" s="21">
        <v>0</v>
      </c>
      <c r="AV344" s="21">
        <v>0</v>
      </c>
    </row>
    <row r="345" spans="1:48" x14ac:dyDescent="0.15">
      <c r="A345" s="20" t="s">
        <v>55</v>
      </c>
      <c r="B345" s="20" t="s">
        <v>85</v>
      </c>
      <c r="C345" s="21">
        <v>0</v>
      </c>
      <c r="D345" s="21">
        <v>0</v>
      </c>
      <c r="E345" s="21">
        <v>0</v>
      </c>
      <c r="F345" s="21">
        <v>0</v>
      </c>
      <c r="AB345" s="21">
        <v>0</v>
      </c>
      <c r="AC345" s="21">
        <v>0</v>
      </c>
      <c r="AD345" s="21">
        <v>0</v>
      </c>
      <c r="AE345" s="21">
        <v>0</v>
      </c>
      <c r="AF345" s="21">
        <v>0</v>
      </c>
      <c r="AG345" s="21">
        <v>0</v>
      </c>
      <c r="AH345" s="21">
        <v>0</v>
      </c>
      <c r="AI345" s="21">
        <v>0</v>
      </c>
      <c r="AJ345" s="21">
        <v>0</v>
      </c>
      <c r="AK345" s="21">
        <v>0</v>
      </c>
      <c r="AL345" s="21">
        <v>0</v>
      </c>
      <c r="AM345" s="21">
        <v>0</v>
      </c>
      <c r="AN345" s="21">
        <v>0</v>
      </c>
    </row>
    <row r="346" spans="1:48" x14ac:dyDescent="0.15">
      <c r="A346" s="20" t="s">
        <v>56</v>
      </c>
      <c r="B346" s="20" t="s">
        <v>85</v>
      </c>
      <c r="C346" s="21">
        <v>0</v>
      </c>
      <c r="D346" s="21">
        <v>0</v>
      </c>
      <c r="E346" s="21">
        <v>0</v>
      </c>
      <c r="F346" s="21">
        <v>0</v>
      </c>
      <c r="L346" s="21">
        <v>2</v>
      </c>
      <c r="M346" s="21">
        <v>0</v>
      </c>
      <c r="N346" s="21">
        <v>0</v>
      </c>
      <c r="O346" s="21">
        <v>0</v>
      </c>
      <c r="P346" s="21">
        <v>1</v>
      </c>
      <c r="Q346" s="21">
        <v>0</v>
      </c>
      <c r="R346" s="21">
        <v>0</v>
      </c>
      <c r="S346" s="21">
        <v>0</v>
      </c>
      <c r="AB346" s="21">
        <v>0</v>
      </c>
      <c r="AC346" s="21">
        <v>0</v>
      </c>
      <c r="AD346" s="21">
        <v>0</v>
      </c>
      <c r="AE346" s="21">
        <v>0</v>
      </c>
      <c r="AF346" s="21">
        <v>0</v>
      </c>
      <c r="AG346" s="21">
        <v>0</v>
      </c>
      <c r="AH346" s="21">
        <v>0</v>
      </c>
      <c r="AI346" s="21">
        <v>0</v>
      </c>
      <c r="AJ346" s="21">
        <v>0</v>
      </c>
      <c r="AK346" s="21">
        <v>0</v>
      </c>
      <c r="AL346" s="21">
        <v>0</v>
      </c>
      <c r="AM346" s="21">
        <v>0</v>
      </c>
      <c r="AN346" s="21">
        <v>0</v>
      </c>
      <c r="AP346" s="21">
        <v>0</v>
      </c>
      <c r="AQ346" s="21">
        <v>0</v>
      </c>
      <c r="AS346" s="21">
        <v>0</v>
      </c>
      <c r="AU346" s="21">
        <v>0</v>
      </c>
      <c r="AV346" s="21">
        <v>0</v>
      </c>
    </row>
    <row r="347" spans="1:48" x14ac:dyDescent="0.15">
      <c r="A347" s="20" t="s">
        <v>57</v>
      </c>
      <c r="B347" s="20" t="s">
        <v>85</v>
      </c>
      <c r="C347" s="21">
        <v>0</v>
      </c>
      <c r="D347" s="21">
        <v>105</v>
      </c>
      <c r="E347" s="21">
        <v>46465</v>
      </c>
      <c r="F347" s="21">
        <v>46569</v>
      </c>
      <c r="G347" s="21">
        <v>12185</v>
      </c>
      <c r="H347" s="21">
        <v>10324</v>
      </c>
      <c r="I347" s="21">
        <v>7296</v>
      </c>
      <c r="J347" s="21">
        <v>8168</v>
      </c>
      <c r="K347" s="21">
        <v>3528</v>
      </c>
      <c r="L347" s="21">
        <v>391</v>
      </c>
      <c r="M347" s="21">
        <v>0.75629999999999997</v>
      </c>
      <c r="N347" s="21">
        <v>0.75380000000000003</v>
      </c>
      <c r="O347" s="21">
        <v>3.5200000000000002E-2</v>
      </c>
      <c r="P347" s="21">
        <v>496</v>
      </c>
      <c r="Q347" s="21">
        <v>0.7298</v>
      </c>
      <c r="R347" s="21">
        <v>119</v>
      </c>
      <c r="S347" s="21">
        <v>94</v>
      </c>
      <c r="T347" s="21">
        <v>9.8000000000000004E-2</v>
      </c>
      <c r="U347" s="21">
        <v>2.18E-2</v>
      </c>
      <c r="V347" s="21">
        <v>0.75039999999999996</v>
      </c>
      <c r="W347" s="21">
        <v>15</v>
      </c>
      <c r="X347" s="21">
        <v>1</v>
      </c>
      <c r="Y347" s="21">
        <v>48</v>
      </c>
      <c r="Z347" s="21">
        <v>0</v>
      </c>
      <c r="AA347" s="21">
        <v>0</v>
      </c>
      <c r="AB347" s="21">
        <v>389</v>
      </c>
      <c r="AC347" s="21">
        <v>389</v>
      </c>
      <c r="AD347" s="21">
        <v>414</v>
      </c>
      <c r="AE347" s="21">
        <v>3</v>
      </c>
      <c r="AF347" s="21">
        <v>6.7999999999999996E-3</v>
      </c>
      <c r="AG347" s="21">
        <v>0</v>
      </c>
      <c r="AH347" s="21">
        <v>0</v>
      </c>
      <c r="AI347" s="21">
        <v>0</v>
      </c>
      <c r="AJ347" s="21">
        <v>1</v>
      </c>
      <c r="AK347" s="21">
        <v>0</v>
      </c>
      <c r="AL347" s="21">
        <v>0</v>
      </c>
      <c r="AM347" s="21">
        <v>0</v>
      </c>
      <c r="AN347" s="21">
        <v>0</v>
      </c>
      <c r="AP347" s="21">
        <v>76</v>
      </c>
      <c r="AQ347" s="21">
        <v>76</v>
      </c>
      <c r="AR347" s="21">
        <v>75</v>
      </c>
      <c r="AS347" s="21">
        <v>1</v>
      </c>
      <c r="AU347" s="21">
        <v>154</v>
      </c>
      <c r="AV347" s="21">
        <v>0</v>
      </c>
    </row>
    <row r="348" spans="1:48" x14ac:dyDescent="0.15">
      <c r="A348" s="20" t="s">
        <v>58</v>
      </c>
      <c r="B348" s="20" t="s">
        <v>85</v>
      </c>
      <c r="C348" s="21">
        <v>0</v>
      </c>
      <c r="D348" s="21">
        <v>0</v>
      </c>
      <c r="E348" s="21">
        <v>0</v>
      </c>
      <c r="F348" s="21">
        <v>0</v>
      </c>
      <c r="AB348" s="21">
        <v>0</v>
      </c>
      <c r="AC348" s="21">
        <v>0</v>
      </c>
      <c r="AD348" s="21">
        <v>0</v>
      </c>
      <c r="AE348" s="21">
        <v>0</v>
      </c>
      <c r="AF348" s="21">
        <v>0</v>
      </c>
      <c r="AG348" s="21">
        <v>0</v>
      </c>
      <c r="AH348" s="21">
        <v>0</v>
      </c>
      <c r="AI348" s="21">
        <v>0</v>
      </c>
      <c r="AJ348" s="21">
        <v>0</v>
      </c>
      <c r="AK348" s="21">
        <v>0</v>
      </c>
      <c r="AL348" s="21">
        <v>0</v>
      </c>
      <c r="AM348" s="21">
        <v>0</v>
      </c>
      <c r="AN348" s="21">
        <v>0</v>
      </c>
      <c r="AV348" s="21">
        <v>0</v>
      </c>
    </row>
    <row r="349" spans="1:48" x14ac:dyDescent="0.15">
      <c r="A349" s="20" t="s">
        <v>59</v>
      </c>
      <c r="B349" s="20" t="s">
        <v>85</v>
      </c>
      <c r="C349" s="21">
        <v>0</v>
      </c>
      <c r="D349" s="21">
        <v>0</v>
      </c>
      <c r="E349" s="21">
        <v>0</v>
      </c>
      <c r="F349" s="21">
        <v>0</v>
      </c>
      <c r="AB349" s="21">
        <v>0</v>
      </c>
      <c r="AC349" s="21">
        <v>0</v>
      </c>
      <c r="AD349" s="21">
        <v>0</v>
      </c>
      <c r="AE349" s="21">
        <v>0</v>
      </c>
      <c r="AF349" s="21">
        <v>0</v>
      </c>
      <c r="AG349" s="21">
        <v>0</v>
      </c>
      <c r="AH349" s="21">
        <v>0</v>
      </c>
      <c r="AI349" s="21">
        <v>0</v>
      </c>
      <c r="AJ349" s="21">
        <v>0</v>
      </c>
      <c r="AK349" s="21">
        <v>0</v>
      </c>
      <c r="AL349" s="21">
        <v>0</v>
      </c>
      <c r="AM349" s="21">
        <v>0</v>
      </c>
      <c r="AN349" s="21">
        <v>0</v>
      </c>
    </row>
    <row r="350" spans="1:48" x14ac:dyDescent="0.15">
      <c r="A350" s="20" t="s">
        <v>60</v>
      </c>
      <c r="B350" s="20" t="s">
        <v>85</v>
      </c>
      <c r="C350" s="21">
        <v>0</v>
      </c>
      <c r="D350" s="21">
        <v>1</v>
      </c>
      <c r="E350" s="21">
        <v>24613</v>
      </c>
      <c r="F350" s="21">
        <v>24614</v>
      </c>
      <c r="G350" s="21">
        <v>2433</v>
      </c>
      <c r="H350" s="21">
        <v>3965</v>
      </c>
      <c r="I350" s="21">
        <v>12466</v>
      </c>
      <c r="J350" s="21">
        <v>5406</v>
      </c>
      <c r="K350" s="21">
        <v>345</v>
      </c>
      <c r="L350" s="21">
        <v>179</v>
      </c>
      <c r="M350" s="21">
        <v>0.7278</v>
      </c>
      <c r="N350" s="21">
        <v>0.7278</v>
      </c>
      <c r="O350" s="21">
        <v>5.5999999999999999E-3</v>
      </c>
      <c r="P350" s="21">
        <v>280</v>
      </c>
      <c r="Q350" s="21">
        <v>0.57499999999999996</v>
      </c>
      <c r="R350" s="21">
        <v>139</v>
      </c>
      <c r="S350" s="21">
        <v>88</v>
      </c>
      <c r="T350" s="21">
        <v>0.2099</v>
      </c>
      <c r="U350" s="21">
        <v>3.9899999999999998E-2</v>
      </c>
      <c r="AB350" s="21">
        <v>0</v>
      </c>
      <c r="AC350" s="21">
        <v>0</v>
      </c>
      <c r="AD350" s="21">
        <v>0</v>
      </c>
      <c r="AE350" s="21">
        <v>0</v>
      </c>
      <c r="AF350" s="21">
        <v>0</v>
      </c>
      <c r="AG350" s="21">
        <v>0</v>
      </c>
      <c r="AH350" s="21">
        <v>0</v>
      </c>
      <c r="AI350" s="21">
        <v>0</v>
      </c>
      <c r="AJ350" s="21">
        <v>0</v>
      </c>
      <c r="AK350" s="21">
        <v>0</v>
      </c>
      <c r="AL350" s="21">
        <v>0</v>
      </c>
      <c r="AM350" s="21">
        <v>0</v>
      </c>
      <c r="AN350" s="21">
        <v>0</v>
      </c>
      <c r="AU350" s="21">
        <v>0</v>
      </c>
      <c r="AV350" s="21">
        <v>0</v>
      </c>
    </row>
    <row r="351" spans="1:48" x14ac:dyDescent="0.15">
      <c r="A351" s="20" t="s">
        <v>61</v>
      </c>
      <c r="B351" s="20" t="s">
        <v>85</v>
      </c>
      <c r="C351" s="21">
        <v>0</v>
      </c>
      <c r="D351" s="21">
        <v>19</v>
      </c>
      <c r="E351" s="21">
        <v>14834</v>
      </c>
      <c r="F351" s="21">
        <v>14854</v>
      </c>
      <c r="G351" s="21">
        <v>1715</v>
      </c>
      <c r="H351" s="21">
        <v>4784</v>
      </c>
      <c r="I351" s="21">
        <v>5556</v>
      </c>
      <c r="J351" s="21">
        <v>3049</v>
      </c>
      <c r="L351" s="21">
        <v>128</v>
      </c>
      <c r="M351" s="21">
        <v>0.83720000000000006</v>
      </c>
      <c r="N351" s="21">
        <v>0.83720000000000006</v>
      </c>
      <c r="O351" s="21">
        <v>5.4300000000000001E-2</v>
      </c>
      <c r="P351" s="21">
        <v>141</v>
      </c>
      <c r="Q351" s="21">
        <v>0.85819999999999996</v>
      </c>
      <c r="R351" s="21">
        <v>116</v>
      </c>
      <c r="S351" s="21">
        <v>105</v>
      </c>
      <c r="T351" s="21">
        <v>0.1336</v>
      </c>
      <c r="U351" s="21">
        <v>8.0699999999999994E-2</v>
      </c>
      <c r="AB351" s="21">
        <v>0</v>
      </c>
      <c r="AC351" s="21">
        <v>0</v>
      </c>
      <c r="AD351" s="21">
        <v>0</v>
      </c>
      <c r="AE351" s="21">
        <v>0</v>
      </c>
      <c r="AF351" s="21">
        <v>0</v>
      </c>
      <c r="AG351" s="21">
        <v>0</v>
      </c>
      <c r="AH351" s="21">
        <v>0</v>
      </c>
      <c r="AI351" s="21">
        <v>0</v>
      </c>
      <c r="AJ351" s="21">
        <v>0</v>
      </c>
      <c r="AK351" s="21">
        <v>0</v>
      </c>
      <c r="AL351" s="21">
        <v>0</v>
      </c>
      <c r="AM351" s="21">
        <v>0</v>
      </c>
      <c r="AN351" s="21">
        <v>0</v>
      </c>
      <c r="AU351" s="21">
        <v>5</v>
      </c>
      <c r="AV351" s="21">
        <v>0</v>
      </c>
    </row>
    <row r="352" spans="1:48" x14ac:dyDescent="0.15">
      <c r="A352" s="20" t="s">
        <v>48</v>
      </c>
      <c r="B352" s="20" t="s">
        <v>86</v>
      </c>
      <c r="C352" s="21">
        <v>0</v>
      </c>
      <c r="D352" s="21">
        <v>-1</v>
      </c>
      <c r="E352" s="21">
        <v>23856</v>
      </c>
      <c r="F352" s="21">
        <v>23855</v>
      </c>
      <c r="H352" s="21">
        <v>10178</v>
      </c>
      <c r="I352" s="21">
        <v>4153</v>
      </c>
      <c r="J352" s="21">
        <v>3344</v>
      </c>
      <c r="K352" s="21">
        <v>860</v>
      </c>
      <c r="L352" s="21">
        <v>285</v>
      </c>
      <c r="M352" s="21">
        <v>0.73</v>
      </c>
      <c r="N352" s="21">
        <v>0.73</v>
      </c>
      <c r="O352" s="21">
        <v>0</v>
      </c>
      <c r="P352" s="21">
        <v>632</v>
      </c>
      <c r="Q352" s="21">
        <v>0.49209999999999998</v>
      </c>
      <c r="R352" s="21">
        <v>85</v>
      </c>
      <c r="S352" s="21">
        <v>38</v>
      </c>
      <c r="T352" s="21">
        <v>0.12959999999999999</v>
      </c>
      <c r="U352" s="21">
        <v>2.3900000000000001E-2</v>
      </c>
      <c r="V352" s="21">
        <v>0.77339999999999998</v>
      </c>
      <c r="W352" s="21">
        <v>25</v>
      </c>
      <c r="X352" s="21">
        <v>2</v>
      </c>
      <c r="Y352" s="21">
        <v>58</v>
      </c>
      <c r="Z352" s="21">
        <v>0</v>
      </c>
      <c r="AA352" s="21">
        <v>0</v>
      </c>
      <c r="AB352" s="21">
        <v>121</v>
      </c>
      <c r="AC352" s="21">
        <v>121</v>
      </c>
      <c r="AD352" s="21">
        <v>119</v>
      </c>
      <c r="AE352" s="21">
        <v>13</v>
      </c>
      <c r="AF352" s="21">
        <v>0.1111</v>
      </c>
      <c r="AG352" s="21">
        <v>0</v>
      </c>
      <c r="AH352" s="21">
        <v>0</v>
      </c>
      <c r="AI352" s="21">
        <v>0</v>
      </c>
      <c r="AJ352" s="21">
        <v>1</v>
      </c>
      <c r="AK352" s="21">
        <v>0</v>
      </c>
      <c r="AL352" s="21">
        <v>0</v>
      </c>
      <c r="AM352" s="21">
        <v>0</v>
      </c>
      <c r="AN352" s="21">
        <v>0</v>
      </c>
      <c r="AP352" s="21">
        <v>31</v>
      </c>
      <c r="AQ352" s="21">
        <v>31</v>
      </c>
      <c r="AR352" s="21">
        <v>7</v>
      </c>
      <c r="AS352" s="21">
        <v>23</v>
      </c>
      <c r="AU352" s="21">
        <v>4</v>
      </c>
      <c r="AV352" s="21">
        <v>0</v>
      </c>
    </row>
    <row r="353" spans="1:48" x14ac:dyDescent="0.15">
      <c r="A353" s="20" t="s">
        <v>50</v>
      </c>
      <c r="B353" s="20" t="s">
        <v>86</v>
      </c>
      <c r="C353" s="21">
        <v>0</v>
      </c>
      <c r="D353" s="21">
        <v>2</v>
      </c>
      <c r="E353" s="21">
        <v>24483</v>
      </c>
      <c r="F353" s="21">
        <v>24485</v>
      </c>
      <c r="G353" s="21">
        <v>238</v>
      </c>
      <c r="H353" s="21">
        <v>23292</v>
      </c>
      <c r="I353" s="21">
        <v>0</v>
      </c>
      <c r="J353" s="21">
        <v>314</v>
      </c>
      <c r="K353" s="21">
        <v>255</v>
      </c>
      <c r="L353" s="21">
        <v>297</v>
      </c>
      <c r="M353" s="21">
        <v>0.77049999999999996</v>
      </c>
      <c r="N353" s="21">
        <v>0.77049999999999996</v>
      </c>
      <c r="O353" s="21">
        <v>6.6E-3</v>
      </c>
      <c r="P353" s="21">
        <v>471</v>
      </c>
      <c r="Q353" s="21">
        <v>0.62419999999999998</v>
      </c>
      <c r="R353" s="21">
        <v>83</v>
      </c>
      <c r="S353" s="21">
        <v>52</v>
      </c>
      <c r="T353" s="21">
        <v>0.09</v>
      </c>
      <c r="U353" s="21">
        <v>3.39E-2</v>
      </c>
      <c r="V353" s="21">
        <v>0.64290000000000003</v>
      </c>
      <c r="W353" s="21">
        <v>18</v>
      </c>
      <c r="X353" s="21">
        <v>0</v>
      </c>
      <c r="Y353" s="21">
        <v>34</v>
      </c>
      <c r="Z353" s="21">
        <v>0</v>
      </c>
      <c r="AA353" s="21">
        <v>0</v>
      </c>
      <c r="AB353" s="21">
        <v>130</v>
      </c>
      <c r="AC353" s="21">
        <v>130</v>
      </c>
      <c r="AD353" s="21">
        <v>128</v>
      </c>
      <c r="AE353" s="21">
        <v>6</v>
      </c>
      <c r="AF353" s="21">
        <v>4.8000000000000001E-2</v>
      </c>
      <c r="AG353" s="21">
        <v>0</v>
      </c>
      <c r="AH353" s="21">
        <v>0</v>
      </c>
      <c r="AI353" s="21">
        <v>0</v>
      </c>
      <c r="AJ353" s="21">
        <v>1</v>
      </c>
      <c r="AK353" s="21">
        <v>0</v>
      </c>
      <c r="AL353" s="21">
        <v>0</v>
      </c>
      <c r="AM353" s="21">
        <v>0</v>
      </c>
      <c r="AN353" s="21">
        <v>0</v>
      </c>
      <c r="AP353" s="21">
        <v>64</v>
      </c>
      <c r="AQ353" s="21">
        <v>63</v>
      </c>
      <c r="AR353" s="21">
        <v>63</v>
      </c>
      <c r="AS353" s="21">
        <v>0</v>
      </c>
      <c r="AU353" s="21">
        <v>4</v>
      </c>
      <c r="AV353" s="21">
        <v>0</v>
      </c>
    </row>
    <row r="354" spans="1:48" x14ac:dyDescent="0.15">
      <c r="A354" s="20" t="s">
        <v>51</v>
      </c>
      <c r="B354" s="20" t="s">
        <v>86</v>
      </c>
      <c r="C354" s="21">
        <v>0</v>
      </c>
      <c r="D354" s="21">
        <v>-18</v>
      </c>
      <c r="E354" s="21">
        <v>53925</v>
      </c>
      <c r="F354" s="21">
        <v>53908</v>
      </c>
      <c r="G354" s="21">
        <v>779</v>
      </c>
      <c r="H354" s="21">
        <v>17675</v>
      </c>
      <c r="I354" s="21">
        <v>14786</v>
      </c>
      <c r="J354" s="21">
        <v>12460</v>
      </c>
      <c r="K354" s="21">
        <v>7868</v>
      </c>
      <c r="L354" s="21">
        <v>1006</v>
      </c>
      <c r="M354" s="21">
        <v>0.7621</v>
      </c>
      <c r="N354" s="21">
        <v>0.7601</v>
      </c>
      <c r="O354" s="21">
        <v>1.8800000000000001E-2</v>
      </c>
      <c r="P354" s="21">
        <v>1941</v>
      </c>
      <c r="Q354" s="21">
        <v>0.55689999999999995</v>
      </c>
      <c r="R354" s="21">
        <v>54</v>
      </c>
      <c r="S354" s="21">
        <v>28</v>
      </c>
      <c r="T354" s="21">
        <v>0.13039999999999999</v>
      </c>
      <c r="U354" s="21">
        <v>3.5900000000000001E-2</v>
      </c>
      <c r="V354" s="21">
        <v>0.60699999999999998</v>
      </c>
      <c r="AB354" s="21">
        <v>0</v>
      </c>
      <c r="AC354" s="21">
        <v>0</v>
      </c>
      <c r="AD354" s="21">
        <v>0</v>
      </c>
      <c r="AE354" s="21">
        <v>0</v>
      </c>
      <c r="AF354" s="21">
        <v>0</v>
      </c>
      <c r="AG354" s="21">
        <v>0</v>
      </c>
      <c r="AH354" s="21">
        <v>0</v>
      </c>
      <c r="AI354" s="21">
        <v>0</v>
      </c>
      <c r="AJ354" s="21">
        <v>0</v>
      </c>
      <c r="AK354" s="21">
        <v>0</v>
      </c>
      <c r="AL354" s="21">
        <v>0</v>
      </c>
      <c r="AM354" s="21">
        <v>0</v>
      </c>
      <c r="AN354" s="21">
        <v>0</v>
      </c>
      <c r="AP354" s="21">
        <v>0</v>
      </c>
      <c r="AQ354" s="21">
        <v>0</v>
      </c>
      <c r="AT354" s="21">
        <v>0</v>
      </c>
      <c r="AU354" s="21">
        <v>36</v>
      </c>
      <c r="AV354" s="21">
        <v>0</v>
      </c>
    </row>
    <row r="355" spans="1:48" x14ac:dyDescent="0.15">
      <c r="A355" s="20" t="s">
        <v>52</v>
      </c>
      <c r="B355" s="20" t="s">
        <v>86</v>
      </c>
      <c r="C355" s="21">
        <v>0</v>
      </c>
      <c r="D355" s="21">
        <v>12</v>
      </c>
      <c r="E355" s="21">
        <v>52830</v>
      </c>
      <c r="F355" s="21">
        <v>52842</v>
      </c>
      <c r="G355" s="21">
        <v>8294</v>
      </c>
      <c r="H355" s="21">
        <v>14778</v>
      </c>
      <c r="I355" s="21">
        <v>5260</v>
      </c>
      <c r="J355" s="21">
        <v>14386</v>
      </c>
      <c r="K355" s="21">
        <v>5466</v>
      </c>
      <c r="L355" s="21">
        <v>438</v>
      </c>
      <c r="M355" s="21">
        <v>0.79679999999999995</v>
      </c>
      <c r="N355" s="21">
        <v>0.79220000000000002</v>
      </c>
      <c r="O355" s="21">
        <v>1.6E-2</v>
      </c>
      <c r="P355" s="21">
        <v>931</v>
      </c>
      <c r="Q355" s="21">
        <v>0.62839999999999996</v>
      </c>
      <c r="R355" s="21">
        <v>120</v>
      </c>
      <c r="S355" s="21">
        <v>57</v>
      </c>
      <c r="T355" s="21">
        <v>0.1062</v>
      </c>
      <c r="U355" s="21">
        <v>3.32E-2</v>
      </c>
      <c r="V355" s="21">
        <v>0.70620000000000005</v>
      </c>
      <c r="W355" s="21">
        <v>46</v>
      </c>
      <c r="X355" s="21">
        <v>1</v>
      </c>
      <c r="Y355" s="21">
        <v>95</v>
      </c>
      <c r="Z355" s="21">
        <v>0</v>
      </c>
      <c r="AA355" s="21">
        <v>0</v>
      </c>
      <c r="AB355" s="21">
        <v>95</v>
      </c>
      <c r="AC355" s="21">
        <v>95</v>
      </c>
      <c r="AD355" s="21">
        <v>78</v>
      </c>
      <c r="AE355" s="21">
        <v>35</v>
      </c>
      <c r="AF355" s="21">
        <v>0.57379999999999998</v>
      </c>
      <c r="AG355" s="21">
        <v>0</v>
      </c>
      <c r="AH355" s="21">
        <v>0</v>
      </c>
      <c r="AI355" s="21">
        <v>0</v>
      </c>
      <c r="AJ355" s="21">
        <v>0</v>
      </c>
      <c r="AK355" s="21">
        <v>0</v>
      </c>
      <c r="AL355" s="21">
        <v>0</v>
      </c>
      <c r="AM355" s="21">
        <v>0</v>
      </c>
      <c r="AN355" s="21">
        <v>0</v>
      </c>
      <c r="AP355" s="21">
        <v>70</v>
      </c>
      <c r="AQ355" s="21">
        <v>70</v>
      </c>
      <c r="AR355" s="21">
        <v>27</v>
      </c>
      <c r="AS355" s="21">
        <v>43</v>
      </c>
      <c r="AT355" s="21">
        <v>0</v>
      </c>
      <c r="AU355" s="21">
        <v>36</v>
      </c>
      <c r="AV355" s="21">
        <v>0</v>
      </c>
    </row>
    <row r="356" spans="1:48" x14ac:dyDescent="0.15">
      <c r="A356" s="20" t="s">
        <v>53</v>
      </c>
      <c r="B356" s="20" t="s">
        <v>86</v>
      </c>
      <c r="C356" s="21">
        <v>0</v>
      </c>
      <c r="D356" s="21">
        <v>0</v>
      </c>
      <c r="E356" s="21">
        <v>0</v>
      </c>
      <c r="F356" s="21">
        <v>0</v>
      </c>
      <c r="AB356" s="21">
        <v>0</v>
      </c>
      <c r="AC356" s="21">
        <v>0</v>
      </c>
      <c r="AD356" s="21">
        <v>0</v>
      </c>
      <c r="AE356" s="21">
        <v>0</v>
      </c>
      <c r="AF356" s="21">
        <v>0</v>
      </c>
      <c r="AG356" s="21">
        <v>0</v>
      </c>
      <c r="AH356" s="21">
        <v>0</v>
      </c>
      <c r="AI356" s="21">
        <v>0</v>
      </c>
      <c r="AJ356" s="21">
        <v>0</v>
      </c>
      <c r="AK356" s="21">
        <v>0</v>
      </c>
      <c r="AL356" s="21">
        <v>0</v>
      </c>
      <c r="AM356" s="21">
        <v>0</v>
      </c>
      <c r="AN356" s="21">
        <v>0</v>
      </c>
    </row>
    <row r="357" spans="1:48" x14ac:dyDescent="0.15">
      <c r="A357" s="20" t="s">
        <v>0</v>
      </c>
      <c r="B357" s="20" t="s">
        <v>86</v>
      </c>
      <c r="C357" s="21">
        <v>0</v>
      </c>
      <c r="D357" s="21">
        <v>75</v>
      </c>
      <c r="E357" s="21">
        <v>267186</v>
      </c>
      <c r="F357" s="21">
        <v>267261</v>
      </c>
      <c r="G357" s="21">
        <v>29726</v>
      </c>
      <c r="H357" s="21">
        <v>85261</v>
      </c>
      <c r="I357" s="21">
        <v>52056</v>
      </c>
      <c r="J357" s="21">
        <v>53805</v>
      </c>
      <c r="K357" s="21">
        <v>23083</v>
      </c>
      <c r="L357" s="21">
        <v>2743</v>
      </c>
      <c r="M357" s="21">
        <v>0.75290000000000001</v>
      </c>
      <c r="N357" s="21">
        <v>0.75149999999999995</v>
      </c>
      <c r="O357" s="21">
        <v>1.7500000000000002E-2</v>
      </c>
      <c r="P357" s="21">
        <v>4893</v>
      </c>
      <c r="Q357" s="21">
        <v>0.59819999999999995</v>
      </c>
      <c r="R357" s="21">
        <v>98</v>
      </c>
      <c r="S357" s="21">
        <v>55</v>
      </c>
      <c r="T357" s="21">
        <v>0.10970000000000001</v>
      </c>
      <c r="U357" s="21">
        <v>3.2800000000000003E-2</v>
      </c>
      <c r="V357" s="21">
        <v>0.72719999999999996</v>
      </c>
      <c r="W357" s="21">
        <v>164</v>
      </c>
      <c r="X357" s="21">
        <v>4</v>
      </c>
      <c r="Y357" s="21">
        <v>324</v>
      </c>
      <c r="Z357" s="21">
        <v>0</v>
      </c>
      <c r="AA357" s="21">
        <v>0</v>
      </c>
      <c r="AB357" s="21">
        <v>732</v>
      </c>
      <c r="AC357" s="21">
        <v>732</v>
      </c>
      <c r="AD357" s="21">
        <v>712</v>
      </c>
      <c r="AE357" s="21">
        <v>73</v>
      </c>
      <c r="AF357" s="21">
        <v>0.1055</v>
      </c>
      <c r="AG357" s="21">
        <v>0</v>
      </c>
      <c r="AH357" s="21">
        <v>0</v>
      </c>
      <c r="AI357" s="21">
        <v>0</v>
      </c>
      <c r="AJ357" s="21">
        <v>1</v>
      </c>
      <c r="AK357" s="21">
        <v>0</v>
      </c>
      <c r="AL357" s="21">
        <v>0</v>
      </c>
      <c r="AM357" s="21">
        <v>0</v>
      </c>
      <c r="AN357" s="21">
        <v>0</v>
      </c>
      <c r="AP357" s="21">
        <v>578</v>
      </c>
      <c r="AQ357" s="21">
        <v>377</v>
      </c>
      <c r="AR357" s="21">
        <v>251</v>
      </c>
      <c r="AS357" s="21">
        <v>126</v>
      </c>
      <c r="AT357" s="21">
        <v>0</v>
      </c>
      <c r="AU357" s="21">
        <v>289</v>
      </c>
      <c r="AV357" s="21">
        <v>0</v>
      </c>
    </row>
    <row r="358" spans="1:48" x14ac:dyDescent="0.15">
      <c r="A358" s="20" t="s">
        <v>54</v>
      </c>
      <c r="B358" s="20" t="s">
        <v>86</v>
      </c>
      <c r="C358" s="21">
        <v>0</v>
      </c>
      <c r="D358" s="21">
        <v>0</v>
      </c>
      <c r="E358" s="21">
        <v>0</v>
      </c>
      <c r="F358" s="21">
        <v>0</v>
      </c>
      <c r="AB358" s="21">
        <v>0</v>
      </c>
      <c r="AC358" s="21">
        <v>0</v>
      </c>
      <c r="AD358" s="21">
        <v>0</v>
      </c>
      <c r="AE358" s="21">
        <v>0</v>
      </c>
      <c r="AF358" s="21">
        <v>0</v>
      </c>
      <c r="AG358" s="21">
        <v>0</v>
      </c>
      <c r="AH358" s="21">
        <v>0</v>
      </c>
      <c r="AI358" s="21">
        <v>0</v>
      </c>
      <c r="AJ358" s="21">
        <v>0</v>
      </c>
      <c r="AK358" s="21">
        <v>0</v>
      </c>
      <c r="AL358" s="21">
        <v>0</v>
      </c>
      <c r="AM358" s="21">
        <v>0</v>
      </c>
      <c r="AN358" s="21">
        <v>0</v>
      </c>
      <c r="AV358" s="21">
        <v>0</v>
      </c>
    </row>
    <row r="359" spans="1:48" x14ac:dyDescent="0.15">
      <c r="A359" s="20" t="s">
        <v>55</v>
      </c>
      <c r="B359" s="20" t="s">
        <v>86</v>
      </c>
      <c r="C359" s="21">
        <v>0</v>
      </c>
      <c r="D359" s="21">
        <v>0</v>
      </c>
      <c r="E359" s="21">
        <v>0</v>
      </c>
      <c r="F359" s="21">
        <v>0</v>
      </c>
      <c r="AB359" s="21">
        <v>0</v>
      </c>
      <c r="AC359" s="21">
        <v>0</v>
      </c>
      <c r="AD359" s="21">
        <v>0</v>
      </c>
      <c r="AE359" s="21">
        <v>0</v>
      </c>
      <c r="AF359" s="21">
        <v>0</v>
      </c>
      <c r="AG359" s="21">
        <v>0</v>
      </c>
      <c r="AH359" s="21">
        <v>0</v>
      </c>
      <c r="AI359" s="21">
        <v>0</v>
      </c>
      <c r="AJ359" s="21">
        <v>0</v>
      </c>
      <c r="AK359" s="21">
        <v>0</v>
      </c>
      <c r="AL359" s="21">
        <v>0</v>
      </c>
      <c r="AM359" s="21">
        <v>0</v>
      </c>
      <c r="AN359" s="21">
        <v>0</v>
      </c>
    </row>
    <row r="360" spans="1:48" x14ac:dyDescent="0.15">
      <c r="A360" s="20" t="s">
        <v>56</v>
      </c>
      <c r="B360" s="20" t="s">
        <v>86</v>
      </c>
      <c r="C360" s="21">
        <v>0</v>
      </c>
      <c r="D360" s="21">
        <v>0</v>
      </c>
      <c r="E360" s="21">
        <v>0</v>
      </c>
      <c r="F360" s="21">
        <v>0</v>
      </c>
      <c r="L360" s="21">
        <v>23</v>
      </c>
      <c r="M360" s="21">
        <v>0</v>
      </c>
      <c r="N360" s="21">
        <v>0</v>
      </c>
      <c r="O360" s="21">
        <v>0</v>
      </c>
      <c r="P360" s="21">
        <v>1</v>
      </c>
      <c r="Q360" s="21">
        <v>0</v>
      </c>
      <c r="R360" s="21">
        <v>0</v>
      </c>
      <c r="S360" s="21">
        <v>0</v>
      </c>
      <c r="AB360" s="21">
        <v>0</v>
      </c>
      <c r="AC360" s="21">
        <v>0</v>
      </c>
      <c r="AD360" s="21">
        <v>0</v>
      </c>
      <c r="AE360" s="21">
        <v>0</v>
      </c>
      <c r="AF360" s="21">
        <v>0</v>
      </c>
      <c r="AG360" s="21">
        <v>0</v>
      </c>
      <c r="AH360" s="21">
        <v>0</v>
      </c>
      <c r="AI360" s="21">
        <v>0</v>
      </c>
      <c r="AJ360" s="21">
        <v>0</v>
      </c>
      <c r="AK360" s="21">
        <v>0</v>
      </c>
      <c r="AL360" s="21">
        <v>0</v>
      </c>
      <c r="AM360" s="21">
        <v>0</v>
      </c>
      <c r="AN360" s="21">
        <v>0</v>
      </c>
      <c r="AP360" s="21">
        <v>200</v>
      </c>
      <c r="AQ360" s="21">
        <v>0</v>
      </c>
      <c r="AR360" s="21">
        <v>0</v>
      </c>
      <c r="AS360" s="21">
        <v>0</v>
      </c>
      <c r="AU360" s="21">
        <v>0</v>
      </c>
      <c r="AV360" s="21">
        <v>0</v>
      </c>
    </row>
    <row r="361" spans="1:48" x14ac:dyDescent="0.15">
      <c r="A361" s="20" t="s">
        <v>57</v>
      </c>
      <c r="B361" s="20" t="s">
        <v>86</v>
      </c>
      <c r="C361" s="21">
        <v>0</v>
      </c>
      <c r="D361" s="21">
        <v>67</v>
      </c>
      <c r="E361" s="21">
        <v>78488</v>
      </c>
      <c r="F361" s="21">
        <v>78555</v>
      </c>
      <c r="G361" s="21">
        <v>16651</v>
      </c>
      <c r="H361" s="21">
        <v>13044</v>
      </c>
      <c r="I361" s="21">
        <v>13644</v>
      </c>
      <c r="J361" s="21">
        <v>14659</v>
      </c>
      <c r="K361" s="21">
        <v>7929</v>
      </c>
      <c r="L361" s="21">
        <v>392</v>
      </c>
      <c r="M361" s="21">
        <v>0.74009999999999998</v>
      </c>
      <c r="N361" s="21">
        <v>0.74009999999999998</v>
      </c>
      <c r="O361" s="21">
        <v>3.7100000000000001E-2</v>
      </c>
      <c r="P361" s="21">
        <v>494</v>
      </c>
      <c r="Q361" s="21">
        <v>0.7591</v>
      </c>
      <c r="R361" s="21">
        <v>201</v>
      </c>
      <c r="S361" s="21">
        <v>159</v>
      </c>
      <c r="T361" s="21">
        <v>8.0799999999999997E-2</v>
      </c>
      <c r="U361" s="21">
        <v>2.1399999999999999E-2</v>
      </c>
      <c r="V361" s="21">
        <v>0.72699999999999998</v>
      </c>
      <c r="W361" s="21">
        <v>76</v>
      </c>
      <c r="X361" s="21">
        <v>0</v>
      </c>
      <c r="Y361" s="21">
        <v>137</v>
      </c>
      <c r="Z361" s="21">
        <v>0</v>
      </c>
      <c r="AA361" s="21">
        <v>0</v>
      </c>
      <c r="AB361" s="21">
        <v>386</v>
      </c>
      <c r="AC361" s="21">
        <v>386</v>
      </c>
      <c r="AD361" s="21">
        <v>388</v>
      </c>
      <c r="AE361" s="21">
        <v>19</v>
      </c>
      <c r="AF361" s="21">
        <v>4.8800000000000003E-2</v>
      </c>
      <c r="AG361" s="21">
        <v>0</v>
      </c>
      <c r="AH361" s="21">
        <v>0</v>
      </c>
      <c r="AI361" s="21">
        <v>0</v>
      </c>
      <c r="AJ361" s="21">
        <v>0</v>
      </c>
      <c r="AK361" s="21">
        <v>0</v>
      </c>
      <c r="AL361" s="21">
        <v>0</v>
      </c>
      <c r="AM361" s="21">
        <v>0</v>
      </c>
      <c r="AN361" s="21">
        <v>0</v>
      </c>
      <c r="AP361" s="21">
        <v>213</v>
      </c>
      <c r="AQ361" s="21">
        <v>213</v>
      </c>
      <c r="AR361" s="21">
        <v>153</v>
      </c>
      <c r="AS361" s="21">
        <v>60</v>
      </c>
      <c r="AU361" s="21">
        <v>181</v>
      </c>
      <c r="AV361" s="21">
        <v>0</v>
      </c>
    </row>
    <row r="362" spans="1:48" x14ac:dyDescent="0.15">
      <c r="A362" s="20" t="s">
        <v>58</v>
      </c>
      <c r="B362" s="20" t="s">
        <v>86</v>
      </c>
      <c r="C362" s="21">
        <v>0</v>
      </c>
      <c r="D362" s="21">
        <v>0</v>
      </c>
      <c r="E362" s="21">
        <v>0</v>
      </c>
      <c r="F362" s="21">
        <v>0</v>
      </c>
      <c r="AB362" s="21">
        <v>0</v>
      </c>
      <c r="AC362" s="21">
        <v>0</v>
      </c>
      <c r="AD362" s="21">
        <v>0</v>
      </c>
      <c r="AE362" s="21">
        <v>0</v>
      </c>
      <c r="AF362" s="21">
        <v>0</v>
      </c>
      <c r="AG362" s="21">
        <v>0</v>
      </c>
      <c r="AH362" s="21">
        <v>0</v>
      </c>
      <c r="AI362" s="21">
        <v>0</v>
      </c>
      <c r="AJ362" s="21">
        <v>0</v>
      </c>
      <c r="AK362" s="21">
        <v>0</v>
      </c>
      <c r="AL362" s="21">
        <v>0</v>
      </c>
      <c r="AM362" s="21">
        <v>0</v>
      </c>
      <c r="AN362" s="21">
        <v>0</v>
      </c>
      <c r="AV362" s="21">
        <v>0</v>
      </c>
    </row>
    <row r="363" spans="1:48" x14ac:dyDescent="0.15">
      <c r="A363" s="20" t="s">
        <v>59</v>
      </c>
      <c r="B363" s="20" t="s">
        <v>86</v>
      </c>
      <c r="C363" s="21">
        <v>0</v>
      </c>
      <c r="D363" s="21">
        <v>0</v>
      </c>
      <c r="E363" s="21">
        <v>0</v>
      </c>
      <c r="F363" s="21">
        <v>0</v>
      </c>
      <c r="AB363" s="21">
        <v>0</v>
      </c>
      <c r="AC363" s="21">
        <v>0</v>
      </c>
      <c r="AD363" s="21">
        <v>0</v>
      </c>
      <c r="AE363" s="21">
        <v>0</v>
      </c>
      <c r="AF363" s="21">
        <v>0</v>
      </c>
      <c r="AG363" s="21">
        <v>0</v>
      </c>
      <c r="AH363" s="21">
        <v>0</v>
      </c>
      <c r="AI363" s="21">
        <v>0</v>
      </c>
      <c r="AJ363" s="21">
        <v>0</v>
      </c>
      <c r="AK363" s="21">
        <v>0</v>
      </c>
      <c r="AL363" s="21">
        <v>0</v>
      </c>
      <c r="AM363" s="21">
        <v>0</v>
      </c>
      <c r="AN363" s="21">
        <v>0</v>
      </c>
    </row>
    <row r="364" spans="1:48" x14ac:dyDescent="0.15">
      <c r="A364" s="20" t="s">
        <v>60</v>
      </c>
      <c r="B364" s="20" t="s">
        <v>86</v>
      </c>
      <c r="C364" s="21">
        <v>0</v>
      </c>
      <c r="D364" s="21">
        <v>0</v>
      </c>
      <c r="E364" s="21">
        <v>18762</v>
      </c>
      <c r="F364" s="21">
        <v>18762</v>
      </c>
      <c r="G364" s="21">
        <v>1835</v>
      </c>
      <c r="H364" s="21">
        <v>3616</v>
      </c>
      <c r="I364" s="21">
        <v>8121</v>
      </c>
      <c r="J364" s="21">
        <v>4485</v>
      </c>
      <c r="K364" s="21">
        <v>705</v>
      </c>
      <c r="L364" s="21">
        <v>178</v>
      </c>
      <c r="M364" s="21">
        <v>0.73480000000000001</v>
      </c>
      <c r="N364" s="21">
        <v>0.73480000000000001</v>
      </c>
      <c r="O364" s="21">
        <v>5.4999999999999997E-3</v>
      </c>
      <c r="P364" s="21">
        <v>280</v>
      </c>
      <c r="Q364" s="21">
        <v>0.57140000000000002</v>
      </c>
      <c r="R364" s="21">
        <v>105</v>
      </c>
      <c r="S364" s="21">
        <v>67</v>
      </c>
      <c r="T364" s="21">
        <v>0.15229999999999999</v>
      </c>
      <c r="U364" s="21">
        <v>5.3800000000000001E-2</v>
      </c>
      <c r="V364" s="21">
        <v>1</v>
      </c>
      <c r="AB364" s="21">
        <v>0</v>
      </c>
      <c r="AC364" s="21">
        <v>0</v>
      </c>
      <c r="AD364" s="21">
        <v>0</v>
      </c>
      <c r="AE364" s="21">
        <v>0</v>
      </c>
      <c r="AF364" s="21">
        <v>0</v>
      </c>
      <c r="AG364" s="21">
        <v>0</v>
      </c>
      <c r="AH364" s="21">
        <v>0</v>
      </c>
      <c r="AI364" s="21">
        <v>0</v>
      </c>
      <c r="AJ364" s="21">
        <v>0</v>
      </c>
      <c r="AK364" s="21">
        <v>0</v>
      </c>
      <c r="AL364" s="21">
        <v>0</v>
      </c>
      <c r="AM364" s="21">
        <v>0</v>
      </c>
      <c r="AN364" s="21">
        <v>0</v>
      </c>
      <c r="AU364" s="21">
        <v>6</v>
      </c>
      <c r="AV364" s="21">
        <v>0</v>
      </c>
    </row>
    <row r="365" spans="1:48" x14ac:dyDescent="0.15">
      <c r="A365" s="20" t="s">
        <v>61</v>
      </c>
      <c r="B365" s="20" t="s">
        <v>86</v>
      </c>
      <c r="C365" s="21">
        <v>0</v>
      </c>
      <c r="D365" s="21">
        <v>13</v>
      </c>
      <c r="E365" s="21">
        <v>14842</v>
      </c>
      <c r="F365" s="21">
        <v>14855</v>
      </c>
      <c r="G365" s="21">
        <v>1928</v>
      </c>
      <c r="H365" s="21">
        <v>2677</v>
      </c>
      <c r="I365" s="21">
        <v>6091</v>
      </c>
      <c r="J365" s="21">
        <v>4158</v>
      </c>
      <c r="L365" s="21">
        <v>124</v>
      </c>
      <c r="M365" s="21">
        <v>0.74439999999999995</v>
      </c>
      <c r="N365" s="21">
        <v>0.74439999999999995</v>
      </c>
      <c r="O365" s="21">
        <v>3.7600000000000001E-2</v>
      </c>
      <c r="P365" s="21">
        <v>143</v>
      </c>
      <c r="Q365" s="21">
        <v>0.84619999999999995</v>
      </c>
      <c r="R365" s="21">
        <v>118</v>
      </c>
      <c r="S365" s="21">
        <v>104</v>
      </c>
      <c r="T365" s="21">
        <v>0.13489999999999999</v>
      </c>
      <c r="U365" s="21">
        <v>7.5800000000000006E-2</v>
      </c>
      <c r="V365" s="21">
        <v>0.97189999999999999</v>
      </c>
      <c r="AB365" s="21">
        <v>0</v>
      </c>
      <c r="AC365" s="21">
        <v>0</v>
      </c>
      <c r="AD365" s="21">
        <v>0</v>
      </c>
      <c r="AE365" s="21">
        <v>0</v>
      </c>
      <c r="AF365" s="21">
        <v>0</v>
      </c>
      <c r="AG365" s="21">
        <v>0</v>
      </c>
      <c r="AH365" s="21">
        <v>0</v>
      </c>
      <c r="AI365" s="21">
        <v>0</v>
      </c>
      <c r="AJ365" s="21">
        <v>0</v>
      </c>
      <c r="AK365" s="21">
        <v>0</v>
      </c>
      <c r="AL365" s="21">
        <v>0</v>
      </c>
      <c r="AM365" s="21">
        <v>0</v>
      </c>
      <c r="AN365" s="21">
        <v>0</v>
      </c>
      <c r="AU365" s="21">
        <v>21</v>
      </c>
      <c r="AV365" s="21">
        <v>0</v>
      </c>
    </row>
    <row r="366" spans="1:48" x14ac:dyDescent="0.15">
      <c r="A366" s="20" t="s">
        <v>48</v>
      </c>
      <c r="B366" s="20" t="s">
        <v>87</v>
      </c>
      <c r="C366" s="21">
        <v>0</v>
      </c>
      <c r="D366" s="21">
        <v>0</v>
      </c>
      <c r="E366" s="21">
        <v>24463</v>
      </c>
      <c r="F366" s="21">
        <v>24463</v>
      </c>
      <c r="H366" s="21">
        <v>10717</v>
      </c>
      <c r="I366" s="21">
        <v>3893</v>
      </c>
      <c r="J366" s="21">
        <v>4573</v>
      </c>
      <c r="K366" s="21">
        <v>1686</v>
      </c>
      <c r="L366" s="21">
        <v>284</v>
      </c>
      <c r="M366" s="21">
        <v>0.73380000000000001</v>
      </c>
      <c r="N366" s="21">
        <v>0.73380000000000001</v>
      </c>
      <c r="O366" s="21">
        <v>0</v>
      </c>
      <c r="P366" s="21">
        <v>635</v>
      </c>
      <c r="Q366" s="21">
        <v>0.45979999999999999</v>
      </c>
      <c r="R366" s="21">
        <v>86</v>
      </c>
      <c r="S366" s="21">
        <v>39</v>
      </c>
      <c r="T366" s="21">
        <v>0.1547</v>
      </c>
      <c r="U366" s="21">
        <v>2.3199999999999998E-2</v>
      </c>
      <c r="V366" s="21">
        <v>0.61539999999999995</v>
      </c>
      <c r="W366" s="21">
        <v>57</v>
      </c>
      <c r="X366" s="21">
        <v>2</v>
      </c>
      <c r="Y366" s="21">
        <v>137</v>
      </c>
      <c r="Z366" s="21">
        <v>0</v>
      </c>
      <c r="AA366" s="21">
        <v>0</v>
      </c>
      <c r="AB366" s="21">
        <v>166</v>
      </c>
      <c r="AC366" s="21">
        <v>166</v>
      </c>
      <c r="AD366" s="21">
        <v>144</v>
      </c>
      <c r="AE366" s="21">
        <v>49</v>
      </c>
      <c r="AF366" s="21">
        <v>0.40500000000000003</v>
      </c>
      <c r="AG366" s="21">
        <v>0</v>
      </c>
      <c r="AH366" s="21">
        <v>0</v>
      </c>
      <c r="AI366" s="21">
        <v>0</v>
      </c>
      <c r="AJ366" s="21">
        <v>0.75</v>
      </c>
      <c r="AK366" s="21">
        <v>0</v>
      </c>
      <c r="AL366" s="21">
        <v>0</v>
      </c>
      <c r="AM366" s="21">
        <v>0</v>
      </c>
      <c r="AN366" s="21">
        <v>0</v>
      </c>
      <c r="AP366" s="21">
        <v>21</v>
      </c>
      <c r="AQ366" s="21">
        <v>11</v>
      </c>
      <c r="AR366" s="21">
        <v>2</v>
      </c>
      <c r="AS366" s="21">
        <v>9</v>
      </c>
      <c r="AU366" s="21">
        <v>2</v>
      </c>
      <c r="AV366" s="21">
        <v>0</v>
      </c>
    </row>
    <row r="367" spans="1:48" x14ac:dyDescent="0.15">
      <c r="A367" s="20" t="s">
        <v>50</v>
      </c>
      <c r="B367" s="20" t="s">
        <v>87</v>
      </c>
      <c r="C367" s="21">
        <v>0</v>
      </c>
      <c r="D367" s="21">
        <v>0</v>
      </c>
      <c r="E367" s="21">
        <v>19802</v>
      </c>
      <c r="F367" s="21">
        <v>19802</v>
      </c>
      <c r="G367" s="21">
        <v>2578</v>
      </c>
      <c r="H367" s="21">
        <v>15882</v>
      </c>
      <c r="I367" s="21">
        <v>0</v>
      </c>
      <c r="J367" s="21">
        <v>283</v>
      </c>
      <c r="K367" s="21">
        <v>662</v>
      </c>
      <c r="L367" s="21">
        <v>293</v>
      </c>
      <c r="M367" s="21">
        <v>0.77229999999999999</v>
      </c>
      <c r="N367" s="21">
        <v>0.77229999999999999</v>
      </c>
      <c r="O367" s="21">
        <v>0</v>
      </c>
      <c r="P367" s="21">
        <v>480</v>
      </c>
      <c r="Q367" s="21">
        <v>0.63119999999999998</v>
      </c>
      <c r="R367" s="21">
        <v>67</v>
      </c>
      <c r="S367" s="21">
        <v>41</v>
      </c>
      <c r="T367" s="21">
        <v>0.1229</v>
      </c>
      <c r="U367" s="21">
        <v>3.1899999999999998E-2</v>
      </c>
      <c r="V367" s="21">
        <v>0.8921</v>
      </c>
      <c r="W367" s="21">
        <v>52</v>
      </c>
      <c r="X367" s="21">
        <v>1</v>
      </c>
      <c r="Y367" s="21">
        <v>115</v>
      </c>
      <c r="Z367" s="21">
        <v>0</v>
      </c>
      <c r="AA367" s="21">
        <v>0</v>
      </c>
      <c r="AB367" s="21">
        <v>162</v>
      </c>
      <c r="AC367" s="21">
        <v>162</v>
      </c>
      <c r="AD367" s="21">
        <v>146</v>
      </c>
      <c r="AE367" s="21">
        <v>45</v>
      </c>
      <c r="AF367" s="21">
        <v>0.34620000000000001</v>
      </c>
      <c r="AG367" s="21">
        <v>0</v>
      </c>
      <c r="AH367" s="21">
        <v>0</v>
      </c>
      <c r="AI367" s="21">
        <v>0</v>
      </c>
      <c r="AJ367" s="21">
        <v>0.875</v>
      </c>
      <c r="AK367" s="21">
        <v>0</v>
      </c>
      <c r="AL367" s="21">
        <v>0</v>
      </c>
      <c r="AM367" s="21">
        <v>0</v>
      </c>
      <c r="AN367" s="21">
        <v>0</v>
      </c>
      <c r="AP367" s="21">
        <v>58</v>
      </c>
      <c r="AQ367" s="21">
        <v>58</v>
      </c>
      <c r="AR367" s="21">
        <v>43</v>
      </c>
      <c r="AS367" s="21">
        <v>15</v>
      </c>
      <c r="AU367" s="21">
        <v>8</v>
      </c>
      <c r="AV367" s="21">
        <v>0</v>
      </c>
    </row>
    <row r="368" spans="1:48" x14ac:dyDescent="0.15">
      <c r="A368" s="20" t="s">
        <v>51</v>
      </c>
      <c r="B368" s="20" t="s">
        <v>87</v>
      </c>
      <c r="C368" s="21">
        <v>0</v>
      </c>
      <c r="D368" s="21">
        <v>17</v>
      </c>
      <c r="E368" s="21">
        <v>64266</v>
      </c>
      <c r="F368" s="21">
        <v>64282</v>
      </c>
      <c r="G368" s="21">
        <v>1733</v>
      </c>
      <c r="H368" s="21">
        <v>20217</v>
      </c>
      <c r="I368" s="21">
        <v>16977</v>
      </c>
      <c r="J368" s="21">
        <v>13360</v>
      </c>
      <c r="K368" s="21">
        <v>11617</v>
      </c>
      <c r="L368" s="21">
        <v>1049</v>
      </c>
      <c r="M368" s="21">
        <v>0.75729999999999997</v>
      </c>
      <c r="N368" s="21">
        <v>0.75729999999999997</v>
      </c>
      <c r="O368" s="21">
        <v>1.7100000000000001E-2</v>
      </c>
      <c r="P368" s="21">
        <v>1975</v>
      </c>
      <c r="Q368" s="21">
        <v>0.56559999999999999</v>
      </c>
      <c r="R368" s="21">
        <v>63</v>
      </c>
      <c r="S368" s="21">
        <v>33</v>
      </c>
      <c r="T368" s="21">
        <v>0.1086</v>
      </c>
      <c r="U368" s="21">
        <v>3.5400000000000001E-2</v>
      </c>
      <c r="V368" s="21">
        <v>0.73329999999999995</v>
      </c>
      <c r="AB368" s="21">
        <v>0</v>
      </c>
      <c r="AC368" s="21">
        <v>0</v>
      </c>
      <c r="AD368" s="21">
        <v>0</v>
      </c>
      <c r="AE368" s="21">
        <v>0</v>
      </c>
      <c r="AF368" s="21">
        <v>0</v>
      </c>
      <c r="AG368" s="21">
        <v>0</v>
      </c>
      <c r="AH368" s="21">
        <v>0</v>
      </c>
      <c r="AI368" s="21">
        <v>0</v>
      </c>
      <c r="AJ368" s="21">
        <v>0</v>
      </c>
      <c r="AK368" s="21">
        <v>0</v>
      </c>
      <c r="AL368" s="21">
        <v>0</v>
      </c>
      <c r="AM368" s="21">
        <v>0</v>
      </c>
      <c r="AN368" s="21">
        <v>0</v>
      </c>
      <c r="AP368" s="21">
        <v>0</v>
      </c>
      <c r="AQ368" s="21">
        <v>0</v>
      </c>
      <c r="AT368" s="21">
        <v>0</v>
      </c>
      <c r="AU368" s="21">
        <v>41</v>
      </c>
      <c r="AV368" s="21">
        <v>0</v>
      </c>
    </row>
    <row r="369" spans="1:48" x14ac:dyDescent="0.15">
      <c r="A369" s="20" t="s">
        <v>52</v>
      </c>
      <c r="B369" s="20" t="s">
        <v>87</v>
      </c>
      <c r="C369" s="21">
        <v>0</v>
      </c>
      <c r="D369" s="21">
        <v>7</v>
      </c>
      <c r="E369" s="21">
        <v>66607</v>
      </c>
      <c r="F369" s="21">
        <v>66613</v>
      </c>
      <c r="G369" s="21">
        <v>11978</v>
      </c>
      <c r="H369" s="21">
        <v>15580</v>
      </c>
      <c r="I369" s="21">
        <v>6998</v>
      </c>
      <c r="J369" s="21">
        <v>16334</v>
      </c>
      <c r="K369" s="21">
        <v>5534</v>
      </c>
      <c r="L369" s="21">
        <v>447</v>
      </c>
      <c r="M369" s="21">
        <v>0.8085</v>
      </c>
      <c r="N369" s="21">
        <v>0.80620000000000003</v>
      </c>
      <c r="O369" s="21">
        <v>6.7000000000000002E-3</v>
      </c>
      <c r="P369" s="21">
        <v>936</v>
      </c>
      <c r="Q369" s="21">
        <v>0.64100000000000001</v>
      </c>
      <c r="R369" s="21">
        <v>151</v>
      </c>
      <c r="S369" s="21">
        <v>71</v>
      </c>
      <c r="T369" s="21">
        <v>6.8500000000000005E-2</v>
      </c>
      <c r="U369" s="21">
        <v>3.27E-2</v>
      </c>
      <c r="V369" s="21">
        <v>0.28460000000000002</v>
      </c>
      <c r="W369" s="21">
        <v>53</v>
      </c>
      <c r="X369" s="21">
        <v>0</v>
      </c>
      <c r="Y369" s="21">
        <v>131</v>
      </c>
      <c r="Z369" s="21">
        <v>0</v>
      </c>
      <c r="AA369" s="21">
        <v>0</v>
      </c>
      <c r="AB369" s="21">
        <v>130</v>
      </c>
      <c r="AC369" s="21">
        <v>130</v>
      </c>
      <c r="AD369" s="21">
        <v>112</v>
      </c>
      <c r="AE369" s="21">
        <v>35</v>
      </c>
      <c r="AF369" s="21">
        <v>0.36840000000000001</v>
      </c>
      <c r="AG369" s="21">
        <v>0</v>
      </c>
      <c r="AH369" s="21">
        <v>0</v>
      </c>
      <c r="AI369" s="21">
        <v>0</v>
      </c>
      <c r="AJ369" s="21">
        <v>1</v>
      </c>
      <c r="AK369" s="21">
        <v>0</v>
      </c>
      <c r="AL369" s="21">
        <v>0</v>
      </c>
      <c r="AM369" s="21">
        <v>0</v>
      </c>
      <c r="AN369" s="21">
        <v>0</v>
      </c>
      <c r="AP369" s="21">
        <v>89</v>
      </c>
      <c r="AQ369" s="21">
        <v>87</v>
      </c>
      <c r="AR369" s="21">
        <v>61</v>
      </c>
      <c r="AS369" s="21">
        <v>26</v>
      </c>
      <c r="AT369" s="21">
        <v>0</v>
      </c>
      <c r="AU369" s="21">
        <v>12</v>
      </c>
      <c r="AV369" s="21">
        <v>0</v>
      </c>
    </row>
    <row r="370" spans="1:48" x14ac:dyDescent="0.15">
      <c r="A370" s="20" t="s">
        <v>53</v>
      </c>
      <c r="B370" s="20" t="s">
        <v>87</v>
      </c>
      <c r="C370" s="21">
        <v>0</v>
      </c>
      <c r="D370" s="21">
        <v>0</v>
      </c>
      <c r="E370" s="21">
        <v>0</v>
      </c>
      <c r="F370" s="21">
        <v>0</v>
      </c>
      <c r="AB370" s="21">
        <v>0</v>
      </c>
      <c r="AC370" s="21">
        <v>0</v>
      </c>
      <c r="AD370" s="21">
        <v>0</v>
      </c>
      <c r="AE370" s="21">
        <v>0</v>
      </c>
      <c r="AF370" s="21">
        <v>0</v>
      </c>
      <c r="AG370" s="21">
        <v>0</v>
      </c>
      <c r="AH370" s="21">
        <v>0</v>
      </c>
      <c r="AI370" s="21">
        <v>0</v>
      </c>
      <c r="AJ370" s="21">
        <v>0</v>
      </c>
      <c r="AK370" s="21">
        <v>0</v>
      </c>
      <c r="AL370" s="21">
        <v>0</v>
      </c>
      <c r="AM370" s="21">
        <v>0</v>
      </c>
      <c r="AN370" s="21">
        <v>0</v>
      </c>
    </row>
    <row r="371" spans="1:48" x14ac:dyDescent="0.15">
      <c r="A371" s="20" t="s">
        <v>0</v>
      </c>
      <c r="B371" s="20" t="s">
        <v>87</v>
      </c>
      <c r="C371" s="21">
        <v>0</v>
      </c>
      <c r="D371" s="21">
        <v>146</v>
      </c>
      <c r="E371" s="21">
        <v>286925</v>
      </c>
      <c r="F371" s="21">
        <v>287071</v>
      </c>
      <c r="G371" s="21">
        <v>38710</v>
      </c>
      <c r="H371" s="21">
        <v>86119</v>
      </c>
      <c r="I371" s="21">
        <v>55393</v>
      </c>
      <c r="J371" s="21">
        <v>60074</v>
      </c>
      <c r="K371" s="21">
        <v>21824</v>
      </c>
      <c r="L371" s="21">
        <v>2786</v>
      </c>
      <c r="M371" s="21">
        <v>0.74980000000000002</v>
      </c>
      <c r="N371" s="21">
        <v>0.74880000000000002</v>
      </c>
      <c r="O371" s="21">
        <v>1.55E-2</v>
      </c>
      <c r="P371" s="21">
        <v>4953</v>
      </c>
      <c r="Q371" s="21">
        <v>0.5958</v>
      </c>
      <c r="R371" s="21">
        <v>104</v>
      </c>
      <c r="S371" s="21">
        <v>58</v>
      </c>
      <c r="T371" s="21">
        <v>9.1300000000000006E-2</v>
      </c>
      <c r="U371" s="21">
        <v>3.2500000000000001E-2</v>
      </c>
      <c r="V371" s="21">
        <v>0.62329999999999997</v>
      </c>
      <c r="W371" s="21">
        <v>323</v>
      </c>
      <c r="X371" s="21">
        <v>4</v>
      </c>
      <c r="Y371" s="21">
        <v>695</v>
      </c>
      <c r="Z371" s="21">
        <v>0</v>
      </c>
      <c r="AA371" s="21">
        <v>0</v>
      </c>
      <c r="AB371" s="21">
        <v>826</v>
      </c>
      <c r="AC371" s="21">
        <v>825</v>
      </c>
      <c r="AD371" s="21">
        <v>779</v>
      </c>
      <c r="AE371" s="21">
        <v>168</v>
      </c>
      <c r="AF371" s="21">
        <v>0.22950000000000001</v>
      </c>
      <c r="AG371" s="21">
        <v>0</v>
      </c>
      <c r="AH371" s="21">
        <v>0</v>
      </c>
      <c r="AI371" s="21">
        <v>0</v>
      </c>
      <c r="AJ371" s="21">
        <v>0.76739999999999997</v>
      </c>
      <c r="AK371" s="21">
        <v>0</v>
      </c>
      <c r="AL371" s="21">
        <v>0</v>
      </c>
      <c r="AM371" s="21">
        <v>0</v>
      </c>
      <c r="AN371" s="21">
        <v>0</v>
      </c>
      <c r="AP371" s="21">
        <v>3845</v>
      </c>
      <c r="AQ371" s="21">
        <v>283</v>
      </c>
      <c r="AR371" s="21">
        <v>196</v>
      </c>
      <c r="AS371" s="21">
        <v>86</v>
      </c>
      <c r="AT371" s="21">
        <v>0</v>
      </c>
      <c r="AU371" s="21">
        <v>230</v>
      </c>
      <c r="AV371" s="21">
        <v>0</v>
      </c>
    </row>
    <row r="372" spans="1:48" x14ac:dyDescent="0.15">
      <c r="A372" s="20" t="s">
        <v>54</v>
      </c>
      <c r="B372" s="20" t="s">
        <v>87</v>
      </c>
      <c r="C372" s="21">
        <v>0</v>
      </c>
      <c r="D372" s="21">
        <v>0</v>
      </c>
      <c r="E372" s="21">
        <v>0</v>
      </c>
      <c r="F372" s="21">
        <v>0</v>
      </c>
      <c r="AB372" s="21">
        <v>0</v>
      </c>
      <c r="AC372" s="21">
        <v>0</v>
      </c>
      <c r="AD372" s="21">
        <v>0</v>
      </c>
      <c r="AE372" s="21">
        <v>0</v>
      </c>
      <c r="AF372" s="21">
        <v>0</v>
      </c>
      <c r="AG372" s="21">
        <v>0</v>
      </c>
      <c r="AH372" s="21">
        <v>0</v>
      </c>
      <c r="AI372" s="21">
        <v>0</v>
      </c>
      <c r="AJ372" s="21">
        <v>0</v>
      </c>
      <c r="AK372" s="21">
        <v>0</v>
      </c>
      <c r="AL372" s="21">
        <v>0</v>
      </c>
      <c r="AM372" s="21">
        <v>0</v>
      </c>
      <c r="AN372" s="21">
        <v>0</v>
      </c>
      <c r="AV372" s="21">
        <v>0</v>
      </c>
    </row>
    <row r="373" spans="1:48" x14ac:dyDescent="0.15">
      <c r="A373" s="20" t="s">
        <v>55</v>
      </c>
      <c r="B373" s="20" t="s">
        <v>87</v>
      </c>
      <c r="C373" s="21">
        <v>0</v>
      </c>
      <c r="D373" s="21">
        <v>0</v>
      </c>
      <c r="E373" s="21">
        <v>0</v>
      </c>
      <c r="F373" s="21">
        <v>0</v>
      </c>
      <c r="AB373" s="21">
        <v>0</v>
      </c>
      <c r="AC373" s="21">
        <v>0</v>
      </c>
      <c r="AD373" s="21">
        <v>0</v>
      </c>
      <c r="AE373" s="21">
        <v>0</v>
      </c>
      <c r="AF373" s="21">
        <v>0</v>
      </c>
      <c r="AG373" s="21">
        <v>0</v>
      </c>
      <c r="AH373" s="21">
        <v>0</v>
      </c>
      <c r="AI373" s="21">
        <v>0</v>
      </c>
      <c r="AJ373" s="21">
        <v>0</v>
      </c>
      <c r="AK373" s="21">
        <v>0</v>
      </c>
      <c r="AL373" s="21">
        <v>0</v>
      </c>
      <c r="AM373" s="21">
        <v>0</v>
      </c>
      <c r="AN373" s="21">
        <v>0</v>
      </c>
    </row>
    <row r="374" spans="1:48" x14ac:dyDescent="0.15">
      <c r="A374" s="20" t="s">
        <v>56</v>
      </c>
      <c r="B374" s="20" t="s">
        <v>87</v>
      </c>
      <c r="C374" s="21">
        <v>0</v>
      </c>
      <c r="D374" s="21">
        <v>0</v>
      </c>
      <c r="E374" s="21">
        <v>0</v>
      </c>
      <c r="F374" s="21">
        <v>0</v>
      </c>
      <c r="L374" s="21">
        <v>28</v>
      </c>
      <c r="M374" s="21">
        <v>0</v>
      </c>
      <c r="N374" s="21">
        <v>0</v>
      </c>
      <c r="O374" s="21">
        <v>0</v>
      </c>
      <c r="P374" s="21">
        <v>1</v>
      </c>
      <c r="Q374" s="21">
        <v>0</v>
      </c>
      <c r="R374" s="21">
        <v>0</v>
      </c>
      <c r="S374" s="21">
        <v>0</v>
      </c>
      <c r="AB374" s="21">
        <v>0</v>
      </c>
      <c r="AC374" s="21">
        <v>0</v>
      </c>
      <c r="AD374" s="21">
        <v>0</v>
      </c>
      <c r="AE374" s="21">
        <v>0</v>
      </c>
      <c r="AF374" s="21">
        <v>0</v>
      </c>
      <c r="AG374" s="21">
        <v>0</v>
      </c>
      <c r="AH374" s="21">
        <v>0</v>
      </c>
      <c r="AI374" s="21">
        <v>0</v>
      </c>
      <c r="AJ374" s="21">
        <v>0</v>
      </c>
      <c r="AK374" s="21">
        <v>0</v>
      </c>
      <c r="AL374" s="21">
        <v>0</v>
      </c>
      <c r="AM374" s="21">
        <v>0</v>
      </c>
      <c r="AN374" s="21">
        <v>0</v>
      </c>
      <c r="AP374" s="21">
        <v>3553</v>
      </c>
      <c r="AQ374" s="21">
        <v>3</v>
      </c>
      <c r="AR374" s="21">
        <v>0</v>
      </c>
      <c r="AS374" s="21">
        <v>3</v>
      </c>
      <c r="AU374" s="21">
        <v>0</v>
      </c>
      <c r="AV374" s="21">
        <v>0</v>
      </c>
    </row>
    <row r="375" spans="1:48" x14ac:dyDescent="0.15">
      <c r="A375" s="20" t="s">
        <v>57</v>
      </c>
      <c r="B375" s="20" t="s">
        <v>87</v>
      </c>
      <c r="C375" s="21">
        <v>0</v>
      </c>
      <c r="D375" s="21">
        <v>119</v>
      </c>
      <c r="E375" s="21">
        <v>73351</v>
      </c>
      <c r="F375" s="21">
        <v>73471</v>
      </c>
      <c r="G375" s="21">
        <v>18986</v>
      </c>
      <c r="H375" s="21">
        <v>15689</v>
      </c>
      <c r="I375" s="21">
        <v>12480</v>
      </c>
      <c r="J375" s="21">
        <v>14602</v>
      </c>
      <c r="K375" s="21">
        <v>1321</v>
      </c>
      <c r="L375" s="21">
        <v>377</v>
      </c>
      <c r="M375" s="21">
        <v>0.72729999999999995</v>
      </c>
      <c r="N375" s="21">
        <v>0.72219999999999995</v>
      </c>
      <c r="O375" s="21">
        <v>5.0500000000000003E-2</v>
      </c>
      <c r="P375" s="21">
        <v>500</v>
      </c>
      <c r="Q375" s="21">
        <v>0.69599999999999995</v>
      </c>
      <c r="R375" s="21">
        <v>191</v>
      </c>
      <c r="S375" s="21">
        <v>147</v>
      </c>
      <c r="T375" s="21">
        <v>7.4800000000000005E-2</v>
      </c>
      <c r="U375" s="21">
        <v>2.2800000000000001E-2</v>
      </c>
      <c r="V375" s="21">
        <v>0.61819999999999997</v>
      </c>
      <c r="W375" s="21">
        <v>160</v>
      </c>
      <c r="X375" s="21">
        <v>1</v>
      </c>
      <c r="Y375" s="21">
        <v>312</v>
      </c>
      <c r="Z375" s="21">
        <v>0</v>
      </c>
      <c r="AA375" s="21">
        <v>0</v>
      </c>
      <c r="AB375" s="21">
        <v>368</v>
      </c>
      <c r="AC375" s="21">
        <v>367</v>
      </c>
      <c r="AD375" s="21">
        <v>377</v>
      </c>
      <c r="AE375" s="21">
        <v>39</v>
      </c>
      <c r="AF375" s="21">
        <v>0.10100000000000001</v>
      </c>
      <c r="AG375" s="21">
        <v>0</v>
      </c>
      <c r="AH375" s="21">
        <v>0</v>
      </c>
      <c r="AI375" s="21">
        <v>0</v>
      </c>
      <c r="AJ375" s="21">
        <v>0.53849999999999998</v>
      </c>
      <c r="AK375" s="21">
        <v>0</v>
      </c>
      <c r="AL375" s="21">
        <v>0</v>
      </c>
      <c r="AM375" s="21">
        <v>0</v>
      </c>
      <c r="AN375" s="21">
        <v>0</v>
      </c>
      <c r="AP375" s="21">
        <v>123</v>
      </c>
      <c r="AQ375" s="21">
        <v>123</v>
      </c>
      <c r="AR375" s="21">
        <v>90</v>
      </c>
      <c r="AS375" s="21">
        <v>34</v>
      </c>
      <c r="AU375" s="21">
        <v>156</v>
      </c>
      <c r="AV375" s="21">
        <v>0</v>
      </c>
    </row>
    <row r="376" spans="1:48" x14ac:dyDescent="0.15">
      <c r="A376" s="20" t="s">
        <v>58</v>
      </c>
      <c r="B376" s="20" t="s">
        <v>87</v>
      </c>
      <c r="C376" s="21">
        <v>0</v>
      </c>
      <c r="D376" s="21">
        <v>0</v>
      </c>
      <c r="E376" s="21">
        <v>0</v>
      </c>
      <c r="F376" s="21">
        <v>0</v>
      </c>
      <c r="AB376" s="21">
        <v>0</v>
      </c>
      <c r="AC376" s="21">
        <v>0</v>
      </c>
      <c r="AD376" s="21">
        <v>0</v>
      </c>
      <c r="AE376" s="21">
        <v>0</v>
      </c>
      <c r="AF376" s="21">
        <v>0</v>
      </c>
      <c r="AG376" s="21">
        <v>0</v>
      </c>
      <c r="AH376" s="21">
        <v>0</v>
      </c>
      <c r="AI376" s="21">
        <v>0</v>
      </c>
      <c r="AJ376" s="21">
        <v>0</v>
      </c>
      <c r="AK376" s="21">
        <v>0</v>
      </c>
      <c r="AL376" s="21">
        <v>0</v>
      </c>
      <c r="AM376" s="21">
        <v>0</v>
      </c>
      <c r="AN376" s="21">
        <v>0</v>
      </c>
      <c r="AV376" s="21">
        <v>0</v>
      </c>
    </row>
    <row r="377" spans="1:48" x14ac:dyDescent="0.15">
      <c r="A377" s="20" t="s">
        <v>59</v>
      </c>
      <c r="B377" s="20" t="s">
        <v>87</v>
      </c>
      <c r="C377" s="21">
        <v>0</v>
      </c>
      <c r="D377" s="21">
        <v>0</v>
      </c>
      <c r="E377" s="21">
        <v>0</v>
      </c>
      <c r="F377" s="21">
        <v>0</v>
      </c>
      <c r="AB377" s="21">
        <v>0</v>
      </c>
      <c r="AC377" s="21">
        <v>0</v>
      </c>
      <c r="AD377" s="21">
        <v>0</v>
      </c>
      <c r="AE377" s="21">
        <v>0</v>
      </c>
      <c r="AF377" s="21">
        <v>0</v>
      </c>
      <c r="AG377" s="21">
        <v>0</v>
      </c>
      <c r="AH377" s="21">
        <v>0</v>
      </c>
      <c r="AI377" s="21">
        <v>0</v>
      </c>
      <c r="AJ377" s="21">
        <v>0</v>
      </c>
      <c r="AK377" s="21">
        <v>0</v>
      </c>
      <c r="AL377" s="21">
        <v>0</v>
      </c>
      <c r="AM377" s="21">
        <v>0</v>
      </c>
      <c r="AN377" s="21">
        <v>0</v>
      </c>
    </row>
    <row r="378" spans="1:48" x14ac:dyDescent="0.15">
      <c r="A378" s="20" t="s">
        <v>60</v>
      </c>
      <c r="B378" s="20" t="s">
        <v>87</v>
      </c>
      <c r="C378" s="21">
        <v>0</v>
      </c>
      <c r="D378" s="21">
        <v>0</v>
      </c>
      <c r="E378" s="21">
        <v>23026</v>
      </c>
      <c r="F378" s="21">
        <v>23026</v>
      </c>
      <c r="G378" s="21">
        <v>1710</v>
      </c>
      <c r="H378" s="21">
        <v>4740</v>
      </c>
      <c r="I378" s="21">
        <v>8495</v>
      </c>
      <c r="J378" s="21">
        <v>7077</v>
      </c>
      <c r="K378" s="21">
        <v>1004</v>
      </c>
      <c r="L378" s="21">
        <v>188</v>
      </c>
      <c r="M378" s="21">
        <v>0.71730000000000005</v>
      </c>
      <c r="N378" s="21">
        <v>0.71730000000000005</v>
      </c>
      <c r="O378" s="21">
        <v>0</v>
      </c>
      <c r="P378" s="21">
        <v>283</v>
      </c>
      <c r="Q378" s="21">
        <v>0.60419999999999996</v>
      </c>
      <c r="R378" s="21">
        <v>126</v>
      </c>
      <c r="S378" s="21">
        <v>81</v>
      </c>
      <c r="T378" s="21">
        <v>5.2600000000000001E-2</v>
      </c>
      <c r="U378" s="21">
        <v>5.0299999999999997E-2</v>
      </c>
      <c r="V378" s="21">
        <v>0.42859999999999998</v>
      </c>
      <c r="AB378" s="21">
        <v>0</v>
      </c>
      <c r="AC378" s="21">
        <v>0</v>
      </c>
      <c r="AD378" s="21">
        <v>0</v>
      </c>
      <c r="AE378" s="21">
        <v>0</v>
      </c>
      <c r="AF378" s="21">
        <v>0</v>
      </c>
      <c r="AG378" s="21">
        <v>0</v>
      </c>
      <c r="AH378" s="21">
        <v>0</v>
      </c>
      <c r="AI378" s="21">
        <v>0</v>
      </c>
      <c r="AJ378" s="21">
        <v>0</v>
      </c>
      <c r="AK378" s="21">
        <v>0</v>
      </c>
      <c r="AL378" s="21">
        <v>0</v>
      </c>
      <c r="AM378" s="21">
        <v>0</v>
      </c>
      <c r="AN378" s="21">
        <v>0</v>
      </c>
      <c r="AU378" s="21">
        <v>3</v>
      </c>
      <c r="AV378" s="21">
        <v>0</v>
      </c>
    </row>
    <row r="379" spans="1:48" x14ac:dyDescent="0.15">
      <c r="A379" s="20" t="s">
        <v>61</v>
      </c>
      <c r="B379" s="20" t="s">
        <v>87</v>
      </c>
      <c r="C379" s="21">
        <v>0</v>
      </c>
      <c r="D379" s="21">
        <v>3</v>
      </c>
      <c r="E379" s="21">
        <v>15411</v>
      </c>
      <c r="F379" s="21">
        <v>15414</v>
      </c>
      <c r="G379" s="21">
        <v>1725</v>
      </c>
      <c r="H379" s="21">
        <v>3293</v>
      </c>
      <c r="I379" s="21">
        <v>6550</v>
      </c>
      <c r="J379" s="21">
        <v>3845</v>
      </c>
      <c r="L379" s="21">
        <v>120</v>
      </c>
      <c r="M379" s="21">
        <v>0.748</v>
      </c>
      <c r="N379" s="21">
        <v>0.748</v>
      </c>
      <c r="O379" s="21">
        <v>2.3599999999999999E-2</v>
      </c>
      <c r="P379" s="21">
        <v>143</v>
      </c>
      <c r="Q379" s="21">
        <v>0.83919999999999995</v>
      </c>
      <c r="R379" s="21">
        <v>126</v>
      </c>
      <c r="S379" s="21">
        <v>108</v>
      </c>
      <c r="T379" s="21">
        <v>9.6600000000000005E-2</v>
      </c>
      <c r="U379" s="21">
        <v>7.3999999999999996E-2</v>
      </c>
      <c r="V379" s="21">
        <v>0.82889999999999997</v>
      </c>
      <c r="AB379" s="21">
        <v>0</v>
      </c>
      <c r="AC379" s="21">
        <v>0</v>
      </c>
      <c r="AD379" s="21">
        <v>0</v>
      </c>
      <c r="AE379" s="21">
        <v>0</v>
      </c>
      <c r="AF379" s="21">
        <v>0</v>
      </c>
      <c r="AG379" s="21">
        <v>0</v>
      </c>
      <c r="AH379" s="21">
        <v>0</v>
      </c>
      <c r="AI379" s="21">
        <v>0</v>
      </c>
      <c r="AJ379" s="21">
        <v>0</v>
      </c>
      <c r="AK379" s="21">
        <v>0</v>
      </c>
      <c r="AL379" s="21">
        <v>0</v>
      </c>
      <c r="AM379" s="21">
        <v>0</v>
      </c>
      <c r="AN379" s="21">
        <v>0</v>
      </c>
      <c r="AP379" s="21">
        <v>0</v>
      </c>
      <c r="AQ379" s="21">
        <v>0</v>
      </c>
      <c r="AS379" s="21">
        <v>0</v>
      </c>
      <c r="AU379" s="21">
        <v>9</v>
      </c>
      <c r="AV379" s="21">
        <v>0</v>
      </c>
    </row>
    <row r="380" spans="1:48" x14ac:dyDescent="0.15">
      <c r="A380" s="20" t="s">
        <v>48</v>
      </c>
      <c r="B380" s="20" t="s">
        <v>88</v>
      </c>
      <c r="C380" s="21">
        <v>0</v>
      </c>
      <c r="D380" s="21">
        <v>4</v>
      </c>
      <c r="E380" s="21">
        <v>28582</v>
      </c>
      <c r="F380" s="21">
        <v>28586</v>
      </c>
      <c r="H380" s="21">
        <v>11440</v>
      </c>
      <c r="I380" s="21">
        <v>6515</v>
      </c>
      <c r="J380" s="21">
        <v>5481</v>
      </c>
      <c r="K380" s="21">
        <v>1312</v>
      </c>
      <c r="L380" s="21">
        <v>290</v>
      </c>
      <c r="M380" s="21">
        <v>0.6946</v>
      </c>
      <c r="N380" s="21">
        <v>0.6946</v>
      </c>
      <c r="O380" s="21">
        <v>1.34E-2</v>
      </c>
      <c r="P380" s="21">
        <v>645</v>
      </c>
      <c r="Q380" s="21">
        <v>0.4481</v>
      </c>
      <c r="R380" s="21">
        <v>100</v>
      </c>
      <c r="S380" s="21">
        <v>44</v>
      </c>
      <c r="T380" s="21">
        <v>8.5099999999999995E-2</v>
      </c>
      <c r="U380" s="21">
        <v>2.3E-2</v>
      </c>
      <c r="V380" s="21">
        <v>0.76739999999999997</v>
      </c>
      <c r="W380" s="21">
        <v>30</v>
      </c>
      <c r="X380" s="21">
        <v>1</v>
      </c>
      <c r="Y380" s="21">
        <v>83</v>
      </c>
      <c r="Z380" s="21">
        <v>0</v>
      </c>
      <c r="AA380" s="21">
        <v>0</v>
      </c>
      <c r="AB380" s="21">
        <v>165</v>
      </c>
      <c r="AC380" s="21">
        <v>165</v>
      </c>
      <c r="AD380" s="21">
        <v>166</v>
      </c>
      <c r="AE380" s="21">
        <v>2</v>
      </c>
      <c r="AF380" s="21">
        <v>1.2E-2</v>
      </c>
      <c r="AG380" s="21">
        <v>0</v>
      </c>
      <c r="AH380" s="21">
        <v>0</v>
      </c>
      <c r="AI380" s="21">
        <v>0</v>
      </c>
      <c r="AJ380" s="21">
        <v>1</v>
      </c>
      <c r="AK380" s="21">
        <v>0</v>
      </c>
      <c r="AL380" s="21">
        <v>0</v>
      </c>
      <c r="AM380" s="21">
        <v>0</v>
      </c>
      <c r="AN380" s="21">
        <v>0</v>
      </c>
      <c r="AP380" s="21">
        <v>137</v>
      </c>
      <c r="AQ380" s="21">
        <v>17</v>
      </c>
      <c r="AR380" s="21">
        <v>16</v>
      </c>
      <c r="AS380" s="21">
        <v>1</v>
      </c>
      <c r="AU380" s="21">
        <v>6</v>
      </c>
      <c r="AV380" s="21">
        <v>13</v>
      </c>
    </row>
    <row r="381" spans="1:48" x14ac:dyDescent="0.15">
      <c r="A381" s="20" t="s">
        <v>50</v>
      </c>
      <c r="B381" s="20" t="s">
        <v>88</v>
      </c>
      <c r="C381" s="21">
        <v>0</v>
      </c>
      <c r="D381" s="21">
        <v>21</v>
      </c>
      <c r="E381" s="21">
        <v>19147</v>
      </c>
      <c r="F381" s="21">
        <v>19168</v>
      </c>
      <c r="G381" s="21">
        <v>778</v>
      </c>
      <c r="H381" s="21">
        <v>16721</v>
      </c>
      <c r="I381" s="21">
        <v>0</v>
      </c>
      <c r="J381" s="21">
        <v>237</v>
      </c>
      <c r="K381" s="21">
        <v>639</v>
      </c>
      <c r="L381" s="21">
        <v>296</v>
      </c>
      <c r="M381" s="21">
        <v>0.73909999999999998</v>
      </c>
      <c r="N381" s="21">
        <v>0.73909999999999998</v>
      </c>
      <c r="O381" s="21">
        <v>2.6800000000000001E-2</v>
      </c>
      <c r="P381" s="21">
        <v>504</v>
      </c>
      <c r="Q381" s="21">
        <v>0.60519999999999996</v>
      </c>
      <c r="R381" s="21">
        <v>65</v>
      </c>
      <c r="S381" s="21">
        <v>38</v>
      </c>
      <c r="T381" s="21">
        <v>0.13339999999999999</v>
      </c>
      <c r="U381" s="21">
        <v>3.1600000000000003E-2</v>
      </c>
      <c r="V381" s="21">
        <v>1</v>
      </c>
      <c r="W381" s="21">
        <v>27</v>
      </c>
      <c r="X381" s="21">
        <v>0</v>
      </c>
      <c r="Y381" s="21">
        <v>57</v>
      </c>
      <c r="Z381" s="21">
        <v>0</v>
      </c>
      <c r="AA381" s="21">
        <v>0</v>
      </c>
      <c r="AB381" s="21">
        <v>157</v>
      </c>
      <c r="AC381" s="21">
        <v>157</v>
      </c>
      <c r="AD381" s="21">
        <v>160</v>
      </c>
      <c r="AE381" s="21">
        <v>3</v>
      </c>
      <c r="AF381" s="21">
        <v>1.8499999999999999E-2</v>
      </c>
      <c r="AG381" s="21">
        <v>0</v>
      </c>
      <c r="AH381" s="21">
        <v>0</v>
      </c>
      <c r="AI381" s="21">
        <v>0</v>
      </c>
      <c r="AJ381" s="21">
        <v>1</v>
      </c>
      <c r="AK381" s="21">
        <v>0</v>
      </c>
      <c r="AL381" s="21">
        <v>0</v>
      </c>
      <c r="AM381" s="21">
        <v>0</v>
      </c>
      <c r="AN381" s="21">
        <v>0</v>
      </c>
      <c r="AP381" s="21">
        <v>361</v>
      </c>
      <c r="AQ381" s="21">
        <v>52</v>
      </c>
      <c r="AR381" s="21">
        <v>51</v>
      </c>
      <c r="AS381" s="21">
        <v>1</v>
      </c>
      <c r="AU381" s="21">
        <v>5</v>
      </c>
      <c r="AV381" s="21">
        <v>0</v>
      </c>
    </row>
    <row r="382" spans="1:48" x14ac:dyDescent="0.15">
      <c r="A382" s="20" t="s">
        <v>51</v>
      </c>
      <c r="B382" s="20" t="s">
        <v>88</v>
      </c>
      <c r="C382" s="21">
        <v>0</v>
      </c>
      <c r="D382" s="21">
        <v>90</v>
      </c>
      <c r="E382" s="21">
        <v>72803</v>
      </c>
      <c r="F382" s="21">
        <v>72893</v>
      </c>
      <c r="G382" s="21">
        <v>1612</v>
      </c>
      <c r="H382" s="21">
        <v>20113</v>
      </c>
      <c r="I382" s="21">
        <v>19557</v>
      </c>
      <c r="J382" s="21">
        <v>13665</v>
      </c>
      <c r="K382" s="21">
        <v>17557</v>
      </c>
      <c r="L382" s="21">
        <v>1110</v>
      </c>
      <c r="M382" s="21">
        <v>0.72109999999999996</v>
      </c>
      <c r="N382" s="21">
        <v>0.71850000000000003</v>
      </c>
      <c r="O382" s="21">
        <v>8.1699999999999995E-2</v>
      </c>
      <c r="P382" s="21">
        <v>2142</v>
      </c>
      <c r="Q382" s="21">
        <v>0.58220000000000005</v>
      </c>
      <c r="R382" s="21">
        <v>68</v>
      </c>
      <c r="S382" s="21">
        <v>34</v>
      </c>
      <c r="T382" s="21">
        <v>0.1278</v>
      </c>
      <c r="U382" s="21">
        <v>4.7199999999999999E-2</v>
      </c>
      <c r="V382" s="21">
        <v>0.69789999999999996</v>
      </c>
      <c r="AB382" s="21">
        <v>0</v>
      </c>
      <c r="AC382" s="21">
        <v>0</v>
      </c>
      <c r="AD382" s="21">
        <v>0</v>
      </c>
      <c r="AE382" s="21">
        <v>0</v>
      </c>
      <c r="AF382" s="21">
        <v>0</v>
      </c>
      <c r="AG382" s="21">
        <v>0</v>
      </c>
      <c r="AH382" s="21">
        <v>0</v>
      </c>
      <c r="AI382" s="21">
        <v>0</v>
      </c>
      <c r="AJ382" s="21">
        <v>0</v>
      </c>
      <c r="AK382" s="21">
        <v>0</v>
      </c>
      <c r="AL382" s="21">
        <v>0</v>
      </c>
      <c r="AM382" s="21">
        <v>0</v>
      </c>
      <c r="AN382" s="21">
        <v>0</v>
      </c>
      <c r="AP382" s="21">
        <v>0</v>
      </c>
      <c r="AQ382" s="21">
        <v>0</v>
      </c>
      <c r="AT382" s="21">
        <v>0</v>
      </c>
      <c r="AU382" s="21">
        <v>22</v>
      </c>
      <c r="AV382" s="21">
        <v>0</v>
      </c>
    </row>
    <row r="383" spans="1:48" x14ac:dyDescent="0.15">
      <c r="A383" s="20" t="s">
        <v>52</v>
      </c>
      <c r="B383" s="20" t="s">
        <v>88</v>
      </c>
      <c r="C383" s="21">
        <v>0</v>
      </c>
      <c r="D383" s="21">
        <v>78</v>
      </c>
      <c r="E383" s="21">
        <v>59378</v>
      </c>
      <c r="F383" s="21">
        <v>59456</v>
      </c>
      <c r="G383" s="21">
        <v>8767</v>
      </c>
      <c r="H383" s="21">
        <v>13501</v>
      </c>
      <c r="I383" s="21">
        <v>7838</v>
      </c>
      <c r="J383" s="21">
        <v>17454</v>
      </c>
      <c r="K383" s="21">
        <v>5502</v>
      </c>
      <c r="L383" s="21">
        <v>441</v>
      </c>
      <c r="M383" s="21">
        <v>0.77310000000000001</v>
      </c>
      <c r="N383" s="21">
        <v>0.76649999999999996</v>
      </c>
      <c r="O383" s="21">
        <v>9.2499999999999999E-2</v>
      </c>
      <c r="P383" s="21">
        <v>936</v>
      </c>
      <c r="Q383" s="21">
        <v>0.59509999999999996</v>
      </c>
      <c r="R383" s="21">
        <v>134</v>
      </c>
      <c r="S383" s="21">
        <v>64</v>
      </c>
      <c r="T383" s="21">
        <v>8.3299999999999999E-2</v>
      </c>
      <c r="U383" s="21">
        <v>3.78E-2</v>
      </c>
      <c r="V383" s="21">
        <v>0.81430000000000002</v>
      </c>
      <c r="W383" s="21">
        <v>58</v>
      </c>
      <c r="X383" s="21">
        <v>0</v>
      </c>
      <c r="Y383" s="21">
        <v>120</v>
      </c>
      <c r="Z383" s="21">
        <v>0</v>
      </c>
      <c r="AA383" s="21">
        <v>0</v>
      </c>
      <c r="AB383" s="21">
        <v>130</v>
      </c>
      <c r="AC383" s="21">
        <v>130</v>
      </c>
      <c r="AD383" s="21">
        <v>130</v>
      </c>
      <c r="AE383" s="21">
        <v>1</v>
      </c>
      <c r="AF383" s="21">
        <v>7.7000000000000002E-3</v>
      </c>
      <c r="AG383" s="21">
        <v>0</v>
      </c>
      <c r="AH383" s="21">
        <v>0</v>
      </c>
      <c r="AI383" s="21">
        <v>0</v>
      </c>
      <c r="AJ383" s="21">
        <v>1</v>
      </c>
      <c r="AK383" s="21">
        <v>0</v>
      </c>
      <c r="AL383" s="21">
        <v>0</v>
      </c>
      <c r="AM383" s="21">
        <v>0</v>
      </c>
      <c r="AN383" s="21">
        <v>0</v>
      </c>
      <c r="AP383" s="21">
        <v>262</v>
      </c>
      <c r="AQ383" s="21">
        <v>113</v>
      </c>
      <c r="AR383" s="21">
        <v>105</v>
      </c>
      <c r="AS383" s="21">
        <v>8</v>
      </c>
      <c r="AT383" s="21">
        <v>0</v>
      </c>
      <c r="AU383" s="21">
        <v>33</v>
      </c>
      <c r="AV383" s="21">
        <v>1</v>
      </c>
    </row>
    <row r="384" spans="1:48" x14ac:dyDescent="0.15">
      <c r="A384" s="20" t="s">
        <v>53</v>
      </c>
      <c r="B384" s="20" t="s">
        <v>88</v>
      </c>
      <c r="C384" s="21">
        <v>0</v>
      </c>
      <c r="D384" s="21">
        <v>0</v>
      </c>
      <c r="E384" s="21">
        <v>0</v>
      </c>
      <c r="F384" s="21">
        <v>0</v>
      </c>
      <c r="AB384" s="21">
        <v>0</v>
      </c>
      <c r="AC384" s="21">
        <v>0</v>
      </c>
      <c r="AD384" s="21">
        <v>0</v>
      </c>
      <c r="AE384" s="21">
        <v>0</v>
      </c>
      <c r="AF384" s="21">
        <v>0</v>
      </c>
      <c r="AG384" s="21">
        <v>0</v>
      </c>
      <c r="AH384" s="21">
        <v>0</v>
      </c>
      <c r="AI384" s="21">
        <v>0</v>
      </c>
      <c r="AJ384" s="21">
        <v>0</v>
      </c>
      <c r="AK384" s="21">
        <v>0</v>
      </c>
      <c r="AL384" s="21">
        <v>0</v>
      </c>
      <c r="AM384" s="21">
        <v>0</v>
      </c>
      <c r="AN384" s="21">
        <v>0</v>
      </c>
    </row>
    <row r="385" spans="1:48" x14ac:dyDescent="0.15">
      <c r="A385" s="20" t="s">
        <v>0</v>
      </c>
      <c r="B385" s="20" t="s">
        <v>88</v>
      </c>
      <c r="C385" s="21">
        <v>0</v>
      </c>
      <c r="D385" s="21">
        <v>344</v>
      </c>
      <c r="E385" s="21">
        <v>304918</v>
      </c>
      <c r="F385" s="21">
        <v>305262</v>
      </c>
      <c r="G385" s="21">
        <v>31762</v>
      </c>
      <c r="H385" s="21">
        <v>84944</v>
      </c>
      <c r="I385" s="21">
        <v>68562</v>
      </c>
      <c r="J385" s="21">
        <v>66124</v>
      </c>
      <c r="K385" s="21">
        <v>27088</v>
      </c>
      <c r="L385" s="21">
        <v>2859</v>
      </c>
      <c r="M385" s="21">
        <v>0.72219999999999995</v>
      </c>
      <c r="N385" s="21">
        <v>0.71909999999999996</v>
      </c>
      <c r="O385" s="21">
        <v>6.9099999999999995E-2</v>
      </c>
      <c r="P385" s="21">
        <v>5181</v>
      </c>
      <c r="Q385" s="21">
        <v>0.59060000000000001</v>
      </c>
      <c r="R385" s="21">
        <v>108</v>
      </c>
      <c r="S385" s="21">
        <v>59</v>
      </c>
      <c r="T385" s="21">
        <v>9.2999999999999999E-2</v>
      </c>
      <c r="U385" s="21">
        <v>3.7400000000000003E-2</v>
      </c>
      <c r="V385" s="21">
        <v>0.72650000000000003</v>
      </c>
      <c r="W385" s="21">
        <v>170</v>
      </c>
      <c r="X385" s="21">
        <v>2</v>
      </c>
      <c r="Y385" s="21">
        <v>393</v>
      </c>
      <c r="Z385" s="21">
        <v>0</v>
      </c>
      <c r="AA385" s="21">
        <v>0</v>
      </c>
      <c r="AB385" s="21">
        <v>791</v>
      </c>
      <c r="AC385" s="21">
        <v>791</v>
      </c>
      <c r="AD385" s="21">
        <v>808</v>
      </c>
      <c r="AE385" s="21">
        <v>12</v>
      </c>
      <c r="AF385" s="21">
        <v>1.4500000000000001E-2</v>
      </c>
      <c r="AG385" s="21">
        <v>0</v>
      </c>
      <c r="AH385" s="21">
        <v>0</v>
      </c>
      <c r="AI385" s="21">
        <v>0</v>
      </c>
      <c r="AJ385" s="21">
        <v>0.79169999999999996</v>
      </c>
      <c r="AK385" s="21">
        <v>0</v>
      </c>
      <c r="AL385" s="21">
        <v>0</v>
      </c>
      <c r="AM385" s="21">
        <v>0</v>
      </c>
      <c r="AN385" s="21">
        <v>0</v>
      </c>
      <c r="AP385" s="21">
        <v>5067</v>
      </c>
      <c r="AQ385" s="21">
        <v>370</v>
      </c>
      <c r="AR385" s="21">
        <v>342</v>
      </c>
      <c r="AS385" s="21">
        <v>27</v>
      </c>
      <c r="AT385" s="21">
        <v>0</v>
      </c>
      <c r="AU385" s="21">
        <v>259</v>
      </c>
      <c r="AV385" s="21">
        <v>14</v>
      </c>
    </row>
    <row r="386" spans="1:48" x14ac:dyDescent="0.15">
      <c r="A386" s="20" t="s">
        <v>54</v>
      </c>
      <c r="B386" s="20" t="s">
        <v>88</v>
      </c>
      <c r="C386" s="21">
        <v>0</v>
      </c>
      <c r="D386" s="21">
        <v>0</v>
      </c>
      <c r="E386" s="21">
        <v>0</v>
      </c>
      <c r="F386" s="21">
        <v>0</v>
      </c>
      <c r="AB386" s="21">
        <v>0</v>
      </c>
      <c r="AC386" s="21">
        <v>0</v>
      </c>
      <c r="AD386" s="21">
        <v>0</v>
      </c>
      <c r="AE386" s="21">
        <v>0</v>
      </c>
      <c r="AF386" s="21">
        <v>0</v>
      </c>
      <c r="AG386" s="21">
        <v>0</v>
      </c>
      <c r="AH386" s="21">
        <v>0</v>
      </c>
      <c r="AI386" s="21">
        <v>0</v>
      </c>
      <c r="AJ386" s="21">
        <v>0</v>
      </c>
      <c r="AK386" s="21">
        <v>0</v>
      </c>
      <c r="AL386" s="21">
        <v>0</v>
      </c>
      <c r="AM386" s="21">
        <v>0</v>
      </c>
      <c r="AN386" s="21">
        <v>0</v>
      </c>
      <c r="AV386" s="21">
        <v>0</v>
      </c>
    </row>
    <row r="387" spans="1:48" x14ac:dyDescent="0.15">
      <c r="A387" s="20" t="s">
        <v>55</v>
      </c>
      <c r="B387" s="20" t="s">
        <v>88</v>
      </c>
      <c r="C387" s="21">
        <v>0</v>
      </c>
      <c r="D387" s="21">
        <v>0</v>
      </c>
      <c r="E387" s="21">
        <v>0</v>
      </c>
      <c r="F387" s="21">
        <v>0</v>
      </c>
      <c r="AB387" s="21">
        <v>0</v>
      </c>
      <c r="AC387" s="21">
        <v>0</v>
      </c>
      <c r="AD387" s="21">
        <v>0</v>
      </c>
      <c r="AE387" s="21">
        <v>0</v>
      </c>
      <c r="AF387" s="21">
        <v>0</v>
      </c>
      <c r="AG387" s="21">
        <v>0</v>
      </c>
      <c r="AH387" s="21">
        <v>0</v>
      </c>
      <c r="AI387" s="21">
        <v>0</v>
      </c>
      <c r="AJ387" s="21">
        <v>0</v>
      </c>
      <c r="AK387" s="21">
        <v>0</v>
      </c>
      <c r="AL387" s="21">
        <v>0</v>
      </c>
      <c r="AM387" s="21">
        <v>0</v>
      </c>
      <c r="AN387" s="21">
        <v>0</v>
      </c>
    </row>
    <row r="388" spans="1:48" x14ac:dyDescent="0.15">
      <c r="A388" s="20" t="s">
        <v>56</v>
      </c>
      <c r="B388" s="20" t="s">
        <v>88</v>
      </c>
      <c r="C388" s="21">
        <v>0</v>
      </c>
      <c r="D388" s="21">
        <v>0</v>
      </c>
      <c r="E388" s="21">
        <v>0</v>
      </c>
      <c r="F388" s="21">
        <v>0</v>
      </c>
      <c r="H388" s="21">
        <v>0</v>
      </c>
      <c r="L388" s="21">
        <v>34</v>
      </c>
      <c r="M388" s="21">
        <v>0</v>
      </c>
      <c r="N388" s="21">
        <v>0</v>
      </c>
      <c r="O388" s="21">
        <v>0</v>
      </c>
      <c r="P388" s="21">
        <v>15</v>
      </c>
      <c r="Q388" s="21">
        <v>0</v>
      </c>
      <c r="R388" s="21">
        <v>0</v>
      </c>
      <c r="S388" s="21">
        <v>0</v>
      </c>
      <c r="T388" s="21">
        <v>1</v>
      </c>
      <c r="AB388" s="21">
        <v>0</v>
      </c>
      <c r="AC388" s="21">
        <v>0</v>
      </c>
      <c r="AD388" s="21">
        <v>0</v>
      </c>
      <c r="AE388" s="21">
        <v>0</v>
      </c>
      <c r="AF388" s="21">
        <v>0</v>
      </c>
      <c r="AG388" s="21">
        <v>0</v>
      </c>
      <c r="AH388" s="21">
        <v>0</v>
      </c>
      <c r="AI388" s="21">
        <v>0</v>
      </c>
      <c r="AJ388" s="21">
        <v>0</v>
      </c>
      <c r="AK388" s="21">
        <v>0</v>
      </c>
      <c r="AL388" s="21">
        <v>0</v>
      </c>
      <c r="AM388" s="21">
        <v>0</v>
      </c>
      <c r="AN388" s="21">
        <v>0</v>
      </c>
      <c r="AP388" s="21">
        <v>3836</v>
      </c>
      <c r="AQ388" s="21">
        <v>10</v>
      </c>
      <c r="AR388" s="21">
        <v>6</v>
      </c>
      <c r="AS388" s="21">
        <v>3</v>
      </c>
      <c r="AU388" s="21">
        <v>0</v>
      </c>
      <c r="AV388" s="21">
        <v>0</v>
      </c>
    </row>
    <row r="389" spans="1:48" x14ac:dyDescent="0.15">
      <c r="A389" s="20" t="s">
        <v>57</v>
      </c>
      <c r="B389" s="20" t="s">
        <v>88</v>
      </c>
      <c r="C389" s="21">
        <v>0</v>
      </c>
      <c r="D389" s="21">
        <v>126</v>
      </c>
      <c r="E389" s="21">
        <v>79321</v>
      </c>
      <c r="F389" s="21">
        <v>79447</v>
      </c>
      <c r="G389" s="21">
        <v>16730</v>
      </c>
      <c r="H389" s="21">
        <v>15284</v>
      </c>
      <c r="I389" s="21">
        <v>15589</v>
      </c>
      <c r="J389" s="21">
        <v>15437</v>
      </c>
      <c r="K389" s="21">
        <v>1040</v>
      </c>
      <c r="L389" s="21">
        <v>384</v>
      </c>
      <c r="M389" s="21">
        <v>0.73029999999999995</v>
      </c>
      <c r="N389" s="21">
        <v>0.72260000000000002</v>
      </c>
      <c r="O389" s="21">
        <v>6.1100000000000002E-2</v>
      </c>
      <c r="P389" s="21">
        <v>501</v>
      </c>
      <c r="Q389" s="21">
        <v>0.71860000000000002</v>
      </c>
      <c r="R389" s="21">
        <v>209</v>
      </c>
      <c r="S389" s="21">
        <v>159</v>
      </c>
      <c r="T389" s="21">
        <v>6.1400000000000003E-2</v>
      </c>
      <c r="U389" s="21">
        <v>2.5999999999999999E-2</v>
      </c>
      <c r="V389" s="21">
        <v>0.69769999999999999</v>
      </c>
      <c r="W389" s="21">
        <v>56</v>
      </c>
      <c r="X389" s="21">
        <v>1</v>
      </c>
      <c r="Y389" s="21">
        <v>133</v>
      </c>
      <c r="Z389" s="21">
        <v>0</v>
      </c>
      <c r="AA389" s="21">
        <v>0</v>
      </c>
      <c r="AB389" s="21">
        <v>339</v>
      </c>
      <c r="AC389" s="21">
        <v>339</v>
      </c>
      <c r="AD389" s="21">
        <v>354</v>
      </c>
      <c r="AE389" s="21">
        <v>6</v>
      </c>
      <c r="AF389" s="21">
        <v>1.6299999999999999E-2</v>
      </c>
      <c r="AG389" s="21">
        <v>0</v>
      </c>
      <c r="AH389" s="21">
        <v>0</v>
      </c>
      <c r="AI389" s="21">
        <v>0</v>
      </c>
      <c r="AJ389" s="21">
        <v>0.70589999999999997</v>
      </c>
      <c r="AK389" s="21">
        <v>0</v>
      </c>
      <c r="AL389" s="21">
        <v>0</v>
      </c>
      <c r="AM389" s="21">
        <v>0</v>
      </c>
      <c r="AN389" s="21">
        <v>0</v>
      </c>
      <c r="AP389" s="21">
        <v>471</v>
      </c>
      <c r="AQ389" s="21">
        <v>178</v>
      </c>
      <c r="AR389" s="21">
        <v>164</v>
      </c>
      <c r="AS389" s="21">
        <v>14</v>
      </c>
      <c r="AU389" s="21">
        <v>170</v>
      </c>
      <c r="AV389" s="21">
        <v>0</v>
      </c>
    </row>
    <row r="390" spans="1:48" x14ac:dyDescent="0.15">
      <c r="A390" s="20" t="s">
        <v>58</v>
      </c>
      <c r="B390" s="20" t="s">
        <v>88</v>
      </c>
      <c r="C390" s="21">
        <v>0</v>
      </c>
      <c r="D390" s="21">
        <v>0</v>
      </c>
      <c r="E390" s="21">
        <v>0</v>
      </c>
      <c r="F390" s="21">
        <v>0</v>
      </c>
      <c r="AB390" s="21">
        <v>0</v>
      </c>
      <c r="AC390" s="21">
        <v>0</v>
      </c>
      <c r="AD390" s="21">
        <v>0</v>
      </c>
      <c r="AE390" s="21">
        <v>0</v>
      </c>
      <c r="AF390" s="21">
        <v>0</v>
      </c>
      <c r="AG390" s="21">
        <v>0</v>
      </c>
      <c r="AH390" s="21">
        <v>0</v>
      </c>
      <c r="AI390" s="21">
        <v>0</v>
      </c>
      <c r="AJ390" s="21">
        <v>0</v>
      </c>
      <c r="AK390" s="21">
        <v>0</v>
      </c>
      <c r="AL390" s="21">
        <v>0</v>
      </c>
      <c r="AM390" s="21">
        <v>0</v>
      </c>
      <c r="AN390" s="21">
        <v>0</v>
      </c>
      <c r="AV390" s="21">
        <v>0</v>
      </c>
    </row>
    <row r="391" spans="1:48" x14ac:dyDescent="0.15">
      <c r="A391" s="20" t="s">
        <v>59</v>
      </c>
      <c r="B391" s="20" t="s">
        <v>88</v>
      </c>
      <c r="C391" s="21">
        <v>0</v>
      </c>
      <c r="D391" s="21">
        <v>0</v>
      </c>
      <c r="E391" s="21">
        <v>0</v>
      </c>
      <c r="F391" s="21">
        <v>0</v>
      </c>
      <c r="AB391" s="21">
        <v>0</v>
      </c>
      <c r="AC391" s="21">
        <v>0</v>
      </c>
      <c r="AD391" s="21">
        <v>0</v>
      </c>
      <c r="AE391" s="21">
        <v>0</v>
      </c>
      <c r="AF391" s="21">
        <v>0</v>
      </c>
      <c r="AG391" s="21">
        <v>0</v>
      </c>
      <c r="AH391" s="21">
        <v>0</v>
      </c>
      <c r="AI391" s="21">
        <v>0</v>
      </c>
      <c r="AJ391" s="21">
        <v>0</v>
      </c>
      <c r="AK391" s="21">
        <v>0</v>
      </c>
      <c r="AL391" s="21">
        <v>0</v>
      </c>
      <c r="AM391" s="21">
        <v>0</v>
      </c>
      <c r="AN391" s="21">
        <v>0</v>
      </c>
    </row>
    <row r="392" spans="1:48" x14ac:dyDescent="0.15">
      <c r="A392" s="20" t="s">
        <v>60</v>
      </c>
      <c r="B392" s="20" t="s">
        <v>88</v>
      </c>
      <c r="C392" s="21">
        <v>0</v>
      </c>
      <c r="D392" s="21">
        <v>14</v>
      </c>
      <c r="E392" s="21">
        <v>28408</v>
      </c>
      <c r="F392" s="21">
        <v>28423</v>
      </c>
      <c r="G392" s="21">
        <v>2375</v>
      </c>
      <c r="H392" s="21">
        <v>5550</v>
      </c>
      <c r="I392" s="21">
        <v>12507</v>
      </c>
      <c r="J392" s="21">
        <v>6952</v>
      </c>
      <c r="K392" s="21">
        <v>1038</v>
      </c>
      <c r="L392" s="21">
        <v>185</v>
      </c>
      <c r="M392" s="21">
        <v>0.70469999999999999</v>
      </c>
      <c r="N392" s="21">
        <v>0.70469999999999999</v>
      </c>
      <c r="O392" s="21">
        <v>0.1192</v>
      </c>
      <c r="P392" s="21">
        <v>283</v>
      </c>
      <c r="Q392" s="21">
        <v>0.61129999999999995</v>
      </c>
      <c r="R392" s="21">
        <v>152</v>
      </c>
      <c r="S392" s="21">
        <v>100</v>
      </c>
      <c r="T392" s="21">
        <v>9.0300000000000005E-2</v>
      </c>
      <c r="U392" s="21">
        <v>5.1799999999999999E-2</v>
      </c>
      <c r="V392" s="21">
        <v>1</v>
      </c>
      <c r="AB392" s="21">
        <v>0</v>
      </c>
      <c r="AC392" s="21">
        <v>0</v>
      </c>
      <c r="AD392" s="21">
        <v>0</v>
      </c>
      <c r="AE392" s="21">
        <v>0</v>
      </c>
      <c r="AF392" s="21">
        <v>0</v>
      </c>
      <c r="AG392" s="21">
        <v>0</v>
      </c>
      <c r="AH392" s="21">
        <v>0</v>
      </c>
      <c r="AI392" s="21">
        <v>0</v>
      </c>
      <c r="AJ392" s="21">
        <v>0</v>
      </c>
      <c r="AK392" s="21">
        <v>0</v>
      </c>
      <c r="AL392" s="21">
        <v>0</v>
      </c>
      <c r="AM392" s="21">
        <v>0</v>
      </c>
      <c r="AN392" s="21">
        <v>0</v>
      </c>
      <c r="AU392" s="21">
        <v>6</v>
      </c>
      <c r="AV392" s="21">
        <v>0</v>
      </c>
    </row>
    <row r="393" spans="1:48" x14ac:dyDescent="0.15">
      <c r="A393" s="20" t="s">
        <v>61</v>
      </c>
      <c r="B393" s="20" t="s">
        <v>88</v>
      </c>
      <c r="C393" s="21">
        <v>0</v>
      </c>
      <c r="D393" s="21">
        <v>10</v>
      </c>
      <c r="E393" s="21">
        <v>17279</v>
      </c>
      <c r="F393" s="21">
        <v>17289</v>
      </c>
      <c r="G393" s="21">
        <v>1500</v>
      </c>
      <c r="H393" s="21">
        <v>2335</v>
      </c>
      <c r="I393" s="21">
        <v>6555</v>
      </c>
      <c r="J393" s="21">
        <v>6898</v>
      </c>
      <c r="L393" s="21">
        <v>119</v>
      </c>
      <c r="M393" s="21">
        <v>0.77600000000000002</v>
      </c>
      <c r="N393" s="21">
        <v>0.77600000000000002</v>
      </c>
      <c r="O393" s="21">
        <v>7.1999999999999995E-2</v>
      </c>
      <c r="P393" s="21">
        <v>155</v>
      </c>
      <c r="Q393" s="21">
        <v>0.83230000000000004</v>
      </c>
      <c r="R393" s="21">
        <v>145</v>
      </c>
      <c r="S393" s="21">
        <v>112</v>
      </c>
      <c r="T393" s="21">
        <v>8.4599999999999995E-2</v>
      </c>
      <c r="U393" s="21">
        <v>8.7300000000000003E-2</v>
      </c>
      <c r="V393" s="21">
        <v>0.73860000000000003</v>
      </c>
      <c r="AB393" s="21">
        <v>0</v>
      </c>
      <c r="AC393" s="21">
        <v>0</v>
      </c>
      <c r="AD393" s="21">
        <v>0</v>
      </c>
      <c r="AE393" s="21">
        <v>0</v>
      </c>
      <c r="AF393" s="21">
        <v>0</v>
      </c>
      <c r="AG393" s="21">
        <v>0</v>
      </c>
      <c r="AH393" s="21">
        <v>0</v>
      </c>
      <c r="AI393" s="21">
        <v>0</v>
      </c>
      <c r="AJ393" s="21">
        <v>0</v>
      </c>
      <c r="AK393" s="21">
        <v>0</v>
      </c>
      <c r="AL393" s="21">
        <v>0</v>
      </c>
      <c r="AM393" s="21">
        <v>0</v>
      </c>
      <c r="AN393" s="21">
        <v>0</v>
      </c>
      <c r="AP393" s="21">
        <v>0</v>
      </c>
      <c r="AQ393" s="21">
        <v>0</v>
      </c>
      <c r="AS393" s="21">
        <v>0</v>
      </c>
      <c r="AU393" s="21">
        <v>17</v>
      </c>
      <c r="AV393" s="21">
        <v>0</v>
      </c>
    </row>
    <row r="394" spans="1:48" x14ac:dyDescent="0.15">
      <c r="A394" s="20" t="s">
        <v>48</v>
      </c>
      <c r="B394" s="20" t="s">
        <v>89</v>
      </c>
      <c r="C394" s="21">
        <v>0</v>
      </c>
      <c r="D394" s="21">
        <v>262</v>
      </c>
      <c r="E394" s="21">
        <v>22670</v>
      </c>
      <c r="F394" s="21">
        <v>22932</v>
      </c>
      <c r="H394" s="21">
        <v>10605</v>
      </c>
      <c r="I394" s="21">
        <v>4854</v>
      </c>
      <c r="J394" s="21">
        <v>3674</v>
      </c>
      <c r="K394" s="21">
        <v>1211</v>
      </c>
      <c r="L394" s="21">
        <v>284</v>
      </c>
      <c r="M394" s="21">
        <v>0.88929999999999998</v>
      </c>
      <c r="N394" s="21">
        <v>0.73150000000000004</v>
      </c>
      <c r="O394" s="21">
        <v>0.78859999999999997</v>
      </c>
      <c r="P394" s="21">
        <v>645</v>
      </c>
      <c r="Q394" s="21">
        <v>0.48220000000000002</v>
      </c>
      <c r="R394" s="21">
        <v>80</v>
      </c>
      <c r="S394" s="21">
        <v>36</v>
      </c>
      <c r="T394" s="21">
        <v>0.1094</v>
      </c>
      <c r="U394" s="21">
        <v>2.35E-2</v>
      </c>
      <c r="V394" s="21">
        <v>0.3478</v>
      </c>
      <c r="W394" s="21">
        <v>19</v>
      </c>
      <c r="X394" s="21">
        <v>5</v>
      </c>
      <c r="Y394" s="21">
        <v>54</v>
      </c>
      <c r="Z394" s="21">
        <v>0</v>
      </c>
      <c r="AA394" s="21">
        <v>0.1</v>
      </c>
      <c r="AB394" s="21">
        <v>108</v>
      </c>
      <c r="AC394" s="21">
        <v>108</v>
      </c>
      <c r="AD394" s="21">
        <v>136</v>
      </c>
      <c r="AE394" s="21">
        <v>1</v>
      </c>
      <c r="AF394" s="21">
        <v>6.1000000000000004E-3</v>
      </c>
      <c r="AG394" s="21">
        <v>0</v>
      </c>
      <c r="AH394" s="21">
        <v>0</v>
      </c>
      <c r="AI394" s="21">
        <v>0</v>
      </c>
      <c r="AJ394" s="21">
        <v>0.7097</v>
      </c>
      <c r="AK394" s="21">
        <v>0</v>
      </c>
      <c r="AL394" s="21">
        <v>0</v>
      </c>
      <c r="AM394" s="21">
        <v>0</v>
      </c>
      <c r="AN394" s="21">
        <v>0</v>
      </c>
      <c r="AP394" s="21">
        <v>23</v>
      </c>
      <c r="AQ394" s="21">
        <v>6</v>
      </c>
      <c r="AR394" s="21">
        <v>4</v>
      </c>
      <c r="AS394" s="21">
        <v>3</v>
      </c>
      <c r="AU394" s="21">
        <v>4</v>
      </c>
      <c r="AV394" s="21">
        <v>3</v>
      </c>
    </row>
    <row r="395" spans="1:48" x14ac:dyDescent="0.15">
      <c r="A395" s="20" t="s">
        <v>50</v>
      </c>
      <c r="B395" s="20" t="s">
        <v>89</v>
      </c>
      <c r="C395" s="21">
        <v>0</v>
      </c>
      <c r="D395" s="21">
        <v>305</v>
      </c>
      <c r="E395" s="21">
        <v>17972</v>
      </c>
      <c r="F395" s="21">
        <v>18277</v>
      </c>
      <c r="G395" s="21">
        <v>919</v>
      </c>
      <c r="H395" s="21">
        <v>15608</v>
      </c>
      <c r="I395" s="21">
        <v>0</v>
      </c>
      <c r="J395" s="21">
        <v>443</v>
      </c>
      <c r="K395" s="21">
        <v>405</v>
      </c>
      <c r="L395" s="21">
        <v>289</v>
      </c>
      <c r="M395" s="21">
        <v>0.72089999999999999</v>
      </c>
      <c r="N395" s="21">
        <v>0.69440000000000002</v>
      </c>
      <c r="O395" s="21">
        <v>0.45179999999999998</v>
      </c>
      <c r="P395" s="21">
        <v>516</v>
      </c>
      <c r="Q395" s="21">
        <v>0.56979999999999997</v>
      </c>
      <c r="R395" s="21">
        <v>62</v>
      </c>
      <c r="S395" s="21">
        <v>35</v>
      </c>
      <c r="T395" s="21">
        <v>0.10440000000000001</v>
      </c>
      <c r="U395" s="21">
        <v>3.27E-2</v>
      </c>
      <c r="V395" s="21">
        <v>0.4113</v>
      </c>
      <c r="W395" s="21">
        <v>53</v>
      </c>
      <c r="X395" s="21">
        <v>23</v>
      </c>
      <c r="Y395" s="21">
        <v>51</v>
      </c>
      <c r="Z395" s="21">
        <v>0.2</v>
      </c>
      <c r="AA395" s="21">
        <v>0.5</v>
      </c>
      <c r="AB395" s="21">
        <v>96</v>
      </c>
      <c r="AC395" s="21">
        <v>96</v>
      </c>
      <c r="AD395" s="21">
        <v>126</v>
      </c>
      <c r="AE395" s="21">
        <v>0</v>
      </c>
      <c r="AF395" s="21">
        <v>0</v>
      </c>
      <c r="AG395" s="21">
        <v>0</v>
      </c>
      <c r="AH395" s="21">
        <v>0</v>
      </c>
      <c r="AI395" s="21">
        <v>0</v>
      </c>
      <c r="AJ395" s="21">
        <v>0.8125</v>
      </c>
      <c r="AK395" s="21">
        <v>0</v>
      </c>
      <c r="AL395" s="21">
        <v>0</v>
      </c>
      <c r="AM395" s="21">
        <v>0</v>
      </c>
      <c r="AN395" s="21">
        <v>0</v>
      </c>
      <c r="AP395" s="21">
        <v>75</v>
      </c>
      <c r="AQ395" s="21">
        <v>75</v>
      </c>
      <c r="AR395" s="21">
        <v>74</v>
      </c>
      <c r="AS395" s="21">
        <v>2</v>
      </c>
      <c r="AU395" s="21">
        <v>7</v>
      </c>
      <c r="AV395" s="21">
        <v>0</v>
      </c>
    </row>
    <row r="396" spans="1:48" x14ac:dyDescent="0.15">
      <c r="A396" s="20" t="s">
        <v>51</v>
      </c>
      <c r="B396" s="20" t="s">
        <v>89</v>
      </c>
      <c r="C396" s="21">
        <v>0</v>
      </c>
      <c r="D396" s="21">
        <v>712</v>
      </c>
      <c r="E396" s="21">
        <v>57082</v>
      </c>
      <c r="F396" s="21">
        <v>57794</v>
      </c>
      <c r="G396" s="21">
        <v>970</v>
      </c>
      <c r="H396" s="21">
        <v>17954</v>
      </c>
      <c r="I396" s="21">
        <v>13600</v>
      </c>
      <c r="J396" s="21">
        <v>11786</v>
      </c>
      <c r="K396" s="21">
        <v>12664</v>
      </c>
      <c r="L396" s="21">
        <v>1152</v>
      </c>
      <c r="M396" s="21">
        <v>0.73319999999999996</v>
      </c>
      <c r="N396" s="21">
        <v>0.7117</v>
      </c>
      <c r="O396" s="21">
        <v>0.39850000000000002</v>
      </c>
      <c r="P396" s="21">
        <v>2207</v>
      </c>
      <c r="Q396" s="21">
        <v>0.5736</v>
      </c>
      <c r="R396" s="21">
        <v>51</v>
      </c>
      <c r="S396" s="21">
        <v>26</v>
      </c>
      <c r="T396" s="21">
        <v>0.14030000000000001</v>
      </c>
      <c r="U396" s="21">
        <v>5.0799999999999998E-2</v>
      </c>
      <c r="V396" s="21">
        <v>0.66269999999999996</v>
      </c>
      <c r="AB396" s="21">
        <v>0</v>
      </c>
      <c r="AC396" s="21">
        <v>0</v>
      </c>
      <c r="AD396" s="21">
        <v>0</v>
      </c>
      <c r="AE396" s="21">
        <v>0</v>
      </c>
      <c r="AF396" s="21">
        <v>0</v>
      </c>
      <c r="AG396" s="21">
        <v>0</v>
      </c>
      <c r="AH396" s="21">
        <v>0</v>
      </c>
      <c r="AI396" s="21">
        <v>0</v>
      </c>
      <c r="AJ396" s="21">
        <v>0</v>
      </c>
      <c r="AK396" s="21">
        <v>0</v>
      </c>
      <c r="AL396" s="21">
        <v>0</v>
      </c>
      <c r="AM396" s="21">
        <v>0</v>
      </c>
      <c r="AN396" s="21">
        <v>0</v>
      </c>
      <c r="AP396" s="21">
        <v>0</v>
      </c>
      <c r="AQ396" s="21">
        <v>0</v>
      </c>
      <c r="AR396" s="21">
        <v>0</v>
      </c>
      <c r="AT396" s="21">
        <v>0</v>
      </c>
      <c r="AU396" s="21">
        <v>38</v>
      </c>
      <c r="AV396" s="21">
        <v>0</v>
      </c>
    </row>
    <row r="397" spans="1:48" x14ac:dyDescent="0.15">
      <c r="A397" s="20" t="s">
        <v>52</v>
      </c>
      <c r="B397" s="20" t="s">
        <v>89</v>
      </c>
      <c r="C397" s="21">
        <v>0</v>
      </c>
      <c r="D397" s="21">
        <v>632</v>
      </c>
      <c r="E397" s="21">
        <v>45226</v>
      </c>
      <c r="F397" s="21">
        <v>45858</v>
      </c>
      <c r="G397" s="21">
        <v>8312</v>
      </c>
      <c r="H397" s="21">
        <v>10229</v>
      </c>
      <c r="I397" s="21">
        <v>4199</v>
      </c>
      <c r="J397" s="21">
        <v>14233</v>
      </c>
      <c r="K397" s="21">
        <v>5050</v>
      </c>
      <c r="L397" s="21">
        <v>432</v>
      </c>
      <c r="M397" s="21">
        <v>0.72629999999999995</v>
      </c>
      <c r="N397" s="21">
        <v>0.71960000000000002</v>
      </c>
      <c r="O397" s="21">
        <v>0.45469999999999999</v>
      </c>
      <c r="P397" s="21">
        <v>937</v>
      </c>
      <c r="Q397" s="21">
        <v>0.57840000000000003</v>
      </c>
      <c r="R397" s="21">
        <v>105</v>
      </c>
      <c r="S397" s="21">
        <v>49</v>
      </c>
      <c r="T397" s="21">
        <v>0.1071</v>
      </c>
      <c r="U397" s="21">
        <v>4.1099999999999998E-2</v>
      </c>
      <c r="V397" s="21">
        <v>0.4909</v>
      </c>
      <c r="W397" s="21">
        <v>31</v>
      </c>
      <c r="X397" s="21">
        <v>11</v>
      </c>
      <c r="Y397" s="21">
        <v>73</v>
      </c>
      <c r="Z397" s="21">
        <v>0.1</v>
      </c>
      <c r="AA397" s="21">
        <v>0.2</v>
      </c>
      <c r="AB397" s="21">
        <v>117</v>
      </c>
      <c r="AC397" s="21">
        <v>117</v>
      </c>
      <c r="AD397" s="21">
        <v>124</v>
      </c>
      <c r="AE397" s="21">
        <v>0</v>
      </c>
      <c r="AF397" s="21">
        <v>0</v>
      </c>
      <c r="AG397" s="21">
        <v>0</v>
      </c>
      <c r="AH397" s="21">
        <v>0</v>
      </c>
      <c r="AI397" s="21">
        <v>0</v>
      </c>
      <c r="AJ397" s="21">
        <v>0.96</v>
      </c>
      <c r="AK397" s="21">
        <v>0</v>
      </c>
      <c r="AL397" s="21">
        <v>0</v>
      </c>
      <c r="AM397" s="21">
        <v>0</v>
      </c>
      <c r="AN397" s="21">
        <v>0</v>
      </c>
      <c r="AP397" s="21">
        <v>154</v>
      </c>
      <c r="AQ397" s="21">
        <v>54</v>
      </c>
      <c r="AR397" s="21">
        <v>51</v>
      </c>
      <c r="AS397" s="21">
        <v>2</v>
      </c>
      <c r="AT397" s="21">
        <v>0</v>
      </c>
      <c r="AU397" s="21">
        <v>27</v>
      </c>
      <c r="AV397" s="21">
        <v>4</v>
      </c>
    </row>
    <row r="398" spans="1:48" x14ac:dyDescent="0.15">
      <c r="A398" s="20" t="s">
        <v>53</v>
      </c>
      <c r="B398" s="20" t="s">
        <v>89</v>
      </c>
      <c r="C398" s="21">
        <v>0</v>
      </c>
      <c r="D398" s="21">
        <v>0</v>
      </c>
      <c r="E398" s="21">
        <v>0</v>
      </c>
      <c r="F398" s="21">
        <v>0</v>
      </c>
      <c r="AB398" s="21">
        <v>0</v>
      </c>
      <c r="AC398" s="21">
        <v>0</v>
      </c>
      <c r="AD398" s="21">
        <v>0</v>
      </c>
      <c r="AE398" s="21">
        <v>0</v>
      </c>
      <c r="AF398" s="21">
        <v>0</v>
      </c>
      <c r="AG398" s="21">
        <v>0</v>
      </c>
      <c r="AH398" s="21">
        <v>0</v>
      </c>
      <c r="AI398" s="21">
        <v>0</v>
      </c>
      <c r="AJ398" s="21">
        <v>0</v>
      </c>
      <c r="AK398" s="21">
        <v>0</v>
      </c>
      <c r="AL398" s="21">
        <v>0</v>
      </c>
      <c r="AM398" s="21">
        <v>0</v>
      </c>
      <c r="AN398" s="21">
        <v>0</v>
      </c>
    </row>
    <row r="399" spans="1:48" x14ac:dyDescent="0.15">
      <c r="A399" s="20" t="s">
        <v>0</v>
      </c>
      <c r="B399" s="20" t="s">
        <v>89</v>
      </c>
      <c r="C399" s="21">
        <v>0</v>
      </c>
      <c r="D399" s="21">
        <v>2599</v>
      </c>
      <c r="E399" s="21">
        <v>213128</v>
      </c>
      <c r="F399" s="21">
        <v>215728</v>
      </c>
      <c r="G399" s="21">
        <v>20713</v>
      </c>
      <c r="H399" s="21">
        <v>68235</v>
      </c>
      <c r="I399" s="21">
        <v>39374</v>
      </c>
      <c r="J399" s="21">
        <v>50005</v>
      </c>
      <c r="K399" s="21">
        <v>21809</v>
      </c>
      <c r="L399" s="21">
        <v>2891</v>
      </c>
      <c r="M399" s="21">
        <v>0.72270000000000001</v>
      </c>
      <c r="N399" s="21">
        <v>0.68969999999999998</v>
      </c>
      <c r="O399" s="21">
        <v>0.43559999999999999</v>
      </c>
      <c r="P399" s="21">
        <v>5270</v>
      </c>
      <c r="Q399" s="21">
        <v>0.58120000000000005</v>
      </c>
      <c r="R399" s="21">
        <v>75</v>
      </c>
      <c r="S399" s="21">
        <v>41</v>
      </c>
      <c r="T399" s="21">
        <v>0.12039999999999999</v>
      </c>
      <c r="U399" s="21">
        <v>3.9899999999999998E-2</v>
      </c>
      <c r="V399" s="21">
        <v>0.56869999999999998</v>
      </c>
      <c r="W399" s="21">
        <v>131</v>
      </c>
      <c r="X399" s="21">
        <v>50</v>
      </c>
      <c r="Y399" s="21">
        <v>230</v>
      </c>
      <c r="Z399" s="21">
        <v>0.1</v>
      </c>
      <c r="AA399" s="21">
        <v>0.2</v>
      </c>
      <c r="AB399" s="21">
        <v>541</v>
      </c>
      <c r="AC399" s="21">
        <v>541</v>
      </c>
      <c r="AD399" s="21">
        <v>666</v>
      </c>
      <c r="AE399" s="21">
        <v>5</v>
      </c>
      <c r="AF399" s="21">
        <v>6.3E-3</v>
      </c>
      <c r="AG399" s="21">
        <v>0</v>
      </c>
      <c r="AH399" s="21">
        <v>0</v>
      </c>
      <c r="AI399" s="21">
        <v>0</v>
      </c>
      <c r="AJ399" s="21">
        <v>0.83179999999999998</v>
      </c>
      <c r="AK399" s="21">
        <v>0</v>
      </c>
      <c r="AL399" s="21">
        <v>0</v>
      </c>
      <c r="AM399" s="21">
        <v>0</v>
      </c>
      <c r="AN399" s="21">
        <v>0</v>
      </c>
      <c r="AP399" s="21">
        <v>1271</v>
      </c>
      <c r="AQ399" s="21">
        <v>254</v>
      </c>
      <c r="AR399" s="21">
        <v>229</v>
      </c>
      <c r="AS399" s="21">
        <v>25</v>
      </c>
      <c r="AT399" s="21">
        <v>0</v>
      </c>
      <c r="AU399" s="21">
        <v>261</v>
      </c>
      <c r="AV399" s="21">
        <v>7</v>
      </c>
    </row>
    <row r="400" spans="1:48" x14ac:dyDescent="0.15">
      <c r="A400" s="20" t="s">
        <v>54</v>
      </c>
      <c r="B400" s="20" t="s">
        <v>89</v>
      </c>
      <c r="C400" s="21">
        <v>0</v>
      </c>
      <c r="D400" s="21">
        <v>0</v>
      </c>
      <c r="E400" s="21">
        <v>0</v>
      </c>
      <c r="F400" s="21">
        <v>0</v>
      </c>
      <c r="AB400" s="21">
        <v>0</v>
      </c>
      <c r="AC400" s="21">
        <v>0</v>
      </c>
      <c r="AD400" s="21">
        <v>0</v>
      </c>
      <c r="AE400" s="21">
        <v>0</v>
      </c>
      <c r="AF400" s="21">
        <v>0</v>
      </c>
      <c r="AG400" s="21">
        <v>0</v>
      </c>
      <c r="AH400" s="21">
        <v>0</v>
      </c>
      <c r="AI400" s="21">
        <v>0</v>
      </c>
      <c r="AJ400" s="21">
        <v>0</v>
      </c>
      <c r="AK400" s="21">
        <v>0</v>
      </c>
      <c r="AL400" s="21">
        <v>0</v>
      </c>
      <c r="AM400" s="21">
        <v>0</v>
      </c>
      <c r="AN400" s="21">
        <v>0</v>
      </c>
      <c r="AV400" s="21">
        <v>0</v>
      </c>
    </row>
    <row r="401" spans="1:48" x14ac:dyDescent="0.15">
      <c r="A401" s="20" t="s">
        <v>55</v>
      </c>
      <c r="B401" s="20" t="s">
        <v>89</v>
      </c>
      <c r="C401" s="21">
        <v>0</v>
      </c>
      <c r="D401" s="21">
        <v>0</v>
      </c>
      <c r="E401" s="21">
        <v>0</v>
      </c>
      <c r="F401" s="21">
        <v>0</v>
      </c>
      <c r="AB401" s="21">
        <v>0</v>
      </c>
      <c r="AC401" s="21">
        <v>0</v>
      </c>
      <c r="AD401" s="21">
        <v>0</v>
      </c>
      <c r="AE401" s="21">
        <v>0</v>
      </c>
      <c r="AF401" s="21">
        <v>0</v>
      </c>
      <c r="AG401" s="21">
        <v>0</v>
      </c>
      <c r="AH401" s="21">
        <v>0</v>
      </c>
      <c r="AI401" s="21">
        <v>0</v>
      </c>
      <c r="AJ401" s="21">
        <v>0</v>
      </c>
      <c r="AK401" s="21">
        <v>0</v>
      </c>
      <c r="AL401" s="21">
        <v>0</v>
      </c>
      <c r="AM401" s="21">
        <v>0</v>
      </c>
      <c r="AN401" s="21">
        <v>0</v>
      </c>
    </row>
    <row r="402" spans="1:48" x14ac:dyDescent="0.15">
      <c r="A402" s="20" t="s">
        <v>56</v>
      </c>
      <c r="B402" s="20" t="s">
        <v>89</v>
      </c>
      <c r="C402" s="21">
        <v>0</v>
      </c>
      <c r="D402" s="21">
        <v>0</v>
      </c>
      <c r="E402" s="21">
        <v>0</v>
      </c>
      <c r="F402" s="21">
        <v>0</v>
      </c>
      <c r="H402" s="21">
        <v>0</v>
      </c>
      <c r="L402" s="21">
        <v>35</v>
      </c>
      <c r="M402" s="21">
        <v>0</v>
      </c>
      <c r="N402" s="21">
        <v>0</v>
      </c>
      <c r="O402" s="21">
        <v>0</v>
      </c>
      <c r="P402" s="21">
        <v>16</v>
      </c>
      <c r="Q402" s="21">
        <v>0</v>
      </c>
      <c r="R402" s="21">
        <v>0</v>
      </c>
      <c r="S402" s="21">
        <v>0</v>
      </c>
      <c r="T402" s="21">
        <v>1</v>
      </c>
      <c r="AB402" s="21">
        <v>0</v>
      </c>
      <c r="AC402" s="21">
        <v>0</v>
      </c>
      <c r="AD402" s="21">
        <v>0</v>
      </c>
      <c r="AE402" s="21">
        <v>0</v>
      </c>
      <c r="AF402" s="21">
        <v>0</v>
      </c>
      <c r="AG402" s="21">
        <v>0</v>
      </c>
      <c r="AH402" s="21">
        <v>0</v>
      </c>
      <c r="AI402" s="21">
        <v>0</v>
      </c>
      <c r="AJ402" s="21">
        <v>0</v>
      </c>
      <c r="AK402" s="21">
        <v>0</v>
      </c>
      <c r="AL402" s="21">
        <v>0</v>
      </c>
      <c r="AM402" s="21">
        <v>0</v>
      </c>
      <c r="AN402" s="21">
        <v>0</v>
      </c>
      <c r="AP402" s="21">
        <v>902</v>
      </c>
      <c r="AQ402" s="21">
        <v>2</v>
      </c>
      <c r="AR402" s="21">
        <v>0</v>
      </c>
      <c r="AS402" s="21">
        <v>1</v>
      </c>
      <c r="AU402" s="21">
        <v>0</v>
      </c>
      <c r="AV402" s="21">
        <v>0</v>
      </c>
    </row>
    <row r="403" spans="1:48" x14ac:dyDescent="0.15">
      <c r="A403" s="20" t="s">
        <v>57</v>
      </c>
      <c r="B403" s="20" t="s">
        <v>89</v>
      </c>
      <c r="C403" s="21">
        <v>0</v>
      </c>
      <c r="D403" s="21">
        <v>316</v>
      </c>
      <c r="E403" s="21">
        <v>38462</v>
      </c>
      <c r="F403" s="21">
        <v>38778</v>
      </c>
      <c r="G403" s="21">
        <v>7267</v>
      </c>
      <c r="H403" s="21">
        <v>7240</v>
      </c>
      <c r="I403" s="21">
        <v>7562</v>
      </c>
      <c r="J403" s="21">
        <v>8225</v>
      </c>
      <c r="K403" s="21">
        <v>1037</v>
      </c>
      <c r="L403" s="21">
        <v>389</v>
      </c>
      <c r="M403" s="21">
        <v>0.65259999999999996</v>
      </c>
      <c r="N403" s="21">
        <v>0.62280000000000002</v>
      </c>
      <c r="O403" s="21">
        <v>0.19109999999999999</v>
      </c>
      <c r="P403" s="21">
        <v>501</v>
      </c>
      <c r="Q403" s="21">
        <v>0.64470000000000005</v>
      </c>
      <c r="R403" s="21">
        <v>100</v>
      </c>
      <c r="S403" s="21">
        <v>77</v>
      </c>
      <c r="T403" s="21">
        <v>0.1148</v>
      </c>
      <c r="U403" s="21">
        <v>2.7099999999999999E-2</v>
      </c>
      <c r="V403" s="21">
        <v>0.58540000000000003</v>
      </c>
      <c r="W403" s="21">
        <v>27</v>
      </c>
      <c r="X403" s="21">
        <v>10</v>
      </c>
      <c r="Y403" s="21">
        <v>52</v>
      </c>
      <c r="Z403" s="21">
        <v>0</v>
      </c>
      <c r="AA403" s="21">
        <v>0.2</v>
      </c>
      <c r="AB403" s="21">
        <v>220</v>
      </c>
      <c r="AC403" s="21">
        <v>220</v>
      </c>
      <c r="AD403" s="21">
        <v>280</v>
      </c>
      <c r="AE403" s="21">
        <v>4</v>
      </c>
      <c r="AF403" s="21">
        <v>1.18E-2</v>
      </c>
      <c r="AG403" s="21">
        <v>0</v>
      </c>
      <c r="AH403" s="21">
        <v>0</v>
      </c>
      <c r="AI403" s="21">
        <v>0</v>
      </c>
      <c r="AJ403" s="21">
        <v>0.85709999999999997</v>
      </c>
      <c r="AK403" s="21">
        <v>0</v>
      </c>
      <c r="AL403" s="21">
        <v>0</v>
      </c>
      <c r="AM403" s="21">
        <v>0</v>
      </c>
      <c r="AN403" s="21">
        <v>0</v>
      </c>
      <c r="AP403" s="21">
        <v>117</v>
      </c>
      <c r="AQ403" s="21">
        <v>117</v>
      </c>
      <c r="AR403" s="21">
        <v>100</v>
      </c>
      <c r="AS403" s="21">
        <v>18</v>
      </c>
      <c r="AU403" s="21">
        <v>115</v>
      </c>
      <c r="AV403" s="21">
        <v>0</v>
      </c>
    </row>
    <row r="404" spans="1:48" x14ac:dyDescent="0.15">
      <c r="A404" s="20" t="s">
        <v>58</v>
      </c>
      <c r="B404" s="20" t="s">
        <v>89</v>
      </c>
      <c r="C404" s="21">
        <v>0</v>
      </c>
      <c r="D404" s="21">
        <v>0</v>
      </c>
      <c r="E404" s="21">
        <v>0</v>
      </c>
      <c r="F404" s="21">
        <v>0</v>
      </c>
      <c r="AB404" s="21">
        <v>0</v>
      </c>
      <c r="AC404" s="21">
        <v>0</v>
      </c>
      <c r="AD404" s="21">
        <v>0</v>
      </c>
      <c r="AE404" s="21">
        <v>0</v>
      </c>
      <c r="AF404" s="21">
        <v>0</v>
      </c>
      <c r="AG404" s="21">
        <v>0</v>
      </c>
      <c r="AH404" s="21">
        <v>0</v>
      </c>
      <c r="AI404" s="21">
        <v>0</v>
      </c>
      <c r="AJ404" s="21">
        <v>0</v>
      </c>
      <c r="AK404" s="21">
        <v>0</v>
      </c>
      <c r="AL404" s="21">
        <v>0</v>
      </c>
      <c r="AM404" s="21">
        <v>0</v>
      </c>
      <c r="AN404" s="21">
        <v>0</v>
      </c>
      <c r="AV404" s="21">
        <v>0</v>
      </c>
    </row>
    <row r="405" spans="1:48" x14ac:dyDescent="0.15">
      <c r="A405" s="20" t="s">
        <v>59</v>
      </c>
      <c r="B405" s="20" t="s">
        <v>89</v>
      </c>
      <c r="C405" s="21">
        <v>0</v>
      </c>
      <c r="D405" s="21">
        <v>0</v>
      </c>
      <c r="E405" s="21">
        <v>0</v>
      </c>
      <c r="F405" s="21">
        <v>0</v>
      </c>
      <c r="AB405" s="21">
        <v>0</v>
      </c>
      <c r="AC405" s="21">
        <v>0</v>
      </c>
      <c r="AD405" s="21">
        <v>0</v>
      </c>
      <c r="AE405" s="21">
        <v>0</v>
      </c>
      <c r="AF405" s="21">
        <v>0</v>
      </c>
      <c r="AG405" s="21">
        <v>0</v>
      </c>
      <c r="AH405" s="21">
        <v>0</v>
      </c>
      <c r="AI405" s="21">
        <v>0</v>
      </c>
      <c r="AJ405" s="21">
        <v>0</v>
      </c>
      <c r="AK405" s="21">
        <v>0</v>
      </c>
      <c r="AL405" s="21">
        <v>0</v>
      </c>
      <c r="AM405" s="21">
        <v>0</v>
      </c>
      <c r="AN405" s="21">
        <v>0</v>
      </c>
    </row>
    <row r="406" spans="1:48" x14ac:dyDescent="0.15">
      <c r="A406" s="20" t="s">
        <v>60</v>
      </c>
      <c r="B406" s="20" t="s">
        <v>89</v>
      </c>
      <c r="C406" s="21">
        <v>0</v>
      </c>
      <c r="D406" s="21">
        <v>150</v>
      </c>
      <c r="E406" s="21">
        <v>17943</v>
      </c>
      <c r="F406" s="21">
        <v>18093</v>
      </c>
      <c r="G406" s="21">
        <v>1673</v>
      </c>
      <c r="H406" s="21">
        <v>3401</v>
      </c>
      <c r="I406" s="21">
        <v>4883</v>
      </c>
      <c r="J406" s="21">
        <v>6696</v>
      </c>
      <c r="K406" s="21">
        <v>1440</v>
      </c>
      <c r="L406" s="21">
        <v>191</v>
      </c>
      <c r="M406" s="21">
        <v>0.65310000000000001</v>
      </c>
      <c r="N406" s="21">
        <v>0.63780000000000003</v>
      </c>
      <c r="O406" s="21">
        <v>0.54079999999999995</v>
      </c>
      <c r="P406" s="21">
        <v>289</v>
      </c>
      <c r="Q406" s="21">
        <v>0.66439999999999999</v>
      </c>
      <c r="R406" s="21">
        <v>96</v>
      </c>
      <c r="S406" s="21">
        <v>63</v>
      </c>
      <c r="T406" s="21">
        <v>0.1356</v>
      </c>
      <c r="U406" s="21">
        <v>5.8099999999999999E-2</v>
      </c>
      <c r="V406" s="21">
        <v>0.94640000000000002</v>
      </c>
      <c r="AB406" s="21">
        <v>0</v>
      </c>
      <c r="AC406" s="21">
        <v>0</v>
      </c>
      <c r="AD406" s="21">
        <v>0</v>
      </c>
      <c r="AE406" s="21">
        <v>0</v>
      </c>
      <c r="AF406" s="21">
        <v>0</v>
      </c>
      <c r="AG406" s="21">
        <v>0</v>
      </c>
      <c r="AH406" s="21">
        <v>0</v>
      </c>
      <c r="AI406" s="21">
        <v>0</v>
      </c>
      <c r="AJ406" s="21">
        <v>0</v>
      </c>
      <c r="AK406" s="21">
        <v>0</v>
      </c>
      <c r="AL406" s="21">
        <v>0</v>
      </c>
      <c r="AM406" s="21">
        <v>0</v>
      </c>
      <c r="AN406" s="21">
        <v>0</v>
      </c>
      <c r="AU406" s="21">
        <v>3</v>
      </c>
      <c r="AV406" s="21">
        <v>0</v>
      </c>
    </row>
    <row r="407" spans="1:48" x14ac:dyDescent="0.15">
      <c r="A407" s="20" t="s">
        <v>61</v>
      </c>
      <c r="B407" s="20" t="s">
        <v>89</v>
      </c>
      <c r="C407" s="21">
        <v>0</v>
      </c>
      <c r="D407" s="21">
        <v>222</v>
      </c>
      <c r="E407" s="21">
        <v>13773</v>
      </c>
      <c r="F407" s="21">
        <v>13995</v>
      </c>
      <c r="G407" s="21">
        <v>1571</v>
      </c>
      <c r="H407" s="21">
        <v>3199</v>
      </c>
      <c r="I407" s="21">
        <v>4276</v>
      </c>
      <c r="J407" s="21">
        <v>4949</v>
      </c>
      <c r="L407" s="21">
        <v>119</v>
      </c>
      <c r="M407" s="21">
        <v>0.7742</v>
      </c>
      <c r="N407" s="21">
        <v>0.7742</v>
      </c>
      <c r="O407" s="21">
        <v>0.5887</v>
      </c>
      <c r="P407" s="21">
        <v>159</v>
      </c>
      <c r="Q407" s="21">
        <v>0.84909999999999997</v>
      </c>
      <c r="R407" s="21">
        <v>118</v>
      </c>
      <c r="S407" s="21">
        <v>88</v>
      </c>
      <c r="T407" s="21">
        <v>0.1128</v>
      </c>
      <c r="U407" s="21">
        <v>8.9200000000000002E-2</v>
      </c>
      <c r="V407" s="21">
        <v>0.35539999999999999</v>
      </c>
      <c r="AB407" s="21">
        <v>0</v>
      </c>
      <c r="AC407" s="21">
        <v>0</v>
      </c>
      <c r="AD407" s="21">
        <v>0</v>
      </c>
      <c r="AE407" s="21">
        <v>0</v>
      </c>
      <c r="AF407" s="21">
        <v>0</v>
      </c>
      <c r="AG407" s="21">
        <v>0</v>
      </c>
      <c r="AH407" s="21">
        <v>0</v>
      </c>
      <c r="AI407" s="21">
        <v>0</v>
      </c>
      <c r="AJ407" s="21">
        <v>0</v>
      </c>
      <c r="AK407" s="21">
        <v>0</v>
      </c>
      <c r="AL407" s="21">
        <v>0</v>
      </c>
      <c r="AM407" s="21">
        <v>0</v>
      </c>
      <c r="AN407" s="21">
        <v>0</v>
      </c>
      <c r="AP407" s="21">
        <v>0</v>
      </c>
      <c r="AQ407" s="21">
        <v>0</v>
      </c>
      <c r="AS407" s="21">
        <v>0</v>
      </c>
      <c r="AU407" s="21">
        <v>66</v>
      </c>
      <c r="AV407" s="21">
        <v>0</v>
      </c>
    </row>
    <row r="408" spans="1:48" x14ac:dyDescent="0.15">
      <c r="A408" s="20" t="s">
        <v>48</v>
      </c>
      <c r="B408" s="20" t="s">
        <v>90</v>
      </c>
      <c r="C408" s="21">
        <v>0</v>
      </c>
      <c r="D408" s="21">
        <v>1064</v>
      </c>
      <c r="E408" s="21">
        <v>16169</v>
      </c>
      <c r="F408" s="21">
        <v>17233</v>
      </c>
      <c r="H408" s="21">
        <v>6611</v>
      </c>
      <c r="I408" s="21">
        <v>5550</v>
      </c>
      <c r="J408" s="21">
        <v>3045</v>
      </c>
      <c r="K408" s="21">
        <v>287</v>
      </c>
      <c r="L408" s="21">
        <v>282</v>
      </c>
      <c r="M408" s="21">
        <v>0.83840000000000003</v>
      </c>
      <c r="N408" s="21">
        <v>0.72050000000000003</v>
      </c>
      <c r="O408" s="21">
        <v>0.6633</v>
      </c>
      <c r="P408" s="21">
        <v>647</v>
      </c>
      <c r="Q408" s="21">
        <v>0.47299999999999998</v>
      </c>
      <c r="R408" s="21">
        <v>61</v>
      </c>
      <c r="S408" s="21">
        <v>27</v>
      </c>
      <c r="T408" s="21">
        <v>0.1641</v>
      </c>
      <c r="U408" s="21">
        <v>2.4299999999999999E-2</v>
      </c>
      <c r="V408" s="21">
        <v>0.72</v>
      </c>
      <c r="W408" s="21">
        <v>18</v>
      </c>
      <c r="X408" s="21">
        <v>1</v>
      </c>
      <c r="Y408" s="21">
        <v>44</v>
      </c>
      <c r="Z408" s="21">
        <v>0</v>
      </c>
      <c r="AA408" s="21">
        <v>0</v>
      </c>
      <c r="AB408" s="21">
        <v>117</v>
      </c>
      <c r="AC408" s="21">
        <v>117</v>
      </c>
      <c r="AD408" s="21">
        <v>112</v>
      </c>
      <c r="AE408" s="21">
        <v>11</v>
      </c>
      <c r="AF408" s="21">
        <v>0.1019</v>
      </c>
      <c r="AG408" s="21">
        <v>0</v>
      </c>
      <c r="AH408" s="21">
        <v>0</v>
      </c>
      <c r="AI408" s="21">
        <v>0</v>
      </c>
      <c r="AJ408" s="21">
        <v>0</v>
      </c>
      <c r="AK408" s="21">
        <v>0</v>
      </c>
      <c r="AL408" s="21">
        <v>0</v>
      </c>
      <c r="AM408" s="21">
        <v>0</v>
      </c>
      <c r="AN408" s="21">
        <v>0</v>
      </c>
      <c r="AO408" s="21">
        <v>0.54349999999999998</v>
      </c>
      <c r="AP408" s="21">
        <v>11</v>
      </c>
      <c r="AQ408" s="21">
        <v>11</v>
      </c>
      <c r="AR408" s="21">
        <v>11</v>
      </c>
      <c r="AS408" s="21">
        <v>0</v>
      </c>
      <c r="AU408" s="21">
        <v>1</v>
      </c>
      <c r="AV408" s="21">
        <v>8</v>
      </c>
    </row>
    <row r="409" spans="1:48" x14ac:dyDescent="0.15">
      <c r="A409" s="20" t="s">
        <v>50</v>
      </c>
      <c r="B409" s="20" t="s">
        <v>90</v>
      </c>
      <c r="C409" s="21">
        <v>0</v>
      </c>
      <c r="D409" s="21">
        <v>407</v>
      </c>
      <c r="E409" s="21">
        <v>14044</v>
      </c>
      <c r="F409" s="21">
        <v>14451</v>
      </c>
      <c r="G409" s="21">
        <v>2923</v>
      </c>
      <c r="H409" s="21">
        <v>10542</v>
      </c>
      <c r="I409" s="21">
        <v>0</v>
      </c>
      <c r="J409" s="21">
        <v>348</v>
      </c>
      <c r="K409" s="21">
        <v>335</v>
      </c>
      <c r="L409" s="21">
        <v>287</v>
      </c>
      <c r="M409" s="21">
        <v>0.72970000000000002</v>
      </c>
      <c r="N409" s="21">
        <v>0.70950000000000002</v>
      </c>
      <c r="O409" s="21">
        <v>0.32429999999999998</v>
      </c>
      <c r="P409" s="21">
        <v>522</v>
      </c>
      <c r="Q409" s="21">
        <v>0.55169999999999997</v>
      </c>
      <c r="R409" s="21">
        <v>50</v>
      </c>
      <c r="S409" s="21">
        <v>28</v>
      </c>
      <c r="T409" s="21">
        <v>0.13869999999999999</v>
      </c>
      <c r="U409" s="21">
        <v>3.27E-2</v>
      </c>
      <c r="V409" s="21">
        <v>0.3931</v>
      </c>
      <c r="W409" s="21">
        <v>20</v>
      </c>
      <c r="X409" s="21">
        <v>6</v>
      </c>
      <c r="Y409" s="21">
        <v>34</v>
      </c>
      <c r="Z409" s="21">
        <v>0.1</v>
      </c>
      <c r="AA409" s="21">
        <v>0.2</v>
      </c>
      <c r="AB409" s="21">
        <v>88</v>
      </c>
      <c r="AC409" s="21">
        <v>88</v>
      </c>
      <c r="AD409" s="21">
        <v>92</v>
      </c>
      <c r="AE409" s="21">
        <v>3</v>
      </c>
      <c r="AF409" s="21">
        <v>3.1199999999999999E-2</v>
      </c>
      <c r="AG409" s="21">
        <v>0</v>
      </c>
      <c r="AH409" s="21">
        <v>0</v>
      </c>
      <c r="AI409" s="21">
        <v>0</v>
      </c>
      <c r="AJ409" s="21">
        <v>0</v>
      </c>
      <c r="AK409" s="21">
        <v>0</v>
      </c>
      <c r="AL409" s="21">
        <v>0</v>
      </c>
      <c r="AM409" s="21">
        <v>0</v>
      </c>
      <c r="AN409" s="21">
        <v>0</v>
      </c>
      <c r="AP409" s="21">
        <v>160</v>
      </c>
      <c r="AQ409" s="21">
        <v>144</v>
      </c>
      <c r="AR409" s="21">
        <v>144</v>
      </c>
      <c r="AS409" s="21">
        <v>0</v>
      </c>
      <c r="AU409" s="21">
        <v>17</v>
      </c>
      <c r="AV409" s="21">
        <v>0</v>
      </c>
    </row>
    <row r="410" spans="1:48" x14ac:dyDescent="0.15">
      <c r="A410" s="20" t="s">
        <v>51</v>
      </c>
      <c r="B410" s="20" t="s">
        <v>90</v>
      </c>
      <c r="C410" s="21">
        <v>0</v>
      </c>
      <c r="D410" s="21">
        <v>966</v>
      </c>
      <c r="E410" s="21">
        <v>54537</v>
      </c>
      <c r="F410" s="21">
        <v>55503</v>
      </c>
      <c r="G410" s="21">
        <v>755</v>
      </c>
      <c r="H410" s="21">
        <v>17036</v>
      </c>
      <c r="I410" s="21">
        <v>14242</v>
      </c>
      <c r="J410" s="21">
        <v>10513</v>
      </c>
      <c r="K410" s="21">
        <v>11938</v>
      </c>
      <c r="L410" s="21">
        <v>1179</v>
      </c>
      <c r="M410" s="21">
        <v>0.749</v>
      </c>
      <c r="N410" s="21">
        <v>0.73140000000000005</v>
      </c>
      <c r="O410" s="21">
        <v>0.3397</v>
      </c>
      <c r="P410" s="21">
        <v>2353</v>
      </c>
      <c r="Q410" s="21">
        <v>0.56440000000000001</v>
      </c>
      <c r="R410" s="21">
        <v>48</v>
      </c>
      <c r="S410" s="21">
        <v>24</v>
      </c>
      <c r="T410" s="21">
        <v>0.1522</v>
      </c>
      <c r="U410" s="21">
        <v>5.1299999999999998E-2</v>
      </c>
      <c r="V410" s="21">
        <v>0.82220000000000004</v>
      </c>
      <c r="W410" s="21">
        <v>119</v>
      </c>
      <c r="X410" s="21">
        <v>7</v>
      </c>
      <c r="Y410" s="21">
        <v>331</v>
      </c>
      <c r="Z410" s="21">
        <v>0.1</v>
      </c>
      <c r="AA410" s="21">
        <v>0</v>
      </c>
      <c r="AB410" s="21">
        <v>177</v>
      </c>
      <c r="AC410" s="21">
        <v>177</v>
      </c>
      <c r="AD410" s="21">
        <v>88</v>
      </c>
      <c r="AE410" s="21">
        <v>216</v>
      </c>
      <c r="AF410" s="21">
        <v>0</v>
      </c>
      <c r="AG410" s="21">
        <v>0</v>
      </c>
      <c r="AH410" s="21">
        <v>0</v>
      </c>
      <c r="AI410" s="21">
        <v>0</v>
      </c>
      <c r="AJ410" s="21">
        <v>0</v>
      </c>
      <c r="AK410" s="21">
        <v>0</v>
      </c>
      <c r="AL410" s="21">
        <v>0</v>
      </c>
      <c r="AM410" s="21">
        <v>0</v>
      </c>
      <c r="AN410" s="21">
        <v>0</v>
      </c>
      <c r="AP410" s="21">
        <v>20</v>
      </c>
      <c r="AQ410" s="21">
        <v>20</v>
      </c>
      <c r="AR410" s="21">
        <v>20</v>
      </c>
      <c r="AS410" s="21">
        <v>0</v>
      </c>
      <c r="AT410" s="21">
        <v>0</v>
      </c>
      <c r="AU410" s="21">
        <v>37</v>
      </c>
      <c r="AV410" s="21">
        <v>0</v>
      </c>
    </row>
    <row r="411" spans="1:48" x14ac:dyDescent="0.15">
      <c r="A411" s="20" t="s">
        <v>52</v>
      </c>
      <c r="B411" s="20" t="s">
        <v>90</v>
      </c>
      <c r="C411" s="21">
        <v>0</v>
      </c>
      <c r="D411" s="21">
        <v>420</v>
      </c>
      <c r="E411" s="21">
        <v>43040</v>
      </c>
      <c r="F411" s="21">
        <v>43460</v>
      </c>
      <c r="G411" s="21">
        <v>8697</v>
      </c>
      <c r="H411" s="21">
        <v>7666</v>
      </c>
      <c r="I411" s="21">
        <v>6487</v>
      </c>
      <c r="J411" s="21">
        <v>11807</v>
      </c>
      <c r="K411" s="21">
        <v>4696</v>
      </c>
      <c r="L411" s="21">
        <v>430</v>
      </c>
      <c r="M411" s="21">
        <v>0.75170000000000003</v>
      </c>
      <c r="N411" s="21">
        <v>0.72689999999999999</v>
      </c>
      <c r="O411" s="21">
        <v>0.42659999999999998</v>
      </c>
      <c r="P411" s="21">
        <v>938</v>
      </c>
      <c r="Q411" s="21">
        <v>0.53939999999999999</v>
      </c>
      <c r="R411" s="21">
        <v>101</v>
      </c>
      <c r="S411" s="21">
        <v>46</v>
      </c>
      <c r="T411" s="21">
        <v>0.12089999999999999</v>
      </c>
      <c r="U411" s="21">
        <v>4.2299999999999997E-2</v>
      </c>
      <c r="V411" s="21">
        <v>0.84079999999999999</v>
      </c>
      <c r="W411" s="21">
        <v>20</v>
      </c>
      <c r="X411" s="21">
        <v>6</v>
      </c>
      <c r="Y411" s="21">
        <v>41</v>
      </c>
      <c r="Z411" s="21">
        <v>0.1</v>
      </c>
      <c r="AA411" s="21">
        <v>0.2</v>
      </c>
      <c r="AB411" s="21">
        <v>124</v>
      </c>
      <c r="AC411" s="21">
        <v>124</v>
      </c>
      <c r="AD411" s="21">
        <v>120</v>
      </c>
      <c r="AE411" s="21">
        <v>7</v>
      </c>
      <c r="AF411" s="21">
        <v>5.9799999999999999E-2</v>
      </c>
      <c r="AG411" s="21">
        <v>0</v>
      </c>
      <c r="AH411" s="21">
        <v>0</v>
      </c>
      <c r="AI411" s="21">
        <v>0</v>
      </c>
      <c r="AJ411" s="21">
        <v>0</v>
      </c>
      <c r="AK411" s="21">
        <v>0</v>
      </c>
      <c r="AL411" s="21">
        <v>0</v>
      </c>
      <c r="AM411" s="21">
        <v>0</v>
      </c>
      <c r="AN411" s="21">
        <v>0</v>
      </c>
      <c r="AO411" s="21">
        <v>0.38379999999999997</v>
      </c>
      <c r="AP411" s="21">
        <v>-86</v>
      </c>
      <c r="AQ411" s="21">
        <v>14</v>
      </c>
      <c r="AR411" s="21">
        <v>10</v>
      </c>
      <c r="AS411" s="21">
        <v>4</v>
      </c>
      <c r="AT411" s="21">
        <v>1</v>
      </c>
      <c r="AU411" s="21">
        <v>27</v>
      </c>
      <c r="AV411" s="21">
        <v>11</v>
      </c>
    </row>
    <row r="412" spans="1:48" x14ac:dyDescent="0.15">
      <c r="A412" s="20" t="s">
        <v>53</v>
      </c>
      <c r="B412" s="20" t="s">
        <v>90</v>
      </c>
      <c r="C412" s="21">
        <v>0</v>
      </c>
      <c r="D412" s="21">
        <v>0</v>
      </c>
      <c r="E412" s="21">
        <v>0</v>
      </c>
      <c r="F412" s="21">
        <v>0</v>
      </c>
      <c r="AB412" s="21">
        <v>0</v>
      </c>
      <c r="AC412" s="21">
        <v>0</v>
      </c>
      <c r="AD412" s="21">
        <v>0</v>
      </c>
      <c r="AE412" s="21">
        <v>0</v>
      </c>
      <c r="AF412" s="21">
        <v>0</v>
      </c>
      <c r="AG412" s="21">
        <v>0</v>
      </c>
      <c r="AH412" s="21">
        <v>0</v>
      </c>
      <c r="AI412" s="21">
        <v>0</v>
      </c>
      <c r="AJ412" s="21">
        <v>0</v>
      </c>
      <c r="AK412" s="21">
        <v>0</v>
      </c>
      <c r="AL412" s="21">
        <v>0</v>
      </c>
      <c r="AM412" s="21">
        <v>0</v>
      </c>
      <c r="AN412" s="21">
        <v>0</v>
      </c>
    </row>
    <row r="413" spans="1:48" x14ac:dyDescent="0.15">
      <c r="A413" s="20" t="s">
        <v>0</v>
      </c>
      <c r="B413" s="20" t="s">
        <v>90</v>
      </c>
      <c r="C413" s="21">
        <v>0</v>
      </c>
      <c r="D413" s="21">
        <v>5000</v>
      </c>
      <c r="E413" s="21">
        <v>208698</v>
      </c>
      <c r="F413" s="21">
        <v>213698</v>
      </c>
      <c r="G413" s="21">
        <v>29784</v>
      </c>
      <c r="H413" s="21">
        <v>62008</v>
      </c>
      <c r="I413" s="21">
        <v>40079</v>
      </c>
      <c r="J413" s="21">
        <v>50749</v>
      </c>
      <c r="K413" s="21">
        <v>19723</v>
      </c>
      <c r="L413" s="21">
        <v>2913</v>
      </c>
      <c r="M413" s="21">
        <v>0.73950000000000005</v>
      </c>
      <c r="N413" s="21">
        <v>0.70309999999999995</v>
      </c>
      <c r="O413" s="21">
        <v>0.37890000000000001</v>
      </c>
      <c r="P413" s="21">
        <v>5428</v>
      </c>
      <c r="Q413" s="21">
        <v>0.56479999999999997</v>
      </c>
      <c r="R413" s="21">
        <v>74</v>
      </c>
      <c r="S413" s="21">
        <v>39</v>
      </c>
      <c r="T413" s="21">
        <v>0.1202</v>
      </c>
      <c r="U413" s="21">
        <v>4.1000000000000002E-2</v>
      </c>
      <c r="V413" s="21">
        <v>0.75970000000000004</v>
      </c>
      <c r="W413" s="21">
        <v>197</v>
      </c>
      <c r="X413" s="21">
        <v>25</v>
      </c>
      <c r="Y413" s="21">
        <v>490</v>
      </c>
      <c r="Z413" s="21">
        <v>0</v>
      </c>
      <c r="AA413" s="21">
        <v>0.1</v>
      </c>
      <c r="AB413" s="21">
        <v>728</v>
      </c>
      <c r="AC413" s="21">
        <v>728</v>
      </c>
      <c r="AD413" s="21">
        <v>634</v>
      </c>
      <c r="AE413" s="21">
        <v>247</v>
      </c>
      <c r="AF413" s="21">
        <v>0.45660000000000001</v>
      </c>
      <c r="AG413" s="21">
        <v>0</v>
      </c>
      <c r="AH413" s="21">
        <v>0</v>
      </c>
      <c r="AI413" s="21">
        <v>0</v>
      </c>
      <c r="AJ413" s="21">
        <v>0.33329999999999999</v>
      </c>
      <c r="AK413" s="21">
        <v>0</v>
      </c>
      <c r="AL413" s="21">
        <v>0</v>
      </c>
      <c r="AM413" s="21">
        <v>0</v>
      </c>
      <c r="AN413" s="21">
        <v>0</v>
      </c>
      <c r="AO413" s="21">
        <v>0.52410000000000001</v>
      </c>
      <c r="AP413" s="21">
        <v>431</v>
      </c>
      <c r="AQ413" s="21">
        <v>265</v>
      </c>
      <c r="AR413" s="21">
        <v>253</v>
      </c>
      <c r="AS413" s="21">
        <v>11</v>
      </c>
      <c r="AT413" s="21">
        <v>1</v>
      </c>
      <c r="AU413" s="21">
        <v>231</v>
      </c>
      <c r="AV413" s="21">
        <v>57</v>
      </c>
    </row>
    <row r="414" spans="1:48" x14ac:dyDescent="0.15">
      <c r="A414" s="20" t="s">
        <v>54</v>
      </c>
      <c r="B414" s="20" t="s">
        <v>90</v>
      </c>
      <c r="C414" s="21">
        <v>0</v>
      </c>
      <c r="D414" s="21">
        <v>0</v>
      </c>
      <c r="E414" s="21">
        <v>0</v>
      </c>
      <c r="F414" s="21">
        <v>0</v>
      </c>
      <c r="AB414" s="21">
        <v>0</v>
      </c>
      <c r="AC414" s="21">
        <v>0</v>
      </c>
      <c r="AD414" s="21">
        <v>0</v>
      </c>
      <c r="AE414" s="21">
        <v>0</v>
      </c>
      <c r="AF414" s="21">
        <v>0</v>
      </c>
      <c r="AG414" s="21">
        <v>0</v>
      </c>
      <c r="AH414" s="21">
        <v>0</v>
      </c>
      <c r="AI414" s="21">
        <v>0</v>
      </c>
      <c r="AJ414" s="21">
        <v>0</v>
      </c>
      <c r="AK414" s="21">
        <v>0</v>
      </c>
      <c r="AL414" s="21">
        <v>0</v>
      </c>
      <c r="AM414" s="21">
        <v>0</v>
      </c>
      <c r="AN414" s="21">
        <v>0</v>
      </c>
      <c r="AV414" s="21">
        <v>0</v>
      </c>
    </row>
    <row r="415" spans="1:48" x14ac:dyDescent="0.15">
      <c r="A415" s="20" t="s">
        <v>55</v>
      </c>
      <c r="B415" s="20" t="s">
        <v>90</v>
      </c>
      <c r="C415" s="21">
        <v>0</v>
      </c>
      <c r="D415" s="21">
        <v>0</v>
      </c>
      <c r="E415" s="21">
        <v>0</v>
      </c>
      <c r="F415" s="21">
        <v>0</v>
      </c>
      <c r="AB415" s="21">
        <v>0</v>
      </c>
      <c r="AC415" s="21">
        <v>0</v>
      </c>
      <c r="AD415" s="21">
        <v>0</v>
      </c>
      <c r="AE415" s="21">
        <v>0</v>
      </c>
      <c r="AF415" s="21">
        <v>0</v>
      </c>
      <c r="AG415" s="21">
        <v>0</v>
      </c>
      <c r="AH415" s="21">
        <v>0</v>
      </c>
      <c r="AI415" s="21">
        <v>0</v>
      </c>
      <c r="AJ415" s="21">
        <v>0</v>
      </c>
      <c r="AK415" s="21">
        <v>0</v>
      </c>
      <c r="AL415" s="21">
        <v>0</v>
      </c>
      <c r="AM415" s="21">
        <v>0</v>
      </c>
      <c r="AN415" s="21">
        <v>0</v>
      </c>
    </row>
    <row r="416" spans="1:48" x14ac:dyDescent="0.15">
      <c r="A416" s="20" t="s">
        <v>56</v>
      </c>
      <c r="B416" s="20" t="s">
        <v>90</v>
      </c>
      <c r="C416" s="21">
        <v>0</v>
      </c>
      <c r="D416" s="21">
        <v>0</v>
      </c>
      <c r="E416" s="21">
        <v>73</v>
      </c>
      <c r="F416" s="21">
        <v>73</v>
      </c>
      <c r="H416" s="21">
        <v>73</v>
      </c>
      <c r="L416" s="21">
        <v>36</v>
      </c>
      <c r="M416" s="21">
        <v>8.3299999999999999E-2</v>
      </c>
      <c r="N416" s="21">
        <v>8.3299999999999999E-2</v>
      </c>
      <c r="O416" s="21">
        <v>0</v>
      </c>
      <c r="P416" s="21">
        <v>16</v>
      </c>
      <c r="Q416" s="21">
        <v>0.1875</v>
      </c>
      <c r="R416" s="21">
        <v>2</v>
      </c>
      <c r="S416" s="21">
        <v>5</v>
      </c>
      <c r="T416" s="21">
        <v>1.35E-2</v>
      </c>
      <c r="U416" s="21">
        <v>0</v>
      </c>
      <c r="AB416" s="21">
        <v>0</v>
      </c>
      <c r="AC416" s="21">
        <v>0</v>
      </c>
      <c r="AD416" s="21">
        <v>0</v>
      </c>
      <c r="AE416" s="21">
        <v>0</v>
      </c>
      <c r="AF416" s="21">
        <v>0</v>
      </c>
      <c r="AG416" s="21">
        <v>0</v>
      </c>
      <c r="AH416" s="21">
        <v>0</v>
      </c>
      <c r="AI416" s="21">
        <v>0</v>
      </c>
      <c r="AJ416" s="21">
        <v>0</v>
      </c>
      <c r="AK416" s="21">
        <v>0</v>
      </c>
      <c r="AL416" s="21">
        <v>0</v>
      </c>
      <c r="AM416" s="21">
        <v>0</v>
      </c>
      <c r="AN416" s="21">
        <v>0</v>
      </c>
      <c r="AP416" s="21">
        <v>256</v>
      </c>
      <c r="AQ416" s="21">
        <v>6</v>
      </c>
      <c r="AR416" s="21">
        <v>6</v>
      </c>
      <c r="AS416" s="21">
        <v>0</v>
      </c>
      <c r="AU416" s="21">
        <v>0</v>
      </c>
      <c r="AV416" s="21">
        <v>0</v>
      </c>
    </row>
    <row r="417" spans="1:48" x14ac:dyDescent="0.15">
      <c r="A417" s="20" t="s">
        <v>57</v>
      </c>
      <c r="B417" s="20" t="s">
        <v>90</v>
      </c>
      <c r="C417" s="21">
        <v>0</v>
      </c>
      <c r="D417" s="21">
        <v>1002</v>
      </c>
      <c r="E417" s="21">
        <v>58184</v>
      </c>
      <c r="F417" s="21">
        <v>59186</v>
      </c>
      <c r="G417" s="21">
        <v>15135</v>
      </c>
      <c r="H417" s="21">
        <v>15039</v>
      </c>
      <c r="I417" s="21">
        <v>7459</v>
      </c>
      <c r="J417" s="21">
        <v>15942</v>
      </c>
      <c r="K417" s="21">
        <v>1425</v>
      </c>
      <c r="L417" s="21">
        <v>372</v>
      </c>
      <c r="M417" s="21">
        <v>0.67749999999999999</v>
      </c>
      <c r="N417" s="21">
        <v>0.65</v>
      </c>
      <c r="O417" s="21">
        <v>0.1525</v>
      </c>
      <c r="P417" s="21">
        <v>504</v>
      </c>
      <c r="Q417" s="21">
        <v>0.67259999999999998</v>
      </c>
      <c r="R417" s="21">
        <v>156</v>
      </c>
      <c r="S417" s="21">
        <v>117</v>
      </c>
      <c r="T417" s="21">
        <v>5.5199999999999999E-2</v>
      </c>
      <c r="U417" s="21">
        <v>2.86E-2</v>
      </c>
      <c r="V417" s="21">
        <v>0.61990000000000001</v>
      </c>
      <c r="W417" s="21">
        <v>20</v>
      </c>
      <c r="X417" s="21">
        <v>4</v>
      </c>
      <c r="Y417" s="21">
        <v>40</v>
      </c>
      <c r="Z417" s="21">
        <v>0</v>
      </c>
      <c r="AA417" s="21">
        <v>0.1</v>
      </c>
      <c r="AB417" s="21">
        <v>222</v>
      </c>
      <c r="AC417" s="21">
        <v>222</v>
      </c>
      <c r="AD417" s="21">
        <v>221</v>
      </c>
      <c r="AE417" s="21">
        <v>10</v>
      </c>
      <c r="AF417" s="21">
        <v>4.5499999999999999E-2</v>
      </c>
      <c r="AG417" s="21">
        <v>0</v>
      </c>
      <c r="AH417" s="21">
        <v>0</v>
      </c>
      <c r="AI417" s="21">
        <v>0</v>
      </c>
      <c r="AJ417" s="21">
        <v>0.66669999999999996</v>
      </c>
      <c r="AK417" s="21">
        <v>0</v>
      </c>
      <c r="AL417" s="21">
        <v>0</v>
      </c>
      <c r="AM417" s="21">
        <v>0</v>
      </c>
      <c r="AN417" s="21">
        <v>0</v>
      </c>
      <c r="AP417" s="21">
        <v>69</v>
      </c>
      <c r="AQ417" s="21">
        <v>69</v>
      </c>
      <c r="AR417" s="21">
        <v>63</v>
      </c>
      <c r="AS417" s="21">
        <v>7</v>
      </c>
      <c r="AU417" s="21">
        <v>81</v>
      </c>
      <c r="AV417" s="21">
        <v>38</v>
      </c>
    </row>
    <row r="418" spans="1:48" x14ac:dyDescent="0.15">
      <c r="A418" s="20" t="s">
        <v>58</v>
      </c>
      <c r="B418" s="20" t="s">
        <v>90</v>
      </c>
      <c r="C418" s="21">
        <v>0</v>
      </c>
      <c r="D418" s="21">
        <v>0</v>
      </c>
      <c r="E418" s="21">
        <v>0</v>
      </c>
      <c r="F418" s="21">
        <v>0</v>
      </c>
      <c r="AB418" s="21">
        <v>0</v>
      </c>
      <c r="AC418" s="21">
        <v>0</v>
      </c>
      <c r="AD418" s="21">
        <v>0</v>
      </c>
      <c r="AE418" s="21">
        <v>0</v>
      </c>
      <c r="AF418" s="21">
        <v>0</v>
      </c>
      <c r="AG418" s="21">
        <v>0</v>
      </c>
      <c r="AH418" s="21">
        <v>0</v>
      </c>
      <c r="AI418" s="21">
        <v>0</v>
      </c>
      <c r="AJ418" s="21">
        <v>0</v>
      </c>
      <c r="AK418" s="21">
        <v>0</v>
      </c>
      <c r="AL418" s="21">
        <v>0</v>
      </c>
      <c r="AM418" s="21">
        <v>0</v>
      </c>
      <c r="AN418" s="21">
        <v>0</v>
      </c>
      <c r="AV418" s="21">
        <v>0</v>
      </c>
    </row>
    <row r="419" spans="1:48" x14ac:dyDescent="0.15">
      <c r="A419" s="20" t="s">
        <v>59</v>
      </c>
      <c r="B419" s="20" t="s">
        <v>90</v>
      </c>
      <c r="C419" s="21">
        <v>0</v>
      </c>
      <c r="D419" s="21">
        <v>0</v>
      </c>
      <c r="E419" s="21">
        <v>0</v>
      </c>
      <c r="F419" s="21">
        <v>0</v>
      </c>
      <c r="AB419" s="21">
        <v>0</v>
      </c>
      <c r="AC419" s="21">
        <v>0</v>
      </c>
      <c r="AD419" s="21">
        <v>0</v>
      </c>
      <c r="AE419" s="21">
        <v>0</v>
      </c>
      <c r="AF419" s="21">
        <v>0</v>
      </c>
      <c r="AG419" s="21">
        <v>0</v>
      </c>
      <c r="AH419" s="21">
        <v>0</v>
      </c>
      <c r="AI419" s="21">
        <v>0</v>
      </c>
      <c r="AJ419" s="21">
        <v>0</v>
      </c>
      <c r="AK419" s="21">
        <v>0</v>
      </c>
      <c r="AL419" s="21">
        <v>0</v>
      </c>
      <c r="AM419" s="21">
        <v>0</v>
      </c>
      <c r="AN419" s="21">
        <v>0</v>
      </c>
    </row>
    <row r="420" spans="1:48" x14ac:dyDescent="0.15">
      <c r="A420" s="20" t="s">
        <v>60</v>
      </c>
      <c r="B420" s="20" t="s">
        <v>90</v>
      </c>
      <c r="C420" s="21">
        <v>0</v>
      </c>
      <c r="D420" s="21">
        <v>662</v>
      </c>
      <c r="E420" s="21">
        <v>9355</v>
      </c>
      <c r="F420" s="21">
        <v>10016</v>
      </c>
      <c r="G420" s="21">
        <v>1186</v>
      </c>
      <c r="H420" s="21">
        <v>1613</v>
      </c>
      <c r="I420" s="21">
        <v>2933</v>
      </c>
      <c r="J420" s="21">
        <v>3243</v>
      </c>
      <c r="K420" s="21">
        <v>1042</v>
      </c>
      <c r="L420" s="21">
        <v>197</v>
      </c>
      <c r="M420" s="21">
        <v>0.74239999999999995</v>
      </c>
      <c r="N420" s="21">
        <v>0.66669999999999996</v>
      </c>
      <c r="O420" s="21">
        <v>0.54039999999999999</v>
      </c>
      <c r="P420" s="21">
        <v>289</v>
      </c>
      <c r="Q420" s="21">
        <v>0.60209999999999997</v>
      </c>
      <c r="R420" s="21">
        <v>52</v>
      </c>
      <c r="S420" s="21">
        <v>35</v>
      </c>
      <c r="T420" s="21">
        <v>0.15379999999999999</v>
      </c>
      <c r="U420" s="21">
        <v>5.79E-2</v>
      </c>
      <c r="V420" s="21">
        <v>1</v>
      </c>
      <c r="AB420" s="21">
        <v>0</v>
      </c>
      <c r="AC420" s="21">
        <v>0</v>
      </c>
      <c r="AD420" s="21">
        <v>0</v>
      </c>
      <c r="AE420" s="21">
        <v>0</v>
      </c>
      <c r="AF420" s="21">
        <v>0</v>
      </c>
      <c r="AG420" s="21">
        <v>0</v>
      </c>
      <c r="AH420" s="21">
        <v>0</v>
      </c>
      <c r="AI420" s="21">
        <v>0</v>
      </c>
      <c r="AJ420" s="21">
        <v>0</v>
      </c>
      <c r="AK420" s="21">
        <v>0</v>
      </c>
      <c r="AL420" s="21">
        <v>0</v>
      </c>
      <c r="AM420" s="21">
        <v>0</v>
      </c>
      <c r="AN420" s="21">
        <v>0</v>
      </c>
      <c r="AU420" s="21">
        <v>43</v>
      </c>
      <c r="AV420" s="21">
        <v>0</v>
      </c>
    </row>
    <row r="421" spans="1:48" x14ac:dyDescent="0.15">
      <c r="A421" s="20" t="s">
        <v>61</v>
      </c>
      <c r="B421" s="20" t="s">
        <v>90</v>
      </c>
      <c r="C421" s="21">
        <v>0</v>
      </c>
      <c r="D421" s="21">
        <v>479</v>
      </c>
      <c r="E421" s="21">
        <v>13296</v>
      </c>
      <c r="F421" s="21">
        <v>13776</v>
      </c>
      <c r="G421" s="21">
        <v>1087</v>
      </c>
      <c r="H421" s="21">
        <v>3429</v>
      </c>
      <c r="I421" s="21">
        <v>3408</v>
      </c>
      <c r="J421" s="21">
        <v>5852</v>
      </c>
      <c r="L421" s="21">
        <v>130</v>
      </c>
      <c r="M421" s="21">
        <v>0.77439999999999998</v>
      </c>
      <c r="N421" s="21">
        <v>0.69920000000000004</v>
      </c>
      <c r="O421" s="21">
        <v>0.60150000000000003</v>
      </c>
      <c r="P421" s="21">
        <v>159</v>
      </c>
      <c r="Q421" s="21">
        <v>0.76729999999999998</v>
      </c>
      <c r="R421" s="21">
        <v>111</v>
      </c>
      <c r="S421" s="21">
        <v>87</v>
      </c>
      <c r="T421" s="21">
        <v>0.14169999999999999</v>
      </c>
      <c r="U421" s="21">
        <v>9.2600000000000002E-2</v>
      </c>
      <c r="V421" s="21">
        <v>0.98560000000000003</v>
      </c>
      <c r="AB421" s="21">
        <v>0</v>
      </c>
      <c r="AC421" s="21">
        <v>0</v>
      </c>
      <c r="AD421" s="21">
        <v>0</v>
      </c>
      <c r="AE421" s="21">
        <v>0</v>
      </c>
      <c r="AF421" s="21">
        <v>0</v>
      </c>
      <c r="AG421" s="21">
        <v>0</v>
      </c>
      <c r="AH421" s="21">
        <v>0</v>
      </c>
      <c r="AI421" s="21">
        <v>0</v>
      </c>
      <c r="AJ421" s="21">
        <v>0</v>
      </c>
      <c r="AK421" s="21">
        <v>0</v>
      </c>
      <c r="AL421" s="21">
        <v>0</v>
      </c>
      <c r="AM421" s="21">
        <v>0</v>
      </c>
      <c r="AN421" s="21">
        <v>0</v>
      </c>
      <c r="AP421" s="21">
        <v>1</v>
      </c>
      <c r="AQ421" s="21">
        <v>1</v>
      </c>
      <c r="AR421" s="21">
        <v>1</v>
      </c>
      <c r="AS421" s="21">
        <v>0</v>
      </c>
      <c r="AU421" s="21">
        <v>24</v>
      </c>
      <c r="AV421" s="21">
        <v>0</v>
      </c>
    </row>
    <row r="422" spans="1:48" x14ac:dyDescent="0.15">
      <c r="A422" s="20" t="s">
        <v>48</v>
      </c>
      <c r="B422" s="20" t="s">
        <v>91</v>
      </c>
      <c r="C422" s="21">
        <v>0</v>
      </c>
      <c r="D422" s="21">
        <v>1096</v>
      </c>
      <c r="E422" s="21">
        <v>30991</v>
      </c>
      <c r="F422" s="21">
        <v>32087</v>
      </c>
      <c r="H422" s="21">
        <v>18397</v>
      </c>
      <c r="I422" s="21">
        <v>4728</v>
      </c>
      <c r="J422" s="21">
        <v>6942</v>
      </c>
      <c r="K422" s="21">
        <v>33</v>
      </c>
      <c r="L422" s="21">
        <v>304</v>
      </c>
      <c r="M422" s="21">
        <v>0.69379999999999997</v>
      </c>
      <c r="N422" s="21">
        <v>0.66249999999999998</v>
      </c>
      <c r="O422" s="21">
        <v>0.34379999999999999</v>
      </c>
      <c r="P422" s="21">
        <v>650</v>
      </c>
      <c r="Q422" s="21">
        <v>0.40310000000000001</v>
      </c>
      <c r="R422" s="21">
        <v>110</v>
      </c>
      <c r="S422" s="21">
        <v>49</v>
      </c>
      <c r="T422" s="21">
        <v>8.72E-2</v>
      </c>
      <c r="U422" s="21">
        <v>2.8199999999999999E-2</v>
      </c>
      <c r="V422" s="21">
        <v>1</v>
      </c>
      <c r="W422" s="21">
        <v>14</v>
      </c>
      <c r="X422" s="21">
        <v>1</v>
      </c>
      <c r="Y422" s="21">
        <v>31</v>
      </c>
      <c r="Z422" s="21">
        <v>0</v>
      </c>
      <c r="AA422" s="21">
        <v>0</v>
      </c>
      <c r="AB422" s="21">
        <v>144</v>
      </c>
      <c r="AC422" s="21">
        <v>144</v>
      </c>
      <c r="AD422" s="21">
        <v>130</v>
      </c>
      <c r="AE422" s="21">
        <v>31</v>
      </c>
      <c r="AF422" s="21">
        <v>0.26500000000000001</v>
      </c>
      <c r="AG422" s="21">
        <v>0</v>
      </c>
      <c r="AH422" s="21">
        <v>0</v>
      </c>
      <c r="AI422" s="21">
        <v>0</v>
      </c>
      <c r="AJ422" s="21">
        <v>1</v>
      </c>
      <c r="AK422" s="21">
        <v>0</v>
      </c>
      <c r="AL422" s="21">
        <v>0</v>
      </c>
      <c r="AM422" s="21">
        <v>0</v>
      </c>
      <c r="AN422" s="21">
        <v>0</v>
      </c>
      <c r="AO422" s="21">
        <v>0.4133</v>
      </c>
      <c r="AP422" s="21">
        <v>4</v>
      </c>
      <c r="AQ422" s="21">
        <v>4</v>
      </c>
      <c r="AR422" s="21">
        <v>3</v>
      </c>
      <c r="AS422" s="21">
        <v>1</v>
      </c>
      <c r="AU422" s="21">
        <v>10</v>
      </c>
      <c r="AV422" s="21">
        <v>26</v>
      </c>
    </row>
    <row r="423" spans="1:48" x14ac:dyDescent="0.15">
      <c r="A423" s="20" t="s">
        <v>50</v>
      </c>
      <c r="B423" s="20" t="s">
        <v>91</v>
      </c>
      <c r="C423" s="21">
        <v>0</v>
      </c>
      <c r="D423" s="21">
        <v>1486</v>
      </c>
      <c r="E423" s="21">
        <v>14242</v>
      </c>
      <c r="F423" s="21">
        <v>15728</v>
      </c>
      <c r="G423" s="21">
        <v>389</v>
      </c>
      <c r="H423" s="21">
        <v>14767</v>
      </c>
      <c r="I423" s="21">
        <v>0</v>
      </c>
      <c r="J423" s="21">
        <v>226</v>
      </c>
      <c r="K423" s="21">
        <v>152</v>
      </c>
      <c r="L423" s="21">
        <v>300</v>
      </c>
      <c r="M423" s="21">
        <v>0.71750000000000003</v>
      </c>
      <c r="N423" s="21">
        <v>0.63639999999999997</v>
      </c>
      <c r="O423" s="21">
        <v>0.59419999999999995</v>
      </c>
      <c r="P423" s="21">
        <v>603</v>
      </c>
      <c r="Q423" s="21">
        <v>0.43619999999999998</v>
      </c>
      <c r="R423" s="21">
        <v>54</v>
      </c>
      <c r="S423" s="21">
        <v>26</v>
      </c>
      <c r="T423" s="21">
        <v>0.10680000000000001</v>
      </c>
      <c r="U423" s="21">
        <v>3.6900000000000002E-2</v>
      </c>
      <c r="V423" s="21">
        <v>0.3725</v>
      </c>
      <c r="W423" s="21">
        <v>5</v>
      </c>
      <c r="X423" s="21">
        <v>0</v>
      </c>
      <c r="Y423" s="21">
        <v>23</v>
      </c>
      <c r="Z423" s="21">
        <v>0</v>
      </c>
      <c r="AA423" s="21">
        <v>0</v>
      </c>
      <c r="AB423" s="21">
        <v>86</v>
      </c>
      <c r="AC423" s="21">
        <v>86</v>
      </c>
      <c r="AD423" s="21">
        <v>87</v>
      </c>
      <c r="AE423" s="21">
        <v>10</v>
      </c>
      <c r="AF423" s="21">
        <v>0.11360000000000001</v>
      </c>
      <c r="AG423" s="21">
        <v>0</v>
      </c>
      <c r="AH423" s="21">
        <v>0</v>
      </c>
      <c r="AI423" s="21">
        <v>0</v>
      </c>
      <c r="AJ423" s="21">
        <v>0.66669999999999996</v>
      </c>
      <c r="AK423" s="21">
        <v>0</v>
      </c>
      <c r="AL423" s="21">
        <v>0</v>
      </c>
      <c r="AM423" s="21">
        <v>0</v>
      </c>
      <c r="AN423" s="21">
        <v>0</v>
      </c>
      <c r="AP423" s="21">
        <v>18</v>
      </c>
      <c r="AQ423" s="21">
        <v>18</v>
      </c>
      <c r="AR423" s="21">
        <v>17</v>
      </c>
      <c r="AS423" s="21">
        <v>0</v>
      </c>
      <c r="AU423" s="21">
        <v>12</v>
      </c>
      <c r="AV423" s="21">
        <v>1</v>
      </c>
    </row>
    <row r="424" spans="1:48" x14ac:dyDescent="0.15">
      <c r="A424" s="20" t="s">
        <v>51</v>
      </c>
      <c r="B424" s="20" t="s">
        <v>91</v>
      </c>
      <c r="C424" s="21">
        <v>2</v>
      </c>
      <c r="D424" s="21">
        <v>3030</v>
      </c>
      <c r="E424" s="21">
        <v>60229</v>
      </c>
      <c r="F424" s="21">
        <v>63261</v>
      </c>
      <c r="G424" s="21">
        <v>1046</v>
      </c>
      <c r="H424" s="21">
        <v>24934</v>
      </c>
      <c r="I424" s="21">
        <v>18229</v>
      </c>
      <c r="J424" s="21">
        <v>11608</v>
      </c>
      <c r="K424" s="21">
        <v>6299</v>
      </c>
      <c r="L424" s="21">
        <v>1286</v>
      </c>
      <c r="M424" s="21">
        <v>0.72919999999999996</v>
      </c>
      <c r="N424" s="21">
        <v>0.67230000000000001</v>
      </c>
      <c r="O424" s="21">
        <v>0.45540000000000003</v>
      </c>
      <c r="P424" s="21">
        <v>2703</v>
      </c>
      <c r="Q424" s="21">
        <v>0.47020000000000001</v>
      </c>
      <c r="R424" s="21">
        <v>51</v>
      </c>
      <c r="S424" s="21">
        <v>23</v>
      </c>
      <c r="T424" s="21">
        <v>0.1255</v>
      </c>
      <c r="U424" s="21">
        <v>5.21E-2</v>
      </c>
      <c r="V424" s="21">
        <v>0.82420000000000004</v>
      </c>
      <c r="W424" s="21">
        <v>46</v>
      </c>
      <c r="X424" s="21">
        <v>6</v>
      </c>
      <c r="Y424" s="21">
        <v>183</v>
      </c>
      <c r="Z424" s="21">
        <v>0</v>
      </c>
      <c r="AA424" s="21">
        <v>0</v>
      </c>
      <c r="AB424" s="21">
        <v>180</v>
      </c>
      <c r="AC424" s="21">
        <v>180</v>
      </c>
      <c r="AD424" s="21">
        <v>178</v>
      </c>
      <c r="AE424" s="21">
        <v>14</v>
      </c>
      <c r="AF424" s="21">
        <v>7.9100000000000004E-2</v>
      </c>
      <c r="AG424" s="21">
        <v>0</v>
      </c>
      <c r="AH424" s="21">
        <v>0</v>
      </c>
      <c r="AI424" s="21">
        <v>0</v>
      </c>
      <c r="AJ424" s="21">
        <v>0</v>
      </c>
      <c r="AK424" s="21">
        <v>0</v>
      </c>
      <c r="AL424" s="21">
        <v>0</v>
      </c>
      <c r="AM424" s="21">
        <v>0</v>
      </c>
      <c r="AN424" s="21">
        <v>0</v>
      </c>
      <c r="AP424" s="21">
        <v>19</v>
      </c>
      <c r="AQ424" s="21">
        <v>19</v>
      </c>
      <c r="AR424" s="21">
        <v>19</v>
      </c>
      <c r="AS424" s="21">
        <v>0</v>
      </c>
      <c r="AT424" s="21">
        <v>0</v>
      </c>
      <c r="AU424" s="21">
        <v>50</v>
      </c>
      <c r="AV424" s="21">
        <v>0</v>
      </c>
    </row>
    <row r="425" spans="1:48" x14ac:dyDescent="0.15">
      <c r="A425" s="20" t="s">
        <v>52</v>
      </c>
      <c r="B425" s="20" t="s">
        <v>91</v>
      </c>
      <c r="C425" s="21">
        <v>0</v>
      </c>
      <c r="D425" s="21">
        <v>1730</v>
      </c>
      <c r="E425" s="21">
        <v>45433</v>
      </c>
      <c r="F425" s="21">
        <v>47163</v>
      </c>
      <c r="G425" s="21">
        <v>9783</v>
      </c>
      <c r="H425" s="21">
        <v>10207</v>
      </c>
      <c r="I425" s="21">
        <v>7126</v>
      </c>
      <c r="J425" s="21">
        <v>15406</v>
      </c>
      <c r="K425" s="21">
        <v>1294</v>
      </c>
      <c r="L425" s="21">
        <v>437</v>
      </c>
      <c r="M425" s="21">
        <v>0.71809999999999996</v>
      </c>
      <c r="N425" s="21">
        <v>0.66959999999999997</v>
      </c>
      <c r="O425" s="21">
        <v>0.49559999999999998</v>
      </c>
      <c r="P425" s="21">
        <v>960</v>
      </c>
      <c r="Q425" s="21">
        <v>0.47920000000000001</v>
      </c>
      <c r="R425" s="21">
        <v>109</v>
      </c>
      <c r="S425" s="21">
        <v>49</v>
      </c>
      <c r="T425" s="21">
        <v>9.0999999999999998E-2</v>
      </c>
      <c r="U425" s="21">
        <v>5.2900000000000003E-2</v>
      </c>
      <c r="V425" s="21">
        <v>0.71630000000000005</v>
      </c>
      <c r="W425" s="21">
        <v>8</v>
      </c>
      <c r="X425" s="21">
        <v>0</v>
      </c>
      <c r="Y425" s="21">
        <v>14</v>
      </c>
      <c r="Z425" s="21">
        <v>0</v>
      </c>
      <c r="AA425" s="21">
        <v>0</v>
      </c>
      <c r="AB425" s="21">
        <v>135</v>
      </c>
      <c r="AC425" s="21">
        <v>135</v>
      </c>
      <c r="AD425" s="21">
        <v>130</v>
      </c>
      <c r="AE425" s="21">
        <v>16</v>
      </c>
      <c r="AF425" s="21">
        <v>0.129</v>
      </c>
      <c r="AG425" s="21">
        <v>0</v>
      </c>
      <c r="AH425" s="21">
        <v>0</v>
      </c>
      <c r="AI425" s="21">
        <v>0</v>
      </c>
      <c r="AJ425" s="21">
        <v>0.97140000000000004</v>
      </c>
      <c r="AK425" s="21">
        <v>0</v>
      </c>
      <c r="AL425" s="21">
        <v>0</v>
      </c>
      <c r="AM425" s="21">
        <v>0</v>
      </c>
      <c r="AN425" s="21">
        <v>0</v>
      </c>
      <c r="AO425" s="21">
        <v>0.25290000000000001</v>
      </c>
      <c r="AP425" s="21">
        <v>9</v>
      </c>
      <c r="AQ425" s="21">
        <v>9</v>
      </c>
      <c r="AR425" s="21">
        <v>4</v>
      </c>
      <c r="AS425" s="21">
        <v>5</v>
      </c>
      <c r="AT425" s="21">
        <v>0</v>
      </c>
      <c r="AU425" s="21">
        <v>40</v>
      </c>
      <c r="AV425" s="21">
        <v>1</v>
      </c>
    </row>
    <row r="426" spans="1:48" x14ac:dyDescent="0.15">
      <c r="A426" s="20" t="s">
        <v>53</v>
      </c>
      <c r="B426" s="20" t="s">
        <v>91</v>
      </c>
      <c r="C426" s="21">
        <v>0</v>
      </c>
      <c r="D426" s="21">
        <v>0</v>
      </c>
      <c r="E426" s="21">
        <v>0</v>
      </c>
      <c r="F426" s="21">
        <v>0</v>
      </c>
      <c r="AB426" s="21">
        <v>0</v>
      </c>
      <c r="AC426" s="21">
        <v>0</v>
      </c>
      <c r="AD426" s="21">
        <v>0</v>
      </c>
      <c r="AE426" s="21">
        <v>0</v>
      </c>
      <c r="AF426" s="21">
        <v>0</v>
      </c>
      <c r="AG426" s="21">
        <v>0</v>
      </c>
      <c r="AH426" s="21">
        <v>0</v>
      </c>
      <c r="AI426" s="21">
        <v>0</v>
      </c>
      <c r="AJ426" s="21">
        <v>0</v>
      </c>
      <c r="AK426" s="21">
        <v>0</v>
      </c>
      <c r="AL426" s="21">
        <v>0</v>
      </c>
      <c r="AM426" s="21">
        <v>0</v>
      </c>
      <c r="AN426" s="21">
        <v>0</v>
      </c>
    </row>
    <row r="427" spans="1:48" x14ac:dyDescent="0.15">
      <c r="A427" s="20" t="s">
        <v>0</v>
      </c>
      <c r="B427" s="20" t="s">
        <v>91</v>
      </c>
      <c r="C427" s="21">
        <v>2</v>
      </c>
      <c r="D427" s="21">
        <v>9765</v>
      </c>
      <c r="E427" s="21">
        <v>292155</v>
      </c>
      <c r="F427" s="21">
        <v>301923</v>
      </c>
      <c r="G427" s="21">
        <v>31723</v>
      </c>
      <c r="H427" s="21">
        <v>94619</v>
      </c>
      <c r="I427" s="21">
        <v>62061</v>
      </c>
      <c r="J427" s="21">
        <v>67972</v>
      </c>
      <c r="K427" s="21">
        <v>10766</v>
      </c>
      <c r="L427" s="21">
        <v>3120</v>
      </c>
      <c r="M427" s="21">
        <v>0.72260000000000002</v>
      </c>
      <c r="N427" s="21">
        <v>0.66449999999999998</v>
      </c>
      <c r="O427" s="21">
        <v>0.47699999999999998</v>
      </c>
      <c r="P427" s="21">
        <v>6062</v>
      </c>
      <c r="Q427" s="21">
        <v>0.4924</v>
      </c>
      <c r="R427" s="21">
        <v>100</v>
      </c>
      <c r="S427" s="21">
        <v>50</v>
      </c>
      <c r="T427" s="21">
        <v>0.1012</v>
      </c>
      <c r="U427" s="21">
        <v>4.5499999999999999E-2</v>
      </c>
      <c r="V427" s="21">
        <v>0.69679999999999997</v>
      </c>
      <c r="W427" s="21">
        <v>88</v>
      </c>
      <c r="X427" s="21">
        <v>11</v>
      </c>
      <c r="Y427" s="21">
        <v>273</v>
      </c>
      <c r="Z427" s="21">
        <v>0</v>
      </c>
      <c r="AA427" s="21">
        <v>0</v>
      </c>
      <c r="AB427" s="21">
        <v>768</v>
      </c>
      <c r="AC427" s="21">
        <v>768</v>
      </c>
      <c r="AD427" s="21">
        <v>748</v>
      </c>
      <c r="AE427" s="21">
        <v>95</v>
      </c>
      <c r="AF427" s="21">
        <v>0.1305</v>
      </c>
      <c r="AG427" s="21">
        <v>0</v>
      </c>
      <c r="AH427" s="21">
        <v>0</v>
      </c>
      <c r="AI427" s="21">
        <v>0</v>
      </c>
      <c r="AJ427" s="21">
        <v>0.93149999999999999</v>
      </c>
      <c r="AK427" s="21">
        <v>0</v>
      </c>
      <c r="AL427" s="21">
        <v>0</v>
      </c>
      <c r="AM427" s="21">
        <v>0</v>
      </c>
      <c r="AN427" s="21">
        <v>0</v>
      </c>
      <c r="AO427" s="21">
        <v>0.32479999999999998</v>
      </c>
      <c r="AP427" s="21">
        <v>361</v>
      </c>
      <c r="AQ427" s="21">
        <v>161</v>
      </c>
      <c r="AR427" s="21">
        <v>147</v>
      </c>
      <c r="AS427" s="21">
        <v>13</v>
      </c>
      <c r="AT427" s="21">
        <v>0</v>
      </c>
      <c r="AU427" s="21">
        <v>220</v>
      </c>
      <c r="AV427" s="21">
        <v>38</v>
      </c>
    </row>
    <row r="428" spans="1:48" x14ac:dyDescent="0.15">
      <c r="A428" s="20" t="s">
        <v>54</v>
      </c>
      <c r="B428" s="20" t="s">
        <v>91</v>
      </c>
      <c r="C428" s="21">
        <v>0</v>
      </c>
      <c r="D428" s="21">
        <v>0</v>
      </c>
      <c r="E428" s="21">
        <v>0</v>
      </c>
      <c r="F428" s="21">
        <v>0</v>
      </c>
      <c r="AB428" s="21">
        <v>0</v>
      </c>
      <c r="AC428" s="21">
        <v>0</v>
      </c>
      <c r="AD428" s="21">
        <v>0</v>
      </c>
      <c r="AE428" s="21">
        <v>0</v>
      </c>
      <c r="AF428" s="21">
        <v>0</v>
      </c>
      <c r="AG428" s="21">
        <v>0</v>
      </c>
      <c r="AH428" s="21">
        <v>0</v>
      </c>
      <c r="AI428" s="21">
        <v>0</v>
      </c>
      <c r="AJ428" s="21">
        <v>0</v>
      </c>
      <c r="AK428" s="21">
        <v>0</v>
      </c>
      <c r="AL428" s="21">
        <v>0</v>
      </c>
      <c r="AM428" s="21">
        <v>0</v>
      </c>
      <c r="AN428" s="21">
        <v>0</v>
      </c>
      <c r="AV428" s="21">
        <v>0</v>
      </c>
    </row>
    <row r="429" spans="1:48" x14ac:dyDescent="0.15">
      <c r="A429" s="20" t="s">
        <v>55</v>
      </c>
      <c r="B429" s="20" t="s">
        <v>91</v>
      </c>
      <c r="C429" s="21">
        <v>0</v>
      </c>
      <c r="D429" s="21">
        <v>0</v>
      </c>
      <c r="E429" s="21">
        <v>0</v>
      </c>
      <c r="F429" s="21">
        <v>0</v>
      </c>
      <c r="AB429" s="21">
        <v>0</v>
      </c>
      <c r="AC429" s="21">
        <v>0</v>
      </c>
      <c r="AD429" s="21">
        <v>0</v>
      </c>
      <c r="AE429" s="21">
        <v>0</v>
      </c>
      <c r="AF429" s="21">
        <v>0</v>
      </c>
      <c r="AG429" s="21">
        <v>0</v>
      </c>
      <c r="AH429" s="21">
        <v>0</v>
      </c>
      <c r="AI429" s="21">
        <v>0</v>
      </c>
      <c r="AJ429" s="21">
        <v>0</v>
      </c>
      <c r="AK429" s="21">
        <v>0</v>
      </c>
      <c r="AL429" s="21">
        <v>0</v>
      </c>
      <c r="AM429" s="21">
        <v>0</v>
      </c>
      <c r="AN429" s="21">
        <v>0</v>
      </c>
    </row>
    <row r="430" spans="1:48" x14ac:dyDescent="0.15">
      <c r="A430" s="20" t="s">
        <v>56</v>
      </c>
      <c r="B430" s="20" t="s">
        <v>91</v>
      </c>
      <c r="C430" s="21">
        <v>0</v>
      </c>
      <c r="D430" s="21">
        <v>0</v>
      </c>
      <c r="E430" s="21">
        <v>185</v>
      </c>
      <c r="F430" s="21">
        <v>185</v>
      </c>
      <c r="H430" s="21">
        <v>185</v>
      </c>
      <c r="J430" s="21">
        <v>0</v>
      </c>
      <c r="L430" s="21">
        <v>60</v>
      </c>
      <c r="M430" s="21">
        <v>6.6699999999999995E-2</v>
      </c>
      <c r="N430" s="21">
        <v>6.6699999999999995E-2</v>
      </c>
      <c r="O430" s="21">
        <v>0</v>
      </c>
      <c r="P430" s="21">
        <v>137</v>
      </c>
      <c r="Q430" s="21">
        <v>2.92E-2</v>
      </c>
      <c r="R430" s="21">
        <v>4</v>
      </c>
      <c r="S430" s="21">
        <v>1</v>
      </c>
      <c r="T430" s="21">
        <v>2.7000000000000001E-3</v>
      </c>
      <c r="U430" s="21">
        <v>0</v>
      </c>
      <c r="AB430" s="21">
        <v>0</v>
      </c>
      <c r="AC430" s="21">
        <v>0</v>
      </c>
      <c r="AD430" s="21">
        <v>0</v>
      </c>
      <c r="AE430" s="21">
        <v>0</v>
      </c>
      <c r="AF430" s="21">
        <v>0</v>
      </c>
      <c r="AG430" s="21">
        <v>0</v>
      </c>
      <c r="AH430" s="21">
        <v>0</v>
      </c>
      <c r="AI430" s="21">
        <v>0</v>
      </c>
      <c r="AJ430" s="21">
        <v>0</v>
      </c>
      <c r="AK430" s="21">
        <v>0</v>
      </c>
      <c r="AL430" s="21">
        <v>0</v>
      </c>
      <c r="AM430" s="21">
        <v>0</v>
      </c>
      <c r="AN430" s="21">
        <v>0</v>
      </c>
      <c r="AP430" s="21">
        <v>203</v>
      </c>
      <c r="AQ430" s="21">
        <v>3</v>
      </c>
      <c r="AR430" s="21">
        <v>1</v>
      </c>
      <c r="AS430" s="21">
        <v>2</v>
      </c>
      <c r="AU430" s="21">
        <v>0</v>
      </c>
      <c r="AV430" s="21">
        <v>0</v>
      </c>
    </row>
    <row r="431" spans="1:48" x14ac:dyDescent="0.15">
      <c r="A431" s="20" t="s">
        <v>57</v>
      </c>
      <c r="B431" s="20" t="s">
        <v>91</v>
      </c>
      <c r="C431" s="21">
        <v>0</v>
      </c>
      <c r="D431" s="21">
        <v>1837</v>
      </c>
      <c r="E431" s="21">
        <v>99216</v>
      </c>
      <c r="F431" s="21">
        <v>101053</v>
      </c>
      <c r="G431" s="21">
        <v>17442</v>
      </c>
      <c r="H431" s="21">
        <v>16110</v>
      </c>
      <c r="I431" s="21">
        <v>15165</v>
      </c>
      <c r="J431" s="21">
        <v>23301</v>
      </c>
      <c r="K431" s="21">
        <v>1809</v>
      </c>
      <c r="L431" s="21">
        <v>369</v>
      </c>
      <c r="M431" s="21">
        <v>0.82340000000000002</v>
      </c>
      <c r="N431" s="21">
        <v>0.70389999999999997</v>
      </c>
      <c r="O431" s="21">
        <v>0.7429</v>
      </c>
      <c r="P431" s="21">
        <v>522</v>
      </c>
      <c r="Q431" s="21">
        <v>0.71840000000000004</v>
      </c>
      <c r="R431" s="21">
        <v>273</v>
      </c>
      <c r="S431" s="21">
        <v>194</v>
      </c>
      <c r="T431" s="21">
        <v>0.1052</v>
      </c>
      <c r="U431" s="21">
        <v>3.2000000000000001E-2</v>
      </c>
      <c r="V431" s="21">
        <v>0.65849999999999997</v>
      </c>
      <c r="W431" s="21">
        <v>16</v>
      </c>
      <c r="X431" s="21">
        <v>3</v>
      </c>
      <c r="Y431" s="21">
        <v>22</v>
      </c>
      <c r="Z431" s="21">
        <v>0</v>
      </c>
      <c r="AA431" s="21">
        <v>0.2</v>
      </c>
      <c r="AB431" s="21">
        <v>223</v>
      </c>
      <c r="AC431" s="21">
        <v>223</v>
      </c>
      <c r="AD431" s="21">
        <v>222</v>
      </c>
      <c r="AE431" s="21">
        <v>24</v>
      </c>
      <c r="AF431" s="21">
        <v>0.1081</v>
      </c>
      <c r="AG431" s="21">
        <v>0</v>
      </c>
      <c r="AH431" s="21">
        <v>0</v>
      </c>
      <c r="AI431" s="21">
        <v>0</v>
      </c>
      <c r="AJ431" s="21">
        <v>0.89470000000000005</v>
      </c>
      <c r="AK431" s="21">
        <v>0</v>
      </c>
      <c r="AL431" s="21">
        <v>0</v>
      </c>
      <c r="AM431" s="21">
        <v>0</v>
      </c>
      <c r="AN431" s="21">
        <v>0</v>
      </c>
      <c r="AP431" s="21">
        <v>108</v>
      </c>
      <c r="AQ431" s="21">
        <v>108</v>
      </c>
      <c r="AR431" s="21">
        <v>102</v>
      </c>
      <c r="AS431" s="21">
        <v>5</v>
      </c>
      <c r="AU431" s="21">
        <v>92</v>
      </c>
      <c r="AV431" s="21">
        <v>10</v>
      </c>
    </row>
    <row r="432" spans="1:48" x14ac:dyDescent="0.15">
      <c r="A432" s="20" t="s">
        <v>58</v>
      </c>
      <c r="B432" s="20" t="s">
        <v>91</v>
      </c>
      <c r="C432" s="21">
        <v>0</v>
      </c>
      <c r="D432" s="21">
        <v>0</v>
      </c>
      <c r="E432" s="21">
        <v>0</v>
      </c>
      <c r="F432" s="21">
        <v>0</v>
      </c>
      <c r="AB432" s="21">
        <v>0</v>
      </c>
      <c r="AC432" s="21">
        <v>0</v>
      </c>
      <c r="AD432" s="21">
        <v>0</v>
      </c>
      <c r="AE432" s="21">
        <v>0</v>
      </c>
      <c r="AF432" s="21">
        <v>0</v>
      </c>
      <c r="AG432" s="21">
        <v>0</v>
      </c>
      <c r="AH432" s="21">
        <v>0</v>
      </c>
      <c r="AI432" s="21">
        <v>0</v>
      </c>
      <c r="AJ432" s="21">
        <v>0</v>
      </c>
      <c r="AK432" s="21">
        <v>0</v>
      </c>
      <c r="AL432" s="21">
        <v>0</v>
      </c>
      <c r="AM432" s="21">
        <v>0</v>
      </c>
      <c r="AN432" s="21">
        <v>0</v>
      </c>
      <c r="AV432" s="21">
        <v>0</v>
      </c>
    </row>
    <row r="433" spans="1:48" x14ac:dyDescent="0.15">
      <c r="A433" s="20" t="s">
        <v>59</v>
      </c>
      <c r="B433" s="20" t="s">
        <v>91</v>
      </c>
      <c r="C433" s="21">
        <v>0</v>
      </c>
      <c r="D433" s="21">
        <v>0</v>
      </c>
      <c r="E433" s="21">
        <v>0</v>
      </c>
      <c r="F433" s="21">
        <v>0</v>
      </c>
      <c r="AB433" s="21">
        <v>0</v>
      </c>
      <c r="AC433" s="21">
        <v>0</v>
      </c>
      <c r="AD433" s="21">
        <v>0</v>
      </c>
      <c r="AE433" s="21">
        <v>0</v>
      </c>
      <c r="AF433" s="21">
        <v>0</v>
      </c>
      <c r="AG433" s="21">
        <v>0</v>
      </c>
      <c r="AH433" s="21">
        <v>0</v>
      </c>
      <c r="AI433" s="21">
        <v>0</v>
      </c>
      <c r="AJ433" s="21">
        <v>0</v>
      </c>
      <c r="AK433" s="21">
        <v>0</v>
      </c>
      <c r="AL433" s="21">
        <v>0</v>
      </c>
      <c r="AM433" s="21">
        <v>0</v>
      </c>
      <c r="AN433" s="21">
        <v>0</v>
      </c>
    </row>
    <row r="434" spans="1:48" x14ac:dyDescent="0.15">
      <c r="A434" s="20" t="s">
        <v>60</v>
      </c>
      <c r="B434" s="20" t="s">
        <v>91</v>
      </c>
      <c r="C434" s="21">
        <v>0</v>
      </c>
      <c r="D434" s="21">
        <v>-15</v>
      </c>
      <c r="E434" s="21">
        <v>27718</v>
      </c>
      <c r="F434" s="21">
        <v>27703</v>
      </c>
      <c r="G434" s="21">
        <v>1642</v>
      </c>
      <c r="H434" s="21">
        <v>6610</v>
      </c>
      <c r="I434" s="21">
        <v>12195</v>
      </c>
      <c r="J434" s="21">
        <v>6077</v>
      </c>
      <c r="K434" s="21">
        <v>1178</v>
      </c>
      <c r="L434" s="21">
        <v>212</v>
      </c>
      <c r="M434" s="21">
        <v>0.71230000000000004</v>
      </c>
      <c r="N434" s="21">
        <v>0.71230000000000004</v>
      </c>
      <c r="O434" s="21">
        <v>0.1187</v>
      </c>
      <c r="P434" s="21">
        <v>315</v>
      </c>
      <c r="Q434" s="21">
        <v>0.68569999999999998</v>
      </c>
      <c r="R434" s="21">
        <v>135</v>
      </c>
      <c r="S434" s="21">
        <v>88</v>
      </c>
      <c r="T434" s="21">
        <v>6.6199999999999995E-2</v>
      </c>
      <c r="U434" s="21">
        <v>5.45E-2</v>
      </c>
      <c r="V434" s="21">
        <v>0.85780000000000001</v>
      </c>
      <c r="AB434" s="21">
        <v>0</v>
      </c>
      <c r="AC434" s="21">
        <v>0</v>
      </c>
      <c r="AD434" s="21">
        <v>0</v>
      </c>
      <c r="AE434" s="21">
        <v>0</v>
      </c>
      <c r="AF434" s="21">
        <v>0</v>
      </c>
      <c r="AG434" s="21">
        <v>0</v>
      </c>
      <c r="AH434" s="21">
        <v>0</v>
      </c>
      <c r="AI434" s="21">
        <v>0</v>
      </c>
      <c r="AJ434" s="21">
        <v>0</v>
      </c>
      <c r="AK434" s="21">
        <v>0</v>
      </c>
      <c r="AL434" s="21">
        <v>0</v>
      </c>
      <c r="AM434" s="21">
        <v>0</v>
      </c>
      <c r="AN434" s="21">
        <v>0</v>
      </c>
      <c r="AU434" s="21">
        <v>3</v>
      </c>
      <c r="AV434" s="21">
        <v>0</v>
      </c>
    </row>
    <row r="435" spans="1:48" x14ac:dyDescent="0.15">
      <c r="A435" s="20" t="s">
        <v>61</v>
      </c>
      <c r="B435" s="20" t="s">
        <v>91</v>
      </c>
      <c r="C435" s="21">
        <v>0</v>
      </c>
      <c r="D435" s="21">
        <v>602</v>
      </c>
      <c r="E435" s="21">
        <v>14141</v>
      </c>
      <c r="F435" s="21">
        <v>14742</v>
      </c>
      <c r="G435" s="21">
        <v>1421</v>
      </c>
      <c r="H435" s="21">
        <v>3408</v>
      </c>
      <c r="I435" s="21">
        <v>4618</v>
      </c>
      <c r="J435" s="21">
        <v>4412</v>
      </c>
      <c r="K435" s="21">
        <v>0</v>
      </c>
      <c r="L435" s="21">
        <v>152</v>
      </c>
      <c r="M435" s="21">
        <v>0.76770000000000005</v>
      </c>
      <c r="N435" s="21">
        <v>0.7097</v>
      </c>
      <c r="O435" s="21">
        <v>0.6774</v>
      </c>
      <c r="P435" s="21">
        <v>172</v>
      </c>
      <c r="Q435" s="21">
        <v>0.77910000000000001</v>
      </c>
      <c r="R435" s="21">
        <v>105</v>
      </c>
      <c r="S435" s="21">
        <v>86</v>
      </c>
      <c r="T435" s="21">
        <v>8.7999999999999995E-2</v>
      </c>
      <c r="U435" s="21">
        <v>0.1007</v>
      </c>
      <c r="V435" s="21">
        <v>0.62050000000000005</v>
      </c>
      <c r="AB435" s="21">
        <v>0</v>
      </c>
      <c r="AC435" s="21">
        <v>0</v>
      </c>
      <c r="AD435" s="21">
        <v>0</v>
      </c>
      <c r="AE435" s="21">
        <v>0</v>
      </c>
      <c r="AF435" s="21">
        <v>0</v>
      </c>
      <c r="AG435" s="21">
        <v>0</v>
      </c>
      <c r="AH435" s="21">
        <v>0</v>
      </c>
      <c r="AI435" s="21">
        <v>0</v>
      </c>
      <c r="AJ435" s="21">
        <v>0</v>
      </c>
      <c r="AK435" s="21">
        <v>0</v>
      </c>
      <c r="AL435" s="21">
        <v>0</v>
      </c>
      <c r="AM435" s="21">
        <v>0</v>
      </c>
      <c r="AN435" s="21">
        <v>0</v>
      </c>
      <c r="AP435" s="21">
        <v>0</v>
      </c>
      <c r="AQ435" s="21">
        <v>0</v>
      </c>
      <c r="AR435" s="21">
        <v>0</v>
      </c>
      <c r="AS435" s="21">
        <v>0</v>
      </c>
      <c r="AU435" s="21">
        <v>13</v>
      </c>
      <c r="AV435" s="21">
        <v>0</v>
      </c>
    </row>
    <row r="436" spans="1:48" x14ac:dyDescent="0.15">
      <c r="A436" s="20" t="s">
        <v>48</v>
      </c>
      <c r="B436" s="20" t="s">
        <v>92</v>
      </c>
      <c r="C436" s="21">
        <v>0</v>
      </c>
      <c r="D436" s="21">
        <v>16</v>
      </c>
      <c r="E436" s="21">
        <v>86669</v>
      </c>
      <c r="F436" s="21">
        <v>86685</v>
      </c>
      <c r="H436" s="21">
        <v>31073</v>
      </c>
      <c r="I436" s="21">
        <v>15622</v>
      </c>
      <c r="J436" s="21">
        <v>15595</v>
      </c>
      <c r="K436" s="21">
        <v>18227</v>
      </c>
      <c r="L436" s="21">
        <v>307</v>
      </c>
      <c r="M436" s="21">
        <v>0.85799999999999998</v>
      </c>
      <c r="N436" s="21">
        <v>0.85489999999999999</v>
      </c>
      <c r="O436" s="21">
        <v>7.5700000000000003E-2</v>
      </c>
      <c r="P436" s="21">
        <v>672</v>
      </c>
      <c r="Q436" s="21">
        <v>0.53420000000000001</v>
      </c>
      <c r="R436" s="21">
        <v>285</v>
      </c>
      <c r="S436" s="21">
        <v>129</v>
      </c>
      <c r="T436" s="21">
        <v>7.8899999999999998E-2</v>
      </c>
      <c r="U436" s="21">
        <v>0.05</v>
      </c>
      <c r="V436" s="21">
        <v>0.67500000000000004</v>
      </c>
      <c r="W436" s="21">
        <v>141</v>
      </c>
      <c r="X436" s="21">
        <v>126</v>
      </c>
      <c r="Y436" s="21">
        <v>114</v>
      </c>
      <c r="Z436" s="21">
        <v>0.9</v>
      </c>
      <c r="AA436" s="21">
        <v>1.1000000000000001</v>
      </c>
      <c r="AB436" s="21">
        <v>124</v>
      </c>
      <c r="AC436" s="21">
        <v>124</v>
      </c>
      <c r="AD436" s="21">
        <v>134</v>
      </c>
      <c r="AE436" s="21">
        <v>6</v>
      </c>
      <c r="AF436" s="21">
        <v>4.1700000000000001E-2</v>
      </c>
      <c r="AG436" s="21">
        <v>0</v>
      </c>
      <c r="AH436" s="21">
        <v>0</v>
      </c>
      <c r="AI436" s="21">
        <v>0</v>
      </c>
      <c r="AJ436" s="21">
        <v>0.65310000000000001</v>
      </c>
      <c r="AK436" s="21">
        <v>0</v>
      </c>
      <c r="AL436" s="21">
        <v>0</v>
      </c>
      <c r="AM436" s="21">
        <v>0</v>
      </c>
      <c r="AN436" s="21">
        <v>0</v>
      </c>
      <c r="AO436" s="21">
        <v>0.61850000000000005</v>
      </c>
      <c r="AP436" s="21">
        <v>34</v>
      </c>
      <c r="AQ436" s="21">
        <v>34</v>
      </c>
      <c r="AR436" s="21">
        <v>34</v>
      </c>
      <c r="AS436" s="21">
        <v>0</v>
      </c>
      <c r="AU436" s="21">
        <v>30</v>
      </c>
      <c r="AV436" s="21">
        <v>8</v>
      </c>
    </row>
    <row r="437" spans="1:48" x14ac:dyDescent="0.15">
      <c r="A437" s="20" t="s">
        <v>50</v>
      </c>
      <c r="B437" s="20" t="s">
        <v>92</v>
      </c>
      <c r="C437" s="21">
        <v>0</v>
      </c>
      <c r="D437" s="21">
        <v>-25</v>
      </c>
      <c r="E437" s="21">
        <v>60061</v>
      </c>
      <c r="F437" s="21">
        <v>60036</v>
      </c>
      <c r="G437" s="21">
        <v>2540</v>
      </c>
      <c r="H437" s="21">
        <v>40754</v>
      </c>
      <c r="I437" s="21">
        <v>0</v>
      </c>
      <c r="J437" s="21">
        <v>3359</v>
      </c>
      <c r="K437" s="21">
        <v>11656</v>
      </c>
      <c r="L437" s="21">
        <v>311</v>
      </c>
      <c r="M437" s="21">
        <v>0.85529999999999995</v>
      </c>
      <c r="N437" s="21">
        <v>0.85219999999999996</v>
      </c>
      <c r="O437" s="21">
        <v>0.10059999999999999</v>
      </c>
      <c r="P437" s="21">
        <v>665</v>
      </c>
      <c r="Q437" s="21">
        <v>0.59099999999999997</v>
      </c>
      <c r="R437" s="21">
        <v>197</v>
      </c>
      <c r="S437" s="21">
        <v>90</v>
      </c>
      <c r="T437" s="21">
        <v>6.1400000000000003E-2</v>
      </c>
      <c r="U437" s="21">
        <v>6.1600000000000002E-2</v>
      </c>
      <c r="V437" s="21">
        <v>0.50309999999999999</v>
      </c>
      <c r="W437" s="21">
        <v>191</v>
      </c>
      <c r="X437" s="21">
        <v>164</v>
      </c>
      <c r="Y437" s="21">
        <v>275</v>
      </c>
      <c r="Z437" s="21">
        <v>1.1000000000000001</v>
      </c>
      <c r="AA437" s="21">
        <v>0.6</v>
      </c>
      <c r="AB437" s="21">
        <v>226</v>
      </c>
      <c r="AC437" s="21">
        <v>226</v>
      </c>
      <c r="AD437" s="21">
        <v>156</v>
      </c>
      <c r="AE437" s="21">
        <v>185</v>
      </c>
      <c r="AF437" s="21">
        <v>2.1511999999999998</v>
      </c>
      <c r="AG437" s="21">
        <v>0</v>
      </c>
      <c r="AH437" s="21">
        <v>0</v>
      </c>
      <c r="AI437" s="21">
        <v>0</v>
      </c>
      <c r="AJ437" s="21">
        <v>0.35560000000000003</v>
      </c>
      <c r="AK437" s="21">
        <v>0</v>
      </c>
      <c r="AL437" s="21">
        <v>0</v>
      </c>
      <c r="AM437" s="21">
        <v>0</v>
      </c>
      <c r="AN437" s="21">
        <v>0</v>
      </c>
      <c r="AO437" s="21">
        <v>0.63900000000000001</v>
      </c>
      <c r="AP437" s="21">
        <v>46</v>
      </c>
      <c r="AQ437" s="21">
        <v>46</v>
      </c>
      <c r="AR437" s="21">
        <v>46</v>
      </c>
      <c r="AS437" s="21">
        <v>0</v>
      </c>
      <c r="AU437" s="21">
        <v>10</v>
      </c>
      <c r="AV437" s="21">
        <v>52</v>
      </c>
    </row>
    <row r="438" spans="1:48" x14ac:dyDescent="0.15">
      <c r="A438" s="20" t="s">
        <v>51</v>
      </c>
      <c r="B438" s="20" t="s">
        <v>92</v>
      </c>
      <c r="C438" s="21">
        <v>-2</v>
      </c>
      <c r="D438" s="21">
        <v>-32</v>
      </c>
      <c r="E438" s="21">
        <v>187010</v>
      </c>
      <c r="F438" s="21">
        <v>186976</v>
      </c>
      <c r="G438" s="21">
        <v>1659</v>
      </c>
      <c r="H438" s="21">
        <v>43960</v>
      </c>
      <c r="I438" s="21">
        <v>28745</v>
      </c>
      <c r="J438" s="21">
        <v>26137</v>
      </c>
      <c r="K438" s="21">
        <v>85189</v>
      </c>
      <c r="L438" s="21">
        <v>1338</v>
      </c>
      <c r="M438" s="21">
        <v>0.80800000000000005</v>
      </c>
      <c r="N438" s="21">
        <v>0.80720000000000003</v>
      </c>
      <c r="O438" s="21">
        <v>9.8199999999999996E-2</v>
      </c>
      <c r="P438" s="21">
        <v>2807</v>
      </c>
      <c r="Q438" s="21">
        <v>0.6623</v>
      </c>
      <c r="R438" s="21">
        <v>143</v>
      </c>
      <c r="S438" s="21">
        <v>67</v>
      </c>
      <c r="T438" s="21">
        <v>9.74E-2</v>
      </c>
      <c r="U438" s="21">
        <v>9.7600000000000006E-2</v>
      </c>
      <c r="V438" s="21">
        <v>0.71830000000000005</v>
      </c>
      <c r="W438" s="21">
        <v>207</v>
      </c>
      <c r="X438" s="21">
        <v>124</v>
      </c>
      <c r="Y438" s="21">
        <v>213</v>
      </c>
      <c r="Z438" s="21">
        <v>0.7</v>
      </c>
      <c r="AA438" s="21">
        <v>0.6</v>
      </c>
      <c r="AB438" s="21">
        <v>168</v>
      </c>
      <c r="AC438" s="21">
        <v>168</v>
      </c>
      <c r="AD438" s="21">
        <v>174</v>
      </c>
      <c r="AE438" s="21">
        <v>5</v>
      </c>
      <c r="AF438" s="21">
        <v>2.7799999999999998E-2</v>
      </c>
      <c r="AG438" s="21">
        <v>0</v>
      </c>
      <c r="AH438" s="21">
        <v>0</v>
      </c>
      <c r="AI438" s="21">
        <v>0</v>
      </c>
      <c r="AJ438" s="21">
        <v>0</v>
      </c>
      <c r="AK438" s="21">
        <v>0</v>
      </c>
      <c r="AL438" s="21">
        <v>0</v>
      </c>
      <c r="AM438" s="21">
        <v>0</v>
      </c>
      <c r="AN438" s="21">
        <v>0</v>
      </c>
      <c r="AP438" s="21">
        <v>37</v>
      </c>
      <c r="AQ438" s="21">
        <v>37</v>
      </c>
      <c r="AR438" s="21">
        <v>36</v>
      </c>
      <c r="AS438" s="21">
        <v>0</v>
      </c>
      <c r="AT438" s="21">
        <v>0</v>
      </c>
      <c r="AU438" s="21">
        <v>87</v>
      </c>
      <c r="AV438" s="21">
        <v>0</v>
      </c>
    </row>
    <row r="439" spans="1:48" x14ac:dyDescent="0.15">
      <c r="A439" s="20" t="s">
        <v>52</v>
      </c>
      <c r="B439" s="20" t="s">
        <v>92</v>
      </c>
      <c r="C439" s="21">
        <v>0</v>
      </c>
      <c r="D439" s="21">
        <v>-44</v>
      </c>
      <c r="E439" s="21">
        <v>107660</v>
      </c>
      <c r="F439" s="21">
        <v>107615</v>
      </c>
      <c r="G439" s="21">
        <v>17297</v>
      </c>
      <c r="H439" s="21">
        <v>19570</v>
      </c>
      <c r="I439" s="21">
        <v>13809</v>
      </c>
      <c r="J439" s="21">
        <v>30301</v>
      </c>
      <c r="K439" s="21">
        <v>19842</v>
      </c>
      <c r="L439" s="21">
        <v>436</v>
      </c>
      <c r="M439" s="21">
        <v>0.79910000000000003</v>
      </c>
      <c r="N439" s="21">
        <v>0.79910000000000003</v>
      </c>
      <c r="O439" s="21">
        <v>2.23E-2</v>
      </c>
      <c r="P439" s="21">
        <v>1111</v>
      </c>
      <c r="Q439" s="21">
        <v>0.5302</v>
      </c>
      <c r="R439" s="21">
        <v>248</v>
      </c>
      <c r="S439" s="21">
        <v>97</v>
      </c>
      <c r="T439" s="21">
        <v>7.85E-2</v>
      </c>
      <c r="U439" s="21">
        <v>7.85E-2</v>
      </c>
      <c r="V439" s="21">
        <v>0.46539999999999998</v>
      </c>
      <c r="W439" s="21">
        <v>76</v>
      </c>
      <c r="X439" s="21">
        <v>63</v>
      </c>
      <c r="Y439" s="21">
        <v>87</v>
      </c>
      <c r="Z439" s="21">
        <v>0.5</v>
      </c>
      <c r="AA439" s="21">
        <v>0.7</v>
      </c>
      <c r="AB439" s="21">
        <v>107</v>
      </c>
      <c r="AC439" s="21">
        <v>107</v>
      </c>
      <c r="AD439" s="21">
        <v>121</v>
      </c>
      <c r="AE439" s="21">
        <v>0</v>
      </c>
      <c r="AF439" s="21">
        <v>0</v>
      </c>
      <c r="AG439" s="21">
        <v>0</v>
      </c>
      <c r="AH439" s="21">
        <v>0</v>
      </c>
      <c r="AI439" s="21">
        <v>0</v>
      </c>
      <c r="AJ439" s="21">
        <v>0.8286</v>
      </c>
      <c r="AK439" s="21">
        <v>0</v>
      </c>
      <c r="AL439" s="21">
        <v>0</v>
      </c>
      <c r="AM439" s="21">
        <v>0</v>
      </c>
      <c r="AN439" s="21">
        <v>0</v>
      </c>
      <c r="AO439" s="21">
        <v>0.91839999999999999</v>
      </c>
      <c r="AP439" s="21">
        <v>5</v>
      </c>
      <c r="AQ439" s="21">
        <v>5</v>
      </c>
      <c r="AR439" s="21">
        <v>5</v>
      </c>
      <c r="AS439" s="21">
        <v>0</v>
      </c>
      <c r="AT439" s="21">
        <v>0</v>
      </c>
      <c r="AU439" s="21">
        <v>97</v>
      </c>
      <c r="AV439" s="21">
        <v>7</v>
      </c>
    </row>
    <row r="440" spans="1:48" x14ac:dyDescent="0.15">
      <c r="A440" s="20" t="s">
        <v>53</v>
      </c>
      <c r="B440" s="20" t="s">
        <v>92</v>
      </c>
      <c r="C440" s="21">
        <v>0</v>
      </c>
      <c r="D440" s="21">
        <v>0</v>
      </c>
      <c r="E440" s="21">
        <v>0</v>
      </c>
      <c r="F440" s="21">
        <v>0</v>
      </c>
      <c r="AB440" s="21">
        <v>0</v>
      </c>
      <c r="AC440" s="21">
        <v>0</v>
      </c>
      <c r="AD440" s="21">
        <v>0</v>
      </c>
      <c r="AE440" s="21">
        <v>0</v>
      </c>
      <c r="AF440" s="21">
        <v>0</v>
      </c>
      <c r="AG440" s="21">
        <v>0</v>
      </c>
      <c r="AH440" s="21">
        <v>0</v>
      </c>
      <c r="AI440" s="21">
        <v>0</v>
      </c>
      <c r="AJ440" s="21">
        <v>0</v>
      </c>
      <c r="AK440" s="21">
        <v>0</v>
      </c>
      <c r="AL440" s="21">
        <v>0</v>
      </c>
      <c r="AM440" s="21">
        <v>0</v>
      </c>
      <c r="AN440" s="21">
        <v>0</v>
      </c>
    </row>
    <row r="441" spans="1:48" x14ac:dyDescent="0.15">
      <c r="A441" s="20" t="s">
        <v>0</v>
      </c>
      <c r="B441" s="20" t="s">
        <v>92</v>
      </c>
      <c r="C441" s="21">
        <v>-2</v>
      </c>
      <c r="D441" s="21">
        <v>-49</v>
      </c>
      <c r="E441" s="21">
        <v>670930</v>
      </c>
      <c r="F441" s="21">
        <v>670880</v>
      </c>
      <c r="G441" s="21">
        <v>52120</v>
      </c>
      <c r="H441" s="21">
        <v>184832</v>
      </c>
      <c r="I441" s="21">
        <v>105052</v>
      </c>
      <c r="J441" s="21">
        <v>132211</v>
      </c>
      <c r="K441" s="21">
        <v>164938</v>
      </c>
      <c r="L441" s="21">
        <v>3207</v>
      </c>
      <c r="M441" s="21">
        <v>0.80010000000000003</v>
      </c>
      <c r="N441" s="21">
        <v>0.8004</v>
      </c>
      <c r="O441" s="21">
        <v>8.6900000000000005E-2</v>
      </c>
      <c r="P441" s="21">
        <v>6513</v>
      </c>
      <c r="Q441" s="21">
        <v>0.62839999999999996</v>
      </c>
      <c r="R441" s="21">
        <v>213</v>
      </c>
      <c r="S441" s="21">
        <v>103</v>
      </c>
      <c r="T441" s="21">
        <v>7.9799999999999996E-2</v>
      </c>
      <c r="U441" s="21">
        <v>7.9500000000000001E-2</v>
      </c>
      <c r="V441" s="21">
        <v>0.64</v>
      </c>
      <c r="W441" s="21">
        <v>851</v>
      </c>
      <c r="X441" s="21">
        <v>679</v>
      </c>
      <c r="Y441" s="21">
        <v>938</v>
      </c>
      <c r="Z441" s="21">
        <v>0.8</v>
      </c>
      <c r="AA441" s="21">
        <v>0.7</v>
      </c>
      <c r="AB441" s="21">
        <v>867</v>
      </c>
      <c r="AC441" s="21">
        <v>865</v>
      </c>
      <c r="AD441" s="21">
        <v>818</v>
      </c>
      <c r="AE441" s="21">
        <v>319</v>
      </c>
      <c r="AF441" s="21">
        <v>0.41539999999999999</v>
      </c>
      <c r="AG441" s="21">
        <v>0</v>
      </c>
      <c r="AH441" s="21">
        <v>0</v>
      </c>
      <c r="AI441" s="21">
        <v>0</v>
      </c>
      <c r="AJ441" s="21">
        <v>0.60119999999999996</v>
      </c>
      <c r="AK441" s="21">
        <v>0</v>
      </c>
      <c r="AL441" s="21">
        <v>0</v>
      </c>
      <c r="AM441" s="21">
        <v>0</v>
      </c>
      <c r="AN441" s="21">
        <v>0</v>
      </c>
      <c r="AO441" s="21">
        <v>0.4073</v>
      </c>
      <c r="AP441" s="21">
        <v>2732</v>
      </c>
      <c r="AQ441" s="21">
        <v>706</v>
      </c>
      <c r="AR441" s="21">
        <v>690</v>
      </c>
      <c r="AS441" s="21">
        <v>16</v>
      </c>
      <c r="AT441" s="21">
        <v>0</v>
      </c>
      <c r="AU441" s="21">
        <v>435</v>
      </c>
      <c r="AV441" s="21">
        <v>121</v>
      </c>
    </row>
    <row r="442" spans="1:48" x14ac:dyDescent="0.15">
      <c r="A442" s="20" t="s">
        <v>54</v>
      </c>
      <c r="B442" s="20" t="s">
        <v>92</v>
      </c>
      <c r="C442" s="21">
        <v>0</v>
      </c>
      <c r="D442" s="21">
        <v>0</v>
      </c>
      <c r="E442" s="21">
        <v>0</v>
      </c>
      <c r="F442" s="21">
        <v>0</v>
      </c>
      <c r="AB442" s="21">
        <v>0</v>
      </c>
      <c r="AC442" s="21">
        <v>0</v>
      </c>
      <c r="AD442" s="21">
        <v>0</v>
      </c>
      <c r="AE442" s="21">
        <v>0</v>
      </c>
      <c r="AF442" s="21">
        <v>0</v>
      </c>
      <c r="AG442" s="21">
        <v>0</v>
      </c>
      <c r="AH442" s="21">
        <v>0</v>
      </c>
      <c r="AI442" s="21">
        <v>0</v>
      </c>
      <c r="AJ442" s="21">
        <v>0</v>
      </c>
      <c r="AK442" s="21">
        <v>0</v>
      </c>
      <c r="AL442" s="21">
        <v>0</v>
      </c>
      <c r="AM442" s="21">
        <v>0</v>
      </c>
      <c r="AN442" s="21">
        <v>0</v>
      </c>
      <c r="AP442" s="21">
        <v>0</v>
      </c>
      <c r="AQ442" s="21">
        <v>0</v>
      </c>
      <c r="AR442" s="21">
        <v>0</v>
      </c>
      <c r="AV442" s="21">
        <v>0</v>
      </c>
    </row>
    <row r="443" spans="1:48" x14ac:dyDescent="0.15">
      <c r="A443" s="20" t="s">
        <v>55</v>
      </c>
      <c r="B443" s="20" t="s">
        <v>92</v>
      </c>
      <c r="C443" s="21">
        <v>0</v>
      </c>
      <c r="D443" s="21">
        <v>0</v>
      </c>
      <c r="E443" s="21">
        <v>0</v>
      </c>
      <c r="F443" s="21">
        <v>0</v>
      </c>
      <c r="AB443" s="21">
        <v>0</v>
      </c>
      <c r="AC443" s="21">
        <v>0</v>
      </c>
      <c r="AD443" s="21">
        <v>0</v>
      </c>
      <c r="AE443" s="21">
        <v>0</v>
      </c>
      <c r="AF443" s="21">
        <v>0</v>
      </c>
      <c r="AG443" s="21">
        <v>0</v>
      </c>
      <c r="AH443" s="21">
        <v>0</v>
      </c>
      <c r="AI443" s="21">
        <v>0</v>
      </c>
      <c r="AJ443" s="21">
        <v>0</v>
      </c>
      <c r="AK443" s="21">
        <v>0</v>
      </c>
      <c r="AL443" s="21">
        <v>0</v>
      </c>
      <c r="AM443" s="21">
        <v>0</v>
      </c>
      <c r="AN443" s="21">
        <v>0</v>
      </c>
    </row>
    <row r="444" spans="1:48" x14ac:dyDescent="0.15">
      <c r="A444" s="20" t="s">
        <v>56</v>
      </c>
      <c r="B444" s="20" t="s">
        <v>92</v>
      </c>
      <c r="C444" s="21">
        <v>0</v>
      </c>
      <c r="D444" s="21">
        <v>0</v>
      </c>
      <c r="E444" s="21">
        <v>18020</v>
      </c>
      <c r="F444" s="21">
        <v>18021</v>
      </c>
      <c r="H444" s="21">
        <v>6596</v>
      </c>
      <c r="J444" s="21">
        <v>7785</v>
      </c>
      <c r="K444" s="21">
        <v>3625</v>
      </c>
      <c r="L444" s="21">
        <v>60</v>
      </c>
      <c r="M444" s="21">
        <v>0.72219999999999995</v>
      </c>
      <c r="N444" s="21">
        <v>0.72219999999999995</v>
      </c>
      <c r="O444" s="21">
        <v>1.3899999999999999E-2</v>
      </c>
      <c r="P444" s="21">
        <v>183</v>
      </c>
      <c r="Q444" s="21">
        <v>0.6885</v>
      </c>
      <c r="R444" s="21">
        <v>300</v>
      </c>
      <c r="S444" s="21">
        <v>98</v>
      </c>
      <c r="T444" s="21">
        <v>4.4299999999999999E-2</v>
      </c>
      <c r="U444" s="21">
        <v>1.2999999999999999E-3</v>
      </c>
      <c r="AB444" s="21">
        <v>0</v>
      </c>
      <c r="AC444" s="21">
        <v>0</v>
      </c>
      <c r="AD444" s="21">
        <v>0</v>
      </c>
      <c r="AE444" s="21">
        <v>0</v>
      </c>
      <c r="AF444" s="21">
        <v>0</v>
      </c>
      <c r="AG444" s="21">
        <v>0</v>
      </c>
      <c r="AH444" s="21">
        <v>0</v>
      </c>
      <c r="AI444" s="21">
        <v>0</v>
      </c>
      <c r="AJ444" s="21">
        <v>0</v>
      </c>
      <c r="AK444" s="21">
        <v>0</v>
      </c>
      <c r="AL444" s="21">
        <v>0</v>
      </c>
      <c r="AM444" s="21">
        <v>0</v>
      </c>
      <c r="AN444" s="21">
        <v>0</v>
      </c>
      <c r="AP444" s="21">
        <v>1406</v>
      </c>
      <c r="AQ444" s="21">
        <v>32</v>
      </c>
      <c r="AR444" s="21">
        <v>27</v>
      </c>
      <c r="AS444" s="21">
        <v>5</v>
      </c>
      <c r="AU444" s="21">
        <v>0</v>
      </c>
      <c r="AV444" s="21">
        <v>0</v>
      </c>
    </row>
    <row r="445" spans="1:48" x14ac:dyDescent="0.15">
      <c r="A445" s="20" t="s">
        <v>57</v>
      </c>
      <c r="B445" s="20" t="s">
        <v>92</v>
      </c>
      <c r="C445" s="21">
        <v>0</v>
      </c>
      <c r="D445" s="21">
        <v>-77</v>
      </c>
      <c r="E445" s="21">
        <v>129721</v>
      </c>
      <c r="F445" s="21">
        <v>129644</v>
      </c>
      <c r="G445" s="21">
        <v>22177</v>
      </c>
      <c r="H445" s="21">
        <v>21208</v>
      </c>
      <c r="I445" s="21">
        <v>22318</v>
      </c>
      <c r="J445" s="21">
        <v>28213</v>
      </c>
      <c r="K445" s="21">
        <v>21579</v>
      </c>
      <c r="L445" s="21">
        <v>386</v>
      </c>
      <c r="M445" s="21">
        <v>0.72840000000000005</v>
      </c>
      <c r="N445" s="21">
        <v>0.74070000000000003</v>
      </c>
      <c r="O445" s="21">
        <v>9.1399999999999995E-2</v>
      </c>
      <c r="P445" s="21">
        <v>584</v>
      </c>
      <c r="Q445" s="21">
        <v>0.62839999999999996</v>
      </c>
      <c r="R445" s="21">
        <v>343</v>
      </c>
      <c r="S445" s="21">
        <v>222</v>
      </c>
      <c r="T445" s="21">
        <v>7.2300000000000003E-2</v>
      </c>
      <c r="U445" s="21">
        <v>6.3799999999999996E-2</v>
      </c>
      <c r="V445" s="21">
        <v>0.50429999999999997</v>
      </c>
      <c r="W445" s="21">
        <v>236</v>
      </c>
      <c r="X445" s="21">
        <v>202</v>
      </c>
      <c r="Y445" s="21">
        <v>249</v>
      </c>
      <c r="Z445" s="21">
        <v>0.9</v>
      </c>
      <c r="AA445" s="21">
        <v>0.8</v>
      </c>
      <c r="AB445" s="21">
        <v>242</v>
      </c>
      <c r="AC445" s="21">
        <v>240</v>
      </c>
      <c r="AD445" s="21">
        <v>232</v>
      </c>
      <c r="AE445" s="21">
        <v>123</v>
      </c>
      <c r="AF445" s="21">
        <v>0.55159999999999998</v>
      </c>
      <c r="AG445" s="21">
        <v>0</v>
      </c>
      <c r="AH445" s="21">
        <v>0</v>
      </c>
      <c r="AI445" s="21">
        <v>0</v>
      </c>
      <c r="AJ445" s="21">
        <v>0.61539999999999995</v>
      </c>
      <c r="AK445" s="21">
        <v>0</v>
      </c>
      <c r="AL445" s="21">
        <v>0</v>
      </c>
      <c r="AM445" s="21">
        <v>0</v>
      </c>
      <c r="AN445" s="21">
        <v>0</v>
      </c>
      <c r="AO445" s="21">
        <v>0.33200000000000002</v>
      </c>
      <c r="AP445" s="21">
        <v>1205</v>
      </c>
      <c r="AQ445" s="21">
        <v>553</v>
      </c>
      <c r="AR445" s="21">
        <v>543</v>
      </c>
      <c r="AS445" s="21">
        <v>10</v>
      </c>
      <c r="AU445" s="21">
        <v>196</v>
      </c>
      <c r="AV445" s="21">
        <v>55</v>
      </c>
    </row>
    <row r="446" spans="1:48" x14ac:dyDescent="0.15">
      <c r="A446" s="20" t="s">
        <v>58</v>
      </c>
      <c r="B446" s="20" t="s">
        <v>92</v>
      </c>
      <c r="C446" s="21">
        <v>0</v>
      </c>
      <c r="D446" s="21">
        <v>0</v>
      </c>
      <c r="E446" s="21">
        <v>0</v>
      </c>
      <c r="F446" s="21">
        <v>0</v>
      </c>
      <c r="AB446" s="21">
        <v>0</v>
      </c>
      <c r="AC446" s="21">
        <v>0</v>
      </c>
      <c r="AD446" s="21">
        <v>0</v>
      </c>
      <c r="AE446" s="21">
        <v>0</v>
      </c>
      <c r="AF446" s="21">
        <v>0</v>
      </c>
      <c r="AG446" s="21">
        <v>0</v>
      </c>
      <c r="AH446" s="21">
        <v>0</v>
      </c>
      <c r="AI446" s="21">
        <v>0</v>
      </c>
      <c r="AJ446" s="21">
        <v>0</v>
      </c>
      <c r="AK446" s="21">
        <v>0</v>
      </c>
      <c r="AL446" s="21">
        <v>0</v>
      </c>
      <c r="AM446" s="21">
        <v>0</v>
      </c>
      <c r="AN446" s="21">
        <v>0</v>
      </c>
      <c r="AV446" s="21">
        <v>0</v>
      </c>
    </row>
    <row r="447" spans="1:48" x14ac:dyDescent="0.15">
      <c r="A447" s="20" t="s">
        <v>59</v>
      </c>
      <c r="B447" s="20" t="s">
        <v>92</v>
      </c>
      <c r="C447" s="21">
        <v>0</v>
      </c>
      <c r="D447" s="21">
        <v>0</v>
      </c>
      <c r="E447" s="21">
        <v>0</v>
      </c>
      <c r="F447" s="21">
        <v>0</v>
      </c>
      <c r="AB447" s="21">
        <v>0</v>
      </c>
      <c r="AC447" s="21">
        <v>0</v>
      </c>
      <c r="AD447" s="21">
        <v>0</v>
      </c>
      <c r="AE447" s="21">
        <v>0</v>
      </c>
      <c r="AF447" s="21">
        <v>0</v>
      </c>
      <c r="AG447" s="21">
        <v>0</v>
      </c>
      <c r="AH447" s="21">
        <v>0</v>
      </c>
      <c r="AI447" s="21">
        <v>0</v>
      </c>
      <c r="AJ447" s="21">
        <v>0</v>
      </c>
      <c r="AK447" s="21">
        <v>0</v>
      </c>
      <c r="AL447" s="21">
        <v>0</v>
      </c>
      <c r="AM447" s="21">
        <v>0</v>
      </c>
      <c r="AN447" s="21">
        <v>0</v>
      </c>
    </row>
    <row r="448" spans="1:48" x14ac:dyDescent="0.15">
      <c r="A448" s="20" t="s">
        <v>60</v>
      </c>
      <c r="B448" s="20" t="s">
        <v>92</v>
      </c>
      <c r="C448" s="21">
        <v>0</v>
      </c>
      <c r="D448" s="21">
        <v>-10</v>
      </c>
      <c r="E448" s="21">
        <v>52113</v>
      </c>
      <c r="F448" s="21">
        <v>52103</v>
      </c>
      <c r="G448" s="21">
        <v>5428</v>
      </c>
      <c r="H448" s="21">
        <v>13602</v>
      </c>
      <c r="I448" s="21">
        <v>18008</v>
      </c>
      <c r="J448" s="21">
        <v>12164</v>
      </c>
      <c r="K448" s="21">
        <v>2902</v>
      </c>
      <c r="L448" s="21">
        <v>211</v>
      </c>
      <c r="M448" s="21">
        <v>0.77310000000000001</v>
      </c>
      <c r="N448" s="21">
        <v>0.76849999999999996</v>
      </c>
      <c r="O448" s="21">
        <v>5.0900000000000001E-2</v>
      </c>
      <c r="P448" s="21">
        <v>316</v>
      </c>
      <c r="Q448" s="21">
        <v>0.73729999999999996</v>
      </c>
      <c r="R448" s="21">
        <v>248</v>
      </c>
      <c r="S448" s="21">
        <v>165</v>
      </c>
      <c r="T448" s="21">
        <v>8.2199999999999995E-2</v>
      </c>
      <c r="U448" s="21">
        <v>0.1663</v>
      </c>
      <c r="V448" s="21">
        <v>0.875</v>
      </c>
      <c r="AB448" s="21">
        <v>0</v>
      </c>
      <c r="AC448" s="21">
        <v>0</v>
      </c>
      <c r="AD448" s="21">
        <v>0</v>
      </c>
      <c r="AE448" s="21">
        <v>0</v>
      </c>
      <c r="AF448" s="21">
        <v>0</v>
      </c>
      <c r="AG448" s="21">
        <v>0</v>
      </c>
      <c r="AH448" s="21">
        <v>0</v>
      </c>
      <c r="AI448" s="21">
        <v>0</v>
      </c>
      <c r="AJ448" s="21">
        <v>0</v>
      </c>
      <c r="AK448" s="21">
        <v>0</v>
      </c>
      <c r="AL448" s="21">
        <v>0</v>
      </c>
      <c r="AM448" s="21">
        <v>0</v>
      </c>
      <c r="AN448" s="21">
        <v>0</v>
      </c>
      <c r="AU448" s="21">
        <v>1</v>
      </c>
      <c r="AV448" s="21">
        <v>0</v>
      </c>
    </row>
    <row r="449" spans="1:48" x14ac:dyDescent="0.15">
      <c r="A449" s="20" t="s">
        <v>61</v>
      </c>
      <c r="B449" s="20" t="s">
        <v>92</v>
      </c>
      <c r="C449" s="21">
        <v>0</v>
      </c>
      <c r="D449" s="21">
        <v>124</v>
      </c>
      <c r="E449" s="21">
        <v>29676</v>
      </c>
      <c r="F449" s="21">
        <v>29800</v>
      </c>
      <c r="G449" s="21">
        <v>3020</v>
      </c>
      <c r="H449" s="21">
        <v>8068</v>
      </c>
      <c r="I449" s="21">
        <v>6551</v>
      </c>
      <c r="J449" s="21">
        <v>8657</v>
      </c>
      <c r="K449" s="21">
        <v>1917</v>
      </c>
      <c r="L449" s="21">
        <v>158</v>
      </c>
      <c r="M449" s="21">
        <v>0.76400000000000001</v>
      </c>
      <c r="N449" s="21">
        <v>0.76400000000000001</v>
      </c>
      <c r="O449" s="21">
        <v>0.23599999999999999</v>
      </c>
      <c r="P449" s="21">
        <v>175</v>
      </c>
      <c r="Q449" s="21">
        <v>0.95430000000000004</v>
      </c>
      <c r="R449" s="21">
        <v>193</v>
      </c>
      <c r="S449" s="21">
        <v>170</v>
      </c>
      <c r="T449" s="21">
        <v>6.0100000000000001E-2</v>
      </c>
      <c r="U449" s="21">
        <v>7.1599999999999997E-2</v>
      </c>
      <c r="V449" s="21">
        <v>0.91080000000000005</v>
      </c>
      <c r="AB449" s="21">
        <v>0</v>
      </c>
      <c r="AC449" s="21">
        <v>0</v>
      </c>
      <c r="AD449" s="21">
        <v>0</v>
      </c>
      <c r="AE449" s="21">
        <v>0</v>
      </c>
      <c r="AF449" s="21">
        <v>0</v>
      </c>
      <c r="AG449" s="21">
        <v>0</v>
      </c>
      <c r="AH449" s="21">
        <v>0</v>
      </c>
      <c r="AI449" s="21">
        <v>0</v>
      </c>
      <c r="AJ449" s="21">
        <v>0</v>
      </c>
      <c r="AK449" s="21">
        <v>0</v>
      </c>
      <c r="AL449" s="21">
        <v>0</v>
      </c>
      <c r="AM449" s="21">
        <v>0</v>
      </c>
      <c r="AN449" s="21">
        <v>0</v>
      </c>
      <c r="AP449" s="21">
        <v>0</v>
      </c>
      <c r="AQ449" s="21">
        <v>0</v>
      </c>
      <c r="AR449" s="21">
        <v>0</v>
      </c>
      <c r="AS449" s="21">
        <v>0</v>
      </c>
      <c r="AU449" s="21">
        <v>13</v>
      </c>
      <c r="AV449" s="21">
        <v>0</v>
      </c>
    </row>
    <row r="450" spans="1:48" x14ac:dyDescent="0.15">
      <c r="A450" s="20" t="s">
        <v>48</v>
      </c>
      <c r="B450" s="20" t="s">
        <v>93</v>
      </c>
      <c r="C450" s="21">
        <v>0</v>
      </c>
      <c r="D450" s="21">
        <v>4</v>
      </c>
      <c r="E450" s="21">
        <v>41402</v>
      </c>
      <c r="F450" s="21">
        <v>41406</v>
      </c>
      <c r="H450" s="21">
        <v>14944</v>
      </c>
      <c r="I450" s="21">
        <v>9747</v>
      </c>
      <c r="J450" s="21">
        <v>3943</v>
      </c>
      <c r="K450" s="21">
        <v>6637</v>
      </c>
      <c r="L450" s="21">
        <v>312</v>
      </c>
      <c r="M450" s="21">
        <v>0.80630000000000002</v>
      </c>
      <c r="N450" s="21">
        <v>0.80320000000000003</v>
      </c>
      <c r="O450" s="21">
        <v>4.1300000000000003E-2</v>
      </c>
      <c r="P450" s="21">
        <v>670</v>
      </c>
      <c r="Q450" s="21">
        <v>0.5343</v>
      </c>
      <c r="R450" s="21">
        <v>134</v>
      </c>
      <c r="S450" s="21">
        <v>62</v>
      </c>
      <c r="T450" s="21">
        <v>0.1072</v>
      </c>
      <c r="U450" s="21">
        <v>3.6600000000000001E-2</v>
      </c>
      <c r="V450" s="21">
        <v>0.5</v>
      </c>
      <c r="W450" s="21">
        <v>20</v>
      </c>
      <c r="X450" s="21">
        <v>20</v>
      </c>
      <c r="Y450" s="21">
        <v>42</v>
      </c>
      <c r="Z450" s="21">
        <v>0.2</v>
      </c>
      <c r="AA450" s="21">
        <v>0.5</v>
      </c>
      <c r="AB450" s="21">
        <v>124</v>
      </c>
      <c r="AC450" s="21">
        <v>124</v>
      </c>
      <c r="AD450" s="21">
        <v>124</v>
      </c>
      <c r="AE450" s="21">
        <v>0</v>
      </c>
      <c r="AF450" s="21">
        <v>0</v>
      </c>
      <c r="AG450" s="21">
        <v>0</v>
      </c>
      <c r="AH450" s="21">
        <v>0</v>
      </c>
      <c r="AI450" s="21">
        <v>0</v>
      </c>
      <c r="AJ450" s="21">
        <v>0.5</v>
      </c>
      <c r="AK450" s="21">
        <v>0</v>
      </c>
      <c r="AL450" s="21">
        <v>0</v>
      </c>
      <c r="AM450" s="21">
        <v>0</v>
      </c>
      <c r="AN450" s="21">
        <v>0</v>
      </c>
      <c r="AO450" s="21">
        <v>0.74919999999999998</v>
      </c>
      <c r="AP450" s="21">
        <v>136</v>
      </c>
      <c r="AQ450" s="21">
        <v>16</v>
      </c>
      <c r="AR450" s="21">
        <v>14</v>
      </c>
      <c r="AS450" s="21">
        <v>2</v>
      </c>
      <c r="AU450" s="21">
        <v>36</v>
      </c>
      <c r="AV450" s="21">
        <v>9</v>
      </c>
    </row>
    <row r="451" spans="1:48" x14ac:dyDescent="0.15">
      <c r="A451" s="20" t="s">
        <v>50</v>
      </c>
      <c r="B451" s="20" t="s">
        <v>93</v>
      </c>
      <c r="C451" s="21">
        <v>0</v>
      </c>
      <c r="D451" s="21">
        <v>27</v>
      </c>
      <c r="E451" s="21">
        <v>48894</v>
      </c>
      <c r="F451" s="21">
        <v>48921</v>
      </c>
      <c r="G451" s="21">
        <v>2279</v>
      </c>
      <c r="H451" s="21">
        <v>35952</v>
      </c>
      <c r="I451" s="21">
        <v>0</v>
      </c>
      <c r="J451" s="21">
        <v>1473</v>
      </c>
      <c r="K451" s="21">
        <v>7230</v>
      </c>
      <c r="L451" s="21">
        <v>308</v>
      </c>
      <c r="M451" s="21">
        <v>0.84289999999999998</v>
      </c>
      <c r="N451" s="21">
        <v>0.8397</v>
      </c>
      <c r="O451" s="21">
        <v>7.3700000000000002E-2</v>
      </c>
      <c r="P451" s="21">
        <v>672</v>
      </c>
      <c r="Q451" s="21">
        <v>0.55210000000000004</v>
      </c>
      <c r="R451" s="21">
        <v>158</v>
      </c>
      <c r="S451" s="21">
        <v>73</v>
      </c>
      <c r="T451" s="21">
        <v>6.0199999999999997E-2</v>
      </c>
      <c r="U451" s="21">
        <v>4.0399999999999998E-2</v>
      </c>
      <c r="V451" s="21">
        <v>0.4511</v>
      </c>
      <c r="W451" s="21">
        <v>59</v>
      </c>
      <c r="X451" s="21">
        <v>50</v>
      </c>
      <c r="Y451" s="21">
        <v>87</v>
      </c>
      <c r="Z451" s="21">
        <v>0.2</v>
      </c>
      <c r="AA451" s="21">
        <v>0.6</v>
      </c>
      <c r="AB451" s="21">
        <v>212</v>
      </c>
      <c r="AC451" s="21">
        <v>212</v>
      </c>
      <c r="AD451" s="21">
        <v>219</v>
      </c>
      <c r="AE451" s="21">
        <v>1</v>
      </c>
      <c r="AF451" s="21">
        <v>4.4000000000000003E-3</v>
      </c>
      <c r="AG451" s="21">
        <v>0</v>
      </c>
      <c r="AH451" s="21">
        <v>0</v>
      </c>
      <c r="AI451" s="21">
        <v>0</v>
      </c>
      <c r="AJ451" s="21">
        <v>0.66669999999999996</v>
      </c>
      <c r="AK451" s="21">
        <v>0</v>
      </c>
      <c r="AL451" s="21">
        <v>0</v>
      </c>
      <c r="AM451" s="21">
        <v>0</v>
      </c>
      <c r="AN451" s="21">
        <v>0</v>
      </c>
      <c r="AP451" s="21">
        <v>23</v>
      </c>
      <c r="AQ451" s="21">
        <v>23</v>
      </c>
      <c r="AR451" s="21">
        <v>23</v>
      </c>
      <c r="AS451" s="21">
        <v>0</v>
      </c>
      <c r="AU451" s="21">
        <v>39</v>
      </c>
      <c r="AV451" s="21">
        <v>1</v>
      </c>
    </row>
    <row r="452" spans="1:48" x14ac:dyDescent="0.15">
      <c r="A452" s="20" t="s">
        <v>51</v>
      </c>
      <c r="B452" s="20" t="s">
        <v>93</v>
      </c>
      <c r="C452" s="21">
        <v>0</v>
      </c>
      <c r="D452" s="21">
        <v>176</v>
      </c>
      <c r="E452" s="21">
        <v>166747</v>
      </c>
      <c r="F452" s="21">
        <v>166923</v>
      </c>
      <c r="G452" s="21">
        <v>1411</v>
      </c>
      <c r="H452" s="21">
        <v>55490</v>
      </c>
      <c r="I452" s="21">
        <v>24955</v>
      </c>
      <c r="J452" s="21">
        <v>21483</v>
      </c>
      <c r="K452" s="21">
        <v>62845</v>
      </c>
      <c r="L452" s="21">
        <v>1368</v>
      </c>
      <c r="M452" s="21">
        <v>0.78600000000000003</v>
      </c>
      <c r="N452" s="21">
        <v>0.78090000000000004</v>
      </c>
      <c r="O452" s="21">
        <v>0.15720000000000001</v>
      </c>
      <c r="P452" s="21">
        <v>2818</v>
      </c>
      <c r="Q452" s="21">
        <v>0.62670000000000003</v>
      </c>
      <c r="R452" s="21">
        <v>123</v>
      </c>
      <c r="S452" s="21">
        <v>59</v>
      </c>
      <c r="T452" s="21">
        <v>8.5300000000000001E-2</v>
      </c>
      <c r="U452" s="21">
        <v>7.7399999999999997E-2</v>
      </c>
      <c r="V452" s="21">
        <v>0.81969999999999998</v>
      </c>
      <c r="W452" s="21">
        <v>111</v>
      </c>
      <c r="X452" s="21">
        <v>78</v>
      </c>
      <c r="Y452" s="21">
        <v>174</v>
      </c>
      <c r="Z452" s="21">
        <v>0.5</v>
      </c>
      <c r="AA452" s="21">
        <v>0.4</v>
      </c>
      <c r="AB452" s="21">
        <v>163</v>
      </c>
      <c r="AC452" s="21">
        <v>163</v>
      </c>
      <c r="AD452" s="21">
        <v>166</v>
      </c>
      <c r="AE452" s="21">
        <v>0</v>
      </c>
      <c r="AF452" s="21">
        <v>0</v>
      </c>
      <c r="AG452" s="21">
        <v>0</v>
      </c>
      <c r="AH452" s="21">
        <v>0</v>
      </c>
      <c r="AI452" s="21">
        <v>0</v>
      </c>
      <c r="AJ452" s="21">
        <v>0</v>
      </c>
      <c r="AK452" s="21">
        <v>0</v>
      </c>
      <c r="AL452" s="21">
        <v>0</v>
      </c>
      <c r="AM452" s="21">
        <v>0</v>
      </c>
      <c r="AN452" s="21">
        <v>0</v>
      </c>
      <c r="AP452" s="21">
        <v>10</v>
      </c>
      <c r="AQ452" s="21">
        <v>10</v>
      </c>
      <c r="AR452" s="21">
        <v>10</v>
      </c>
      <c r="AS452" s="21">
        <v>0</v>
      </c>
      <c r="AT452" s="21">
        <v>0</v>
      </c>
      <c r="AU452" s="21">
        <v>84</v>
      </c>
      <c r="AV452" s="21">
        <v>0</v>
      </c>
    </row>
    <row r="453" spans="1:48" x14ac:dyDescent="0.15">
      <c r="A453" s="20" t="s">
        <v>52</v>
      </c>
      <c r="B453" s="20" t="s">
        <v>93</v>
      </c>
      <c r="C453" s="21">
        <v>0</v>
      </c>
      <c r="D453" s="21">
        <v>30</v>
      </c>
      <c r="E453" s="21">
        <v>69439</v>
      </c>
      <c r="F453" s="21">
        <v>69468</v>
      </c>
      <c r="G453" s="21">
        <v>12863</v>
      </c>
      <c r="H453" s="21">
        <v>13404</v>
      </c>
      <c r="I453" s="21">
        <v>8270</v>
      </c>
      <c r="J453" s="21">
        <v>18996</v>
      </c>
      <c r="K453" s="21">
        <v>8990</v>
      </c>
      <c r="L453" s="21">
        <v>435</v>
      </c>
      <c r="M453" s="21">
        <v>0.80769999999999997</v>
      </c>
      <c r="N453" s="21">
        <v>0.80769999999999997</v>
      </c>
      <c r="O453" s="21">
        <v>4.5199999999999997E-2</v>
      </c>
      <c r="P453" s="21">
        <v>1109</v>
      </c>
      <c r="Q453" s="21">
        <v>0.52210000000000001</v>
      </c>
      <c r="R453" s="21">
        <v>160</v>
      </c>
      <c r="S453" s="21">
        <v>63</v>
      </c>
      <c r="T453" s="21">
        <v>6.2799999999999995E-2</v>
      </c>
      <c r="U453" s="21">
        <v>5.3499999999999999E-2</v>
      </c>
      <c r="V453" s="21">
        <v>0.4516</v>
      </c>
      <c r="W453" s="21">
        <v>27</v>
      </c>
      <c r="X453" s="21">
        <v>18</v>
      </c>
      <c r="Y453" s="21">
        <v>36</v>
      </c>
      <c r="Z453" s="21">
        <v>0.2</v>
      </c>
      <c r="AA453" s="21">
        <v>0.5</v>
      </c>
      <c r="AB453" s="21">
        <v>108</v>
      </c>
      <c r="AC453" s="21">
        <v>108</v>
      </c>
      <c r="AD453" s="21">
        <v>108</v>
      </c>
      <c r="AE453" s="21">
        <v>2</v>
      </c>
      <c r="AF453" s="21">
        <v>1.8700000000000001E-2</v>
      </c>
      <c r="AG453" s="21">
        <v>0</v>
      </c>
      <c r="AH453" s="21">
        <v>0</v>
      </c>
      <c r="AI453" s="21">
        <v>0</v>
      </c>
      <c r="AJ453" s="21">
        <v>1</v>
      </c>
      <c r="AK453" s="21">
        <v>0</v>
      </c>
      <c r="AL453" s="21">
        <v>0</v>
      </c>
      <c r="AM453" s="21">
        <v>0</v>
      </c>
      <c r="AN453" s="21">
        <v>0</v>
      </c>
      <c r="AP453" s="21">
        <v>1</v>
      </c>
      <c r="AQ453" s="21">
        <v>1</v>
      </c>
      <c r="AR453" s="21">
        <v>1</v>
      </c>
      <c r="AS453" s="21">
        <v>0</v>
      </c>
      <c r="AT453" s="21">
        <v>0</v>
      </c>
      <c r="AU453" s="21">
        <v>61</v>
      </c>
      <c r="AV453" s="21">
        <v>1</v>
      </c>
    </row>
    <row r="454" spans="1:48" x14ac:dyDescent="0.15">
      <c r="A454" s="20" t="s">
        <v>53</v>
      </c>
      <c r="B454" s="20" t="s">
        <v>93</v>
      </c>
      <c r="C454" s="21">
        <v>0</v>
      </c>
      <c r="D454" s="21">
        <v>0</v>
      </c>
      <c r="E454" s="21">
        <v>0</v>
      </c>
      <c r="F454" s="21">
        <v>0</v>
      </c>
      <c r="AB454" s="21">
        <v>0</v>
      </c>
      <c r="AC454" s="21">
        <v>0</v>
      </c>
      <c r="AD454" s="21">
        <v>0</v>
      </c>
      <c r="AE454" s="21">
        <v>0</v>
      </c>
      <c r="AF454" s="21">
        <v>0</v>
      </c>
      <c r="AG454" s="21">
        <v>0</v>
      </c>
      <c r="AH454" s="21">
        <v>0</v>
      </c>
      <c r="AI454" s="21">
        <v>0</v>
      </c>
      <c r="AJ454" s="21">
        <v>0</v>
      </c>
      <c r="AK454" s="21">
        <v>0</v>
      </c>
      <c r="AL454" s="21">
        <v>0</v>
      </c>
      <c r="AM454" s="21">
        <v>0</v>
      </c>
      <c r="AN454" s="21">
        <v>0</v>
      </c>
    </row>
    <row r="455" spans="1:48" x14ac:dyDescent="0.15">
      <c r="A455" s="20" t="s">
        <v>0</v>
      </c>
      <c r="B455" s="20" t="s">
        <v>93</v>
      </c>
      <c r="C455" s="21">
        <v>0</v>
      </c>
      <c r="D455" s="21">
        <v>396</v>
      </c>
      <c r="E455" s="21">
        <v>472908</v>
      </c>
      <c r="F455" s="21">
        <v>473304</v>
      </c>
      <c r="G455" s="21">
        <v>23686</v>
      </c>
      <c r="H455" s="21">
        <v>158180</v>
      </c>
      <c r="I455" s="21">
        <v>70046</v>
      </c>
      <c r="J455" s="21">
        <v>81680</v>
      </c>
      <c r="K455" s="21">
        <v>106493</v>
      </c>
      <c r="L455" s="21">
        <v>3236</v>
      </c>
      <c r="M455" s="21">
        <v>0.78</v>
      </c>
      <c r="N455" s="21">
        <v>0.7772</v>
      </c>
      <c r="O455" s="21">
        <v>0.1013</v>
      </c>
      <c r="P455" s="21">
        <v>6534</v>
      </c>
      <c r="Q455" s="21">
        <v>0.59889999999999999</v>
      </c>
      <c r="R455" s="21">
        <v>147</v>
      </c>
      <c r="S455" s="21">
        <v>72</v>
      </c>
      <c r="T455" s="21">
        <v>7.6600000000000001E-2</v>
      </c>
      <c r="U455" s="21">
        <v>6.4000000000000001E-2</v>
      </c>
      <c r="V455" s="21">
        <v>0.56810000000000005</v>
      </c>
      <c r="W455" s="21">
        <v>306</v>
      </c>
      <c r="X455" s="21">
        <v>228</v>
      </c>
      <c r="Y455" s="21">
        <v>410</v>
      </c>
      <c r="Z455" s="21">
        <v>0.3</v>
      </c>
      <c r="AA455" s="21">
        <v>0.6</v>
      </c>
      <c r="AB455" s="21">
        <v>848</v>
      </c>
      <c r="AC455" s="21">
        <v>846</v>
      </c>
      <c r="AD455" s="21">
        <v>858</v>
      </c>
      <c r="AE455" s="21">
        <v>4</v>
      </c>
      <c r="AF455" s="21">
        <v>4.5999999999999999E-3</v>
      </c>
      <c r="AG455" s="21">
        <v>0</v>
      </c>
      <c r="AH455" s="21">
        <v>0</v>
      </c>
      <c r="AI455" s="21">
        <v>0</v>
      </c>
      <c r="AJ455" s="21">
        <v>0.33329999999999999</v>
      </c>
      <c r="AK455" s="21">
        <v>0</v>
      </c>
      <c r="AL455" s="21">
        <v>0</v>
      </c>
      <c r="AM455" s="21">
        <v>0</v>
      </c>
      <c r="AN455" s="21">
        <v>0</v>
      </c>
      <c r="AO455" s="21">
        <v>0.4466</v>
      </c>
      <c r="AP455" s="21">
        <v>4692</v>
      </c>
      <c r="AQ455" s="21">
        <v>502</v>
      </c>
      <c r="AR455" s="21">
        <v>495</v>
      </c>
      <c r="AS455" s="21">
        <v>8</v>
      </c>
      <c r="AT455" s="21">
        <v>0</v>
      </c>
      <c r="AU455" s="21">
        <v>348</v>
      </c>
      <c r="AV455" s="21">
        <v>18</v>
      </c>
    </row>
    <row r="456" spans="1:48" x14ac:dyDescent="0.15">
      <c r="A456" s="20" t="s">
        <v>54</v>
      </c>
      <c r="B456" s="20" t="s">
        <v>93</v>
      </c>
      <c r="C456" s="21">
        <v>0</v>
      </c>
      <c r="D456" s="21">
        <v>0</v>
      </c>
      <c r="E456" s="21">
        <v>0</v>
      </c>
      <c r="F456" s="21">
        <v>0</v>
      </c>
      <c r="AB456" s="21">
        <v>0</v>
      </c>
      <c r="AC456" s="21">
        <v>0</v>
      </c>
      <c r="AD456" s="21">
        <v>0</v>
      </c>
      <c r="AE456" s="21">
        <v>0</v>
      </c>
      <c r="AF456" s="21">
        <v>0</v>
      </c>
      <c r="AG456" s="21">
        <v>0</v>
      </c>
      <c r="AH456" s="21">
        <v>0</v>
      </c>
      <c r="AI456" s="21">
        <v>0</v>
      </c>
      <c r="AJ456" s="21">
        <v>0</v>
      </c>
      <c r="AK456" s="21">
        <v>0</v>
      </c>
      <c r="AL456" s="21">
        <v>0</v>
      </c>
      <c r="AM456" s="21">
        <v>0</v>
      </c>
      <c r="AN456" s="21">
        <v>0</v>
      </c>
      <c r="AP456" s="21">
        <v>0</v>
      </c>
      <c r="AQ456" s="21">
        <v>0</v>
      </c>
      <c r="AR456" s="21">
        <v>0</v>
      </c>
      <c r="AV456" s="21">
        <v>0</v>
      </c>
    </row>
    <row r="457" spans="1:48" x14ac:dyDescent="0.15">
      <c r="A457" s="20" t="s">
        <v>55</v>
      </c>
      <c r="B457" s="20" t="s">
        <v>93</v>
      </c>
      <c r="C457" s="21">
        <v>0</v>
      </c>
      <c r="D457" s="21">
        <v>0</v>
      </c>
      <c r="E457" s="21">
        <v>0</v>
      </c>
      <c r="F457" s="21">
        <v>0</v>
      </c>
      <c r="AB457" s="21">
        <v>0</v>
      </c>
      <c r="AC457" s="21">
        <v>0</v>
      </c>
      <c r="AD457" s="21">
        <v>0</v>
      </c>
      <c r="AE457" s="21">
        <v>0</v>
      </c>
      <c r="AF457" s="21">
        <v>0</v>
      </c>
      <c r="AG457" s="21">
        <v>0</v>
      </c>
      <c r="AH457" s="21">
        <v>0</v>
      </c>
      <c r="AI457" s="21">
        <v>0</v>
      </c>
      <c r="AJ457" s="21">
        <v>0</v>
      </c>
      <c r="AK457" s="21">
        <v>0</v>
      </c>
      <c r="AL457" s="21">
        <v>0</v>
      </c>
      <c r="AM457" s="21">
        <v>0</v>
      </c>
      <c r="AN457" s="21">
        <v>0</v>
      </c>
    </row>
    <row r="458" spans="1:48" x14ac:dyDescent="0.15">
      <c r="A458" s="20" t="s">
        <v>56</v>
      </c>
      <c r="B458" s="20" t="s">
        <v>93</v>
      </c>
      <c r="C458" s="21">
        <v>0</v>
      </c>
      <c r="D458" s="21">
        <v>2</v>
      </c>
      <c r="E458" s="21">
        <v>19175</v>
      </c>
      <c r="F458" s="21">
        <v>19177</v>
      </c>
      <c r="H458" s="21">
        <v>5659</v>
      </c>
      <c r="J458" s="21">
        <v>6727</v>
      </c>
      <c r="K458" s="21">
        <v>6169</v>
      </c>
      <c r="L458" s="21">
        <v>60</v>
      </c>
      <c r="M458" s="21">
        <v>0.82089999999999996</v>
      </c>
      <c r="N458" s="21">
        <v>0.82089999999999996</v>
      </c>
      <c r="O458" s="21">
        <v>1.49E-2</v>
      </c>
      <c r="P458" s="21">
        <v>183</v>
      </c>
      <c r="Q458" s="21">
        <v>0.78690000000000004</v>
      </c>
      <c r="R458" s="21">
        <v>320</v>
      </c>
      <c r="S458" s="21">
        <v>105</v>
      </c>
      <c r="T458" s="21">
        <v>6.2300000000000001E-2</v>
      </c>
      <c r="U458" s="21">
        <v>2.9999999999999997E-4</v>
      </c>
      <c r="AB458" s="21">
        <v>0</v>
      </c>
      <c r="AC458" s="21">
        <v>0</v>
      </c>
      <c r="AD458" s="21">
        <v>0</v>
      </c>
      <c r="AE458" s="21">
        <v>0</v>
      </c>
      <c r="AF458" s="21">
        <v>0</v>
      </c>
      <c r="AG458" s="21">
        <v>0</v>
      </c>
      <c r="AH458" s="21">
        <v>0</v>
      </c>
      <c r="AI458" s="21">
        <v>0</v>
      </c>
      <c r="AJ458" s="21">
        <v>0</v>
      </c>
      <c r="AK458" s="21">
        <v>0</v>
      </c>
      <c r="AL458" s="21">
        <v>0</v>
      </c>
      <c r="AM458" s="21">
        <v>0</v>
      </c>
      <c r="AN458" s="21">
        <v>0</v>
      </c>
      <c r="AP458" s="21">
        <v>4076</v>
      </c>
      <c r="AQ458" s="21">
        <v>6</v>
      </c>
      <c r="AR458" s="21">
        <v>6</v>
      </c>
      <c r="AS458" s="21">
        <v>0</v>
      </c>
      <c r="AU458" s="21">
        <v>0</v>
      </c>
      <c r="AV458" s="21">
        <v>0</v>
      </c>
    </row>
    <row r="459" spans="1:48" x14ac:dyDescent="0.15">
      <c r="A459" s="20" t="s">
        <v>57</v>
      </c>
      <c r="B459" s="20" t="s">
        <v>93</v>
      </c>
      <c r="C459" s="21">
        <v>0</v>
      </c>
      <c r="D459" s="21">
        <v>107</v>
      </c>
      <c r="E459" s="21">
        <v>77312</v>
      </c>
      <c r="F459" s="21">
        <v>77420</v>
      </c>
      <c r="G459" s="21">
        <v>3584</v>
      </c>
      <c r="H459" s="21">
        <v>16821</v>
      </c>
      <c r="I459" s="21">
        <v>15755</v>
      </c>
      <c r="J459" s="21">
        <v>15641</v>
      </c>
      <c r="K459" s="21">
        <v>9759</v>
      </c>
      <c r="L459" s="21">
        <v>381</v>
      </c>
      <c r="M459" s="21">
        <v>0.69569999999999999</v>
      </c>
      <c r="N459" s="21">
        <v>0.69569999999999999</v>
      </c>
      <c r="O459" s="21">
        <v>7.1599999999999997E-2</v>
      </c>
      <c r="P459" s="21">
        <v>592</v>
      </c>
      <c r="Q459" s="21">
        <v>0.5625</v>
      </c>
      <c r="R459" s="21">
        <v>202</v>
      </c>
      <c r="S459" s="21">
        <v>131</v>
      </c>
      <c r="T459" s="21">
        <v>6.2399999999999997E-2</v>
      </c>
      <c r="U459" s="21">
        <v>6.2700000000000006E-2</v>
      </c>
      <c r="V459" s="21">
        <v>0.60229999999999995</v>
      </c>
      <c r="W459" s="21">
        <v>89</v>
      </c>
      <c r="X459" s="21">
        <v>63</v>
      </c>
      <c r="Y459" s="21">
        <v>71</v>
      </c>
      <c r="Z459" s="21">
        <v>0.3</v>
      </c>
      <c r="AA459" s="21">
        <v>0.9</v>
      </c>
      <c r="AB459" s="21">
        <v>241</v>
      </c>
      <c r="AC459" s="21">
        <v>239</v>
      </c>
      <c r="AD459" s="21">
        <v>242</v>
      </c>
      <c r="AE459" s="21">
        <v>1</v>
      </c>
      <c r="AF459" s="21">
        <v>4.1000000000000003E-3</v>
      </c>
      <c r="AG459" s="21">
        <v>0</v>
      </c>
      <c r="AH459" s="21">
        <v>0</v>
      </c>
      <c r="AI459" s="21">
        <v>0</v>
      </c>
      <c r="AJ459" s="21">
        <v>0</v>
      </c>
      <c r="AK459" s="21">
        <v>0</v>
      </c>
      <c r="AL459" s="21">
        <v>0</v>
      </c>
      <c r="AM459" s="21">
        <v>0</v>
      </c>
      <c r="AN459" s="21">
        <v>0</v>
      </c>
      <c r="AO459" s="21">
        <v>0.39639999999999997</v>
      </c>
      <c r="AP459" s="21">
        <v>446</v>
      </c>
      <c r="AQ459" s="21">
        <v>446</v>
      </c>
      <c r="AR459" s="21">
        <v>440</v>
      </c>
      <c r="AS459" s="21">
        <v>6</v>
      </c>
      <c r="AU459" s="21">
        <v>107</v>
      </c>
      <c r="AV459" s="21">
        <v>7</v>
      </c>
    </row>
    <row r="460" spans="1:48" x14ac:dyDescent="0.15">
      <c r="A460" s="20" t="s">
        <v>58</v>
      </c>
      <c r="B460" s="20" t="s">
        <v>93</v>
      </c>
      <c r="C460" s="21">
        <v>0</v>
      </c>
      <c r="D460" s="21">
        <v>0</v>
      </c>
      <c r="E460" s="21">
        <v>0</v>
      </c>
      <c r="F460" s="21">
        <v>0</v>
      </c>
      <c r="AB460" s="21">
        <v>0</v>
      </c>
      <c r="AC460" s="21">
        <v>0</v>
      </c>
      <c r="AD460" s="21">
        <v>0</v>
      </c>
      <c r="AE460" s="21">
        <v>0</v>
      </c>
      <c r="AF460" s="21">
        <v>0</v>
      </c>
      <c r="AG460" s="21">
        <v>0</v>
      </c>
      <c r="AH460" s="21">
        <v>0</v>
      </c>
      <c r="AI460" s="21">
        <v>0</v>
      </c>
      <c r="AJ460" s="21">
        <v>0</v>
      </c>
      <c r="AK460" s="21">
        <v>0</v>
      </c>
      <c r="AL460" s="21">
        <v>0</v>
      </c>
      <c r="AM460" s="21">
        <v>0</v>
      </c>
      <c r="AN460" s="21">
        <v>0</v>
      </c>
      <c r="AV460" s="21">
        <v>0</v>
      </c>
    </row>
    <row r="461" spans="1:48" x14ac:dyDescent="0.15">
      <c r="A461" s="20" t="s">
        <v>59</v>
      </c>
      <c r="B461" s="20" t="s">
        <v>93</v>
      </c>
      <c r="C461" s="21">
        <v>0</v>
      </c>
      <c r="D461" s="21">
        <v>0</v>
      </c>
      <c r="E461" s="21">
        <v>0</v>
      </c>
      <c r="F461" s="21">
        <v>0</v>
      </c>
      <c r="AB461" s="21">
        <v>0</v>
      </c>
      <c r="AC461" s="21">
        <v>0</v>
      </c>
      <c r="AD461" s="21">
        <v>0</v>
      </c>
      <c r="AE461" s="21">
        <v>0</v>
      </c>
      <c r="AF461" s="21">
        <v>0</v>
      </c>
      <c r="AG461" s="21">
        <v>0</v>
      </c>
      <c r="AH461" s="21">
        <v>0</v>
      </c>
      <c r="AI461" s="21">
        <v>0</v>
      </c>
      <c r="AJ461" s="21">
        <v>0</v>
      </c>
      <c r="AK461" s="21">
        <v>0</v>
      </c>
      <c r="AL461" s="21">
        <v>0</v>
      </c>
      <c r="AM461" s="21">
        <v>0</v>
      </c>
      <c r="AN461" s="21">
        <v>0</v>
      </c>
    </row>
    <row r="462" spans="1:48" x14ac:dyDescent="0.15">
      <c r="A462" s="20" t="s">
        <v>60</v>
      </c>
      <c r="B462" s="20" t="s">
        <v>93</v>
      </c>
      <c r="C462" s="21">
        <v>0</v>
      </c>
      <c r="D462" s="21">
        <v>5</v>
      </c>
      <c r="E462" s="21">
        <v>27910</v>
      </c>
      <c r="F462" s="21">
        <v>27915</v>
      </c>
      <c r="G462" s="21">
        <v>1149</v>
      </c>
      <c r="H462" s="21">
        <v>8493</v>
      </c>
      <c r="I462" s="21">
        <v>6967</v>
      </c>
      <c r="J462" s="21">
        <v>8044</v>
      </c>
      <c r="K462" s="21">
        <v>3261</v>
      </c>
      <c r="L462" s="21">
        <v>216</v>
      </c>
      <c r="M462" s="21">
        <v>0.70179999999999998</v>
      </c>
      <c r="N462" s="21">
        <v>0.70179999999999998</v>
      </c>
      <c r="O462" s="21">
        <v>4.1300000000000003E-2</v>
      </c>
      <c r="P462" s="21">
        <v>315</v>
      </c>
      <c r="Q462" s="21">
        <v>0.6794</v>
      </c>
      <c r="R462" s="21">
        <v>131</v>
      </c>
      <c r="S462" s="21">
        <v>89</v>
      </c>
      <c r="T462" s="21">
        <v>8.43E-2</v>
      </c>
      <c r="U462" s="21">
        <v>0.12720000000000001</v>
      </c>
      <c r="V462" s="21">
        <v>0.17699999999999999</v>
      </c>
      <c r="AB462" s="21">
        <v>0</v>
      </c>
      <c r="AC462" s="21">
        <v>0</v>
      </c>
      <c r="AD462" s="21">
        <v>0</v>
      </c>
      <c r="AE462" s="21">
        <v>0</v>
      </c>
      <c r="AF462" s="21">
        <v>0</v>
      </c>
      <c r="AG462" s="21">
        <v>0</v>
      </c>
      <c r="AH462" s="21">
        <v>0</v>
      </c>
      <c r="AI462" s="21">
        <v>0</v>
      </c>
      <c r="AJ462" s="21">
        <v>0</v>
      </c>
      <c r="AK462" s="21">
        <v>0</v>
      </c>
      <c r="AL462" s="21">
        <v>0</v>
      </c>
      <c r="AM462" s="21">
        <v>0</v>
      </c>
      <c r="AN462" s="21">
        <v>0</v>
      </c>
      <c r="AU462" s="21">
        <v>7</v>
      </c>
      <c r="AV462" s="21">
        <v>0</v>
      </c>
    </row>
    <row r="463" spans="1:48" x14ac:dyDescent="0.15">
      <c r="A463" s="20" t="s">
        <v>61</v>
      </c>
      <c r="B463" s="20" t="s">
        <v>93</v>
      </c>
      <c r="C463" s="21">
        <v>0</v>
      </c>
      <c r="D463" s="21">
        <v>46</v>
      </c>
      <c r="E463" s="21">
        <v>22029</v>
      </c>
      <c r="F463" s="21">
        <v>22075</v>
      </c>
      <c r="G463" s="21">
        <v>2401</v>
      </c>
      <c r="H463" s="21">
        <v>7417</v>
      </c>
      <c r="I463" s="21">
        <v>4352</v>
      </c>
      <c r="J463" s="21">
        <v>5373</v>
      </c>
      <c r="K463" s="21">
        <v>1602</v>
      </c>
      <c r="L463" s="21">
        <v>156</v>
      </c>
      <c r="M463" s="21">
        <v>0.7722</v>
      </c>
      <c r="N463" s="21">
        <v>0.7722</v>
      </c>
      <c r="O463" s="21">
        <v>0.13919999999999999</v>
      </c>
      <c r="P463" s="21">
        <v>175</v>
      </c>
      <c r="Q463" s="21">
        <v>0.84570000000000001</v>
      </c>
      <c r="R463" s="21">
        <v>141</v>
      </c>
      <c r="S463" s="21">
        <v>126</v>
      </c>
      <c r="T463" s="21">
        <v>8.0199999999999994E-2</v>
      </c>
      <c r="U463" s="21">
        <v>7.0099999999999996E-2</v>
      </c>
      <c r="V463" s="21">
        <v>0.94440000000000002</v>
      </c>
      <c r="AB463" s="21">
        <v>0</v>
      </c>
      <c r="AC463" s="21">
        <v>0</v>
      </c>
      <c r="AD463" s="21">
        <v>0</v>
      </c>
      <c r="AE463" s="21">
        <v>0</v>
      </c>
      <c r="AF463" s="21">
        <v>0</v>
      </c>
      <c r="AG463" s="21">
        <v>0</v>
      </c>
      <c r="AH463" s="21">
        <v>0</v>
      </c>
      <c r="AI463" s="21">
        <v>0</v>
      </c>
      <c r="AJ463" s="21">
        <v>0</v>
      </c>
      <c r="AK463" s="21">
        <v>0</v>
      </c>
      <c r="AL463" s="21">
        <v>0</v>
      </c>
      <c r="AM463" s="21">
        <v>0</v>
      </c>
      <c r="AN463" s="21">
        <v>0</v>
      </c>
      <c r="AP463" s="21">
        <v>0</v>
      </c>
      <c r="AQ463" s="21">
        <v>0</v>
      </c>
      <c r="AR463" s="21">
        <v>0</v>
      </c>
      <c r="AS463" s="21">
        <v>0</v>
      </c>
      <c r="AU463" s="21">
        <v>13</v>
      </c>
      <c r="AV463" s="21">
        <v>0</v>
      </c>
    </row>
    <row r="464" spans="1:48" x14ac:dyDescent="0.15">
      <c r="A464" s="20" t="s">
        <v>48</v>
      </c>
      <c r="B464" s="20" t="s">
        <v>94</v>
      </c>
      <c r="C464" s="21">
        <v>0</v>
      </c>
      <c r="D464" s="21">
        <v>138</v>
      </c>
      <c r="E464" s="21">
        <v>60201</v>
      </c>
      <c r="F464" s="21">
        <v>60339</v>
      </c>
      <c r="H464" s="21">
        <v>24984</v>
      </c>
      <c r="I464" s="21">
        <v>8601</v>
      </c>
      <c r="J464" s="21">
        <v>5190</v>
      </c>
      <c r="K464" s="21">
        <v>10470</v>
      </c>
      <c r="L464" s="21">
        <v>330</v>
      </c>
      <c r="M464" s="21">
        <v>0.85329999999999995</v>
      </c>
      <c r="N464" s="21">
        <v>0.84130000000000005</v>
      </c>
      <c r="O464" s="21">
        <v>0.12570000000000001</v>
      </c>
      <c r="P464" s="21">
        <v>675</v>
      </c>
      <c r="Q464" s="21">
        <v>0.5867</v>
      </c>
      <c r="R464" s="21">
        <v>188</v>
      </c>
      <c r="S464" s="21">
        <v>89</v>
      </c>
      <c r="T464" s="21">
        <v>8.7300000000000003E-2</v>
      </c>
      <c r="U464" s="21">
        <v>3.9199999999999999E-2</v>
      </c>
      <c r="V464" s="21">
        <v>1</v>
      </c>
      <c r="W464" s="21">
        <v>67</v>
      </c>
      <c r="X464" s="21">
        <v>36</v>
      </c>
      <c r="Y464" s="21">
        <v>58</v>
      </c>
      <c r="Z464" s="21">
        <v>0.3</v>
      </c>
      <c r="AA464" s="21">
        <v>0.6</v>
      </c>
      <c r="AB464" s="21">
        <v>134</v>
      </c>
      <c r="AC464" s="21">
        <v>134</v>
      </c>
      <c r="AD464" s="21">
        <v>129</v>
      </c>
      <c r="AE464" s="21">
        <v>11</v>
      </c>
      <c r="AF464" s="21">
        <v>8.8700000000000001E-2</v>
      </c>
      <c r="AG464" s="21">
        <v>0</v>
      </c>
      <c r="AH464" s="21">
        <v>0</v>
      </c>
      <c r="AI464" s="21">
        <v>0</v>
      </c>
      <c r="AJ464" s="21">
        <v>1</v>
      </c>
      <c r="AK464" s="21">
        <v>0</v>
      </c>
      <c r="AL464" s="21">
        <v>0</v>
      </c>
      <c r="AM464" s="21">
        <v>0</v>
      </c>
      <c r="AN464" s="21">
        <v>0</v>
      </c>
      <c r="AO464" s="21">
        <v>0.83889999999999998</v>
      </c>
      <c r="AP464" s="21">
        <v>26</v>
      </c>
      <c r="AQ464" s="21">
        <v>26</v>
      </c>
      <c r="AR464" s="21">
        <v>26</v>
      </c>
      <c r="AS464" s="21">
        <v>0</v>
      </c>
      <c r="AU464" s="21">
        <v>23</v>
      </c>
      <c r="AV464" s="21">
        <v>26</v>
      </c>
    </row>
    <row r="465" spans="1:48" x14ac:dyDescent="0.15">
      <c r="A465" s="20" t="s">
        <v>50</v>
      </c>
      <c r="B465" s="20" t="s">
        <v>94</v>
      </c>
      <c r="C465" s="21">
        <v>0</v>
      </c>
      <c r="D465" s="21">
        <v>20</v>
      </c>
      <c r="E465" s="21">
        <v>53182</v>
      </c>
      <c r="F465" s="21">
        <v>53201</v>
      </c>
      <c r="G465" s="21">
        <v>1970</v>
      </c>
      <c r="H465" s="21">
        <v>37311</v>
      </c>
      <c r="I465" s="21">
        <v>0</v>
      </c>
      <c r="J465" s="21">
        <v>2245</v>
      </c>
      <c r="K465" s="21">
        <v>9447</v>
      </c>
      <c r="L465" s="21">
        <v>310</v>
      </c>
      <c r="M465" s="21">
        <v>0.87849999999999995</v>
      </c>
      <c r="N465" s="21">
        <v>0.87229999999999996</v>
      </c>
      <c r="O465" s="21">
        <v>7.4800000000000005E-2</v>
      </c>
      <c r="P465" s="21">
        <v>681</v>
      </c>
      <c r="Q465" s="21">
        <v>0.58740000000000003</v>
      </c>
      <c r="R465" s="21">
        <v>172</v>
      </c>
      <c r="S465" s="21">
        <v>78</v>
      </c>
      <c r="T465" s="21">
        <v>0.1037</v>
      </c>
      <c r="U465" s="21">
        <v>5.6000000000000001E-2</v>
      </c>
      <c r="V465" s="21">
        <v>0.73809999999999998</v>
      </c>
      <c r="W465" s="21">
        <v>103</v>
      </c>
      <c r="X465" s="21">
        <v>66</v>
      </c>
      <c r="Y465" s="21">
        <v>93</v>
      </c>
      <c r="Z465" s="21">
        <v>0.3</v>
      </c>
      <c r="AA465" s="21">
        <v>0.7</v>
      </c>
      <c r="AB465" s="21">
        <v>192</v>
      </c>
      <c r="AC465" s="21">
        <v>192</v>
      </c>
      <c r="AD465" s="21">
        <v>202</v>
      </c>
      <c r="AE465" s="21">
        <v>5</v>
      </c>
      <c r="AF465" s="21">
        <v>2.3599999999999999E-2</v>
      </c>
      <c r="AG465" s="21">
        <v>0</v>
      </c>
      <c r="AH465" s="21">
        <v>0</v>
      </c>
      <c r="AI465" s="21">
        <v>0</v>
      </c>
      <c r="AJ465" s="21">
        <v>0</v>
      </c>
      <c r="AK465" s="21">
        <v>0</v>
      </c>
      <c r="AL465" s="21">
        <v>0</v>
      </c>
      <c r="AM465" s="21">
        <v>0</v>
      </c>
      <c r="AN465" s="21">
        <v>0</v>
      </c>
      <c r="AO465" s="21">
        <v>0.67390000000000005</v>
      </c>
      <c r="AP465" s="21">
        <v>132</v>
      </c>
      <c r="AQ465" s="21">
        <v>132</v>
      </c>
      <c r="AR465" s="21">
        <v>132</v>
      </c>
      <c r="AS465" s="21">
        <v>0</v>
      </c>
      <c r="AU465" s="21">
        <v>45</v>
      </c>
      <c r="AV465" s="21">
        <v>7</v>
      </c>
    </row>
    <row r="466" spans="1:48" x14ac:dyDescent="0.15">
      <c r="A466" s="20" t="s">
        <v>51</v>
      </c>
      <c r="B466" s="20" t="s">
        <v>94</v>
      </c>
      <c r="C466" s="21">
        <v>0</v>
      </c>
      <c r="D466" s="21">
        <v>634</v>
      </c>
      <c r="E466" s="21">
        <v>215002</v>
      </c>
      <c r="F466" s="21">
        <v>215637</v>
      </c>
      <c r="G466" s="21">
        <v>2614</v>
      </c>
      <c r="H466" s="21">
        <v>70856</v>
      </c>
      <c r="I466" s="21">
        <v>39188</v>
      </c>
      <c r="J466" s="21">
        <v>34058</v>
      </c>
      <c r="K466" s="21">
        <v>67018</v>
      </c>
      <c r="L466" s="21">
        <v>1395</v>
      </c>
      <c r="M466" s="21">
        <v>0.83389999999999997</v>
      </c>
      <c r="N466" s="21">
        <v>0.82399999999999995</v>
      </c>
      <c r="O466" s="21">
        <v>0.39600000000000002</v>
      </c>
      <c r="P466" s="21">
        <v>2828</v>
      </c>
      <c r="Q466" s="21">
        <v>0.65810000000000002</v>
      </c>
      <c r="R466" s="21">
        <v>156</v>
      </c>
      <c r="S466" s="21">
        <v>76</v>
      </c>
      <c r="T466" s="21">
        <v>0.1207</v>
      </c>
      <c r="U466" s="21">
        <v>6.93E-2</v>
      </c>
      <c r="V466" s="21">
        <v>0.76839999999999997</v>
      </c>
      <c r="W466" s="21">
        <v>119</v>
      </c>
      <c r="X466" s="21">
        <v>89</v>
      </c>
      <c r="Y466" s="21">
        <v>202</v>
      </c>
      <c r="Z466" s="21">
        <v>0.5</v>
      </c>
      <c r="AA466" s="21">
        <v>0.4</v>
      </c>
      <c r="AB466" s="21">
        <v>166</v>
      </c>
      <c r="AC466" s="21">
        <v>162</v>
      </c>
      <c r="AD466" s="21">
        <v>164</v>
      </c>
      <c r="AE466" s="21">
        <v>12</v>
      </c>
      <c r="AF466" s="21">
        <v>7.3599999999999999E-2</v>
      </c>
      <c r="AG466" s="21">
        <v>0</v>
      </c>
      <c r="AH466" s="21">
        <v>0</v>
      </c>
      <c r="AI466" s="21">
        <v>0</v>
      </c>
      <c r="AJ466" s="21">
        <v>0</v>
      </c>
      <c r="AK466" s="21">
        <v>0</v>
      </c>
      <c r="AL466" s="21">
        <v>0</v>
      </c>
      <c r="AM466" s="21">
        <v>0</v>
      </c>
      <c r="AN466" s="21">
        <v>0</v>
      </c>
      <c r="AP466" s="21">
        <v>58</v>
      </c>
      <c r="AQ466" s="21">
        <v>53</v>
      </c>
      <c r="AR466" s="21">
        <v>53</v>
      </c>
      <c r="AS466" s="21">
        <v>0</v>
      </c>
      <c r="AT466" s="21">
        <v>0</v>
      </c>
      <c r="AU466" s="21">
        <v>142</v>
      </c>
      <c r="AV466" s="21">
        <v>0</v>
      </c>
    </row>
    <row r="467" spans="1:48" x14ac:dyDescent="0.15">
      <c r="A467" s="20" t="s">
        <v>52</v>
      </c>
      <c r="B467" s="20" t="s">
        <v>94</v>
      </c>
      <c r="C467" s="21">
        <v>0</v>
      </c>
      <c r="D467" s="21">
        <v>98</v>
      </c>
      <c r="E467" s="21">
        <v>105416</v>
      </c>
      <c r="F467" s="21">
        <v>105514</v>
      </c>
      <c r="G467" s="21">
        <v>14649</v>
      </c>
      <c r="H467" s="21">
        <v>19360</v>
      </c>
      <c r="I467" s="21">
        <v>18672</v>
      </c>
      <c r="J467" s="21">
        <v>27434</v>
      </c>
      <c r="K467" s="21">
        <v>15168</v>
      </c>
      <c r="L467" s="21">
        <v>428</v>
      </c>
      <c r="M467" s="21">
        <v>0.84550000000000003</v>
      </c>
      <c r="N467" s="21">
        <v>0.84550000000000003</v>
      </c>
      <c r="O467" s="21">
        <v>8.8599999999999998E-2</v>
      </c>
      <c r="P467" s="21">
        <v>1180</v>
      </c>
      <c r="Q467" s="21">
        <v>0.53979999999999995</v>
      </c>
      <c r="R467" s="21">
        <v>245</v>
      </c>
      <c r="S467" s="21">
        <v>89</v>
      </c>
      <c r="T467" s="21">
        <v>7.3999999999999996E-2</v>
      </c>
      <c r="U467" s="21">
        <v>6.3500000000000001E-2</v>
      </c>
      <c r="V467" s="21">
        <v>0.82889999999999997</v>
      </c>
      <c r="W467" s="21">
        <v>66</v>
      </c>
      <c r="X467" s="21">
        <v>35</v>
      </c>
      <c r="Y467" s="21">
        <v>58</v>
      </c>
      <c r="Z467" s="21">
        <v>0.3</v>
      </c>
      <c r="AA467" s="21">
        <v>0.6</v>
      </c>
      <c r="AB467" s="21">
        <v>117</v>
      </c>
      <c r="AC467" s="21">
        <v>111</v>
      </c>
      <c r="AD467" s="21">
        <v>112</v>
      </c>
      <c r="AE467" s="21">
        <v>9</v>
      </c>
      <c r="AF467" s="21">
        <v>8.3299999999999999E-2</v>
      </c>
      <c r="AG467" s="21">
        <v>0</v>
      </c>
      <c r="AH467" s="21">
        <v>0</v>
      </c>
      <c r="AI467" s="21">
        <v>0</v>
      </c>
      <c r="AJ467" s="21">
        <v>0</v>
      </c>
      <c r="AK467" s="21">
        <v>0</v>
      </c>
      <c r="AL467" s="21">
        <v>0</v>
      </c>
      <c r="AM467" s="21">
        <v>0</v>
      </c>
      <c r="AN467" s="21">
        <v>0</v>
      </c>
      <c r="AO467" s="21">
        <v>0.67530000000000001</v>
      </c>
      <c r="AP467" s="21">
        <v>2</v>
      </c>
      <c r="AQ467" s="21">
        <v>2</v>
      </c>
      <c r="AR467" s="21">
        <v>2</v>
      </c>
      <c r="AS467" s="21">
        <v>0</v>
      </c>
      <c r="AT467" s="21">
        <v>0</v>
      </c>
      <c r="AU467" s="21">
        <v>40</v>
      </c>
      <c r="AV467" s="21">
        <v>20</v>
      </c>
    </row>
    <row r="468" spans="1:48" x14ac:dyDescent="0.15">
      <c r="A468" s="20" t="s">
        <v>53</v>
      </c>
      <c r="B468" s="20" t="s">
        <v>94</v>
      </c>
      <c r="C468" s="21">
        <v>0</v>
      </c>
      <c r="D468" s="21">
        <v>0</v>
      </c>
      <c r="E468" s="21">
        <v>0</v>
      </c>
      <c r="F468" s="21">
        <v>0</v>
      </c>
      <c r="AB468" s="21">
        <v>0</v>
      </c>
      <c r="AC468" s="21">
        <v>0</v>
      </c>
      <c r="AD468" s="21">
        <v>0</v>
      </c>
      <c r="AE468" s="21">
        <v>0</v>
      </c>
      <c r="AF468" s="21">
        <v>0</v>
      </c>
      <c r="AG468" s="21">
        <v>0</v>
      </c>
      <c r="AH468" s="21">
        <v>0</v>
      </c>
      <c r="AI468" s="21">
        <v>0</v>
      </c>
      <c r="AJ468" s="21">
        <v>0</v>
      </c>
      <c r="AK468" s="21">
        <v>0</v>
      </c>
      <c r="AL468" s="21">
        <v>0</v>
      </c>
      <c r="AM468" s="21">
        <v>0</v>
      </c>
      <c r="AN468" s="21">
        <v>0</v>
      </c>
    </row>
    <row r="469" spans="1:48" x14ac:dyDescent="0.15">
      <c r="A469" s="20" t="s">
        <v>0</v>
      </c>
      <c r="B469" s="20" t="s">
        <v>94</v>
      </c>
      <c r="C469" s="21">
        <v>0</v>
      </c>
      <c r="D469" s="21">
        <v>1071</v>
      </c>
      <c r="E469" s="21">
        <v>653905</v>
      </c>
      <c r="F469" s="21">
        <v>654977</v>
      </c>
      <c r="G469" s="21">
        <v>29531</v>
      </c>
      <c r="H469" s="21">
        <v>215518</v>
      </c>
      <c r="I469" s="21">
        <v>107489</v>
      </c>
      <c r="J469" s="21">
        <v>134076</v>
      </c>
      <c r="K469" s="21">
        <v>128334</v>
      </c>
      <c r="L469" s="21">
        <v>3279</v>
      </c>
      <c r="M469" s="21">
        <v>0.82569999999999999</v>
      </c>
      <c r="N469" s="21">
        <v>0.81979999999999997</v>
      </c>
      <c r="O469" s="21">
        <v>0.2172</v>
      </c>
      <c r="P469" s="21">
        <v>6637</v>
      </c>
      <c r="Q469" s="21">
        <v>0.62660000000000005</v>
      </c>
      <c r="R469" s="21">
        <v>201</v>
      </c>
      <c r="S469" s="21">
        <v>99</v>
      </c>
      <c r="T469" s="21">
        <v>9.3299999999999994E-2</v>
      </c>
      <c r="U469" s="21">
        <v>6.4799999999999996E-2</v>
      </c>
      <c r="V469" s="21">
        <v>0.80449999999999999</v>
      </c>
      <c r="W469" s="21">
        <v>565</v>
      </c>
      <c r="X469" s="21">
        <v>333</v>
      </c>
      <c r="Y469" s="21">
        <v>541</v>
      </c>
      <c r="Z469" s="21">
        <v>0.4</v>
      </c>
      <c r="AA469" s="21">
        <v>0.6</v>
      </c>
      <c r="AB469" s="21">
        <v>849</v>
      </c>
      <c r="AC469" s="21">
        <v>836</v>
      </c>
      <c r="AD469" s="21">
        <v>848</v>
      </c>
      <c r="AE469" s="21">
        <v>43</v>
      </c>
      <c r="AF469" s="21">
        <v>5.0700000000000002E-2</v>
      </c>
      <c r="AG469" s="21">
        <v>0</v>
      </c>
      <c r="AH469" s="21">
        <v>0</v>
      </c>
      <c r="AI469" s="21">
        <v>0</v>
      </c>
      <c r="AJ469" s="21">
        <v>1</v>
      </c>
      <c r="AK469" s="21">
        <v>0</v>
      </c>
      <c r="AL469" s="21">
        <v>0</v>
      </c>
      <c r="AM469" s="21">
        <v>0</v>
      </c>
      <c r="AN469" s="21">
        <v>0</v>
      </c>
      <c r="AO469" s="21">
        <v>0.65580000000000005</v>
      </c>
      <c r="AP469" s="21">
        <v>9238</v>
      </c>
      <c r="AQ469" s="21">
        <v>633</v>
      </c>
      <c r="AR469" s="21">
        <v>335</v>
      </c>
      <c r="AS469" s="21">
        <v>13</v>
      </c>
      <c r="AT469" s="21">
        <v>285</v>
      </c>
      <c r="AU469" s="21">
        <v>524</v>
      </c>
      <c r="AV469" s="21">
        <v>111</v>
      </c>
    </row>
    <row r="470" spans="1:48" x14ac:dyDescent="0.15">
      <c r="A470" s="20" t="s">
        <v>54</v>
      </c>
      <c r="B470" s="20" t="s">
        <v>94</v>
      </c>
      <c r="C470" s="21">
        <v>0</v>
      </c>
      <c r="D470" s="21">
        <v>0</v>
      </c>
      <c r="E470" s="21">
        <v>0</v>
      </c>
      <c r="F470" s="21">
        <v>0</v>
      </c>
      <c r="AB470" s="21">
        <v>0</v>
      </c>
      <c r="AC470" s="21">
        <v>0</v>
      </c>
      <c r="AD470" s="21">
        <v>0</v>
      </c>
      <c r="AE470" s="21">
        <v>0</v>
      </c>
      <c r="AF470" s="21">
        <v>0</v>
      </c>
      <c r="AG470" s="21">
        <v>0</v>
      </c>
      <c r="AH470" s="21">
        <v>0</v>
      </c>
      <c r="AI470" s="21">
        <v>0</v>
      </c>
      <c r="AJ470" s="21">
        <v>0</v>
      </c>
      <c r="AK470" s="21">
        <v>0</v>
      </c>
      <c r="AL470" s="21">
        <v>0</v>
      </c>
      <c r="AM470" s="21">
        <v>0</v>
      </c>
      <c r="AN470" s="21">
        <v>0</v>
      </c>
      <c r="AP470" s="21">
        <v>0</v>
      </c>
      <c r="AQ470" s="21">
        <v>0</v>
      </c>
      <c r="AR470" s="21">
        <v>0</v>
      </c>
      <c r="AV470" s="21">
        <v>0</v>
      </c>
    </row>
    <row r="471" spans="1:48" x14ac:dyDescent="0.15">
      <c r="A471" s="20" t="s">
        <v>55</v>
      </c>
      <c r="B471" s="20" t="s">
        <v>94</v>
      </c>
      <c r="C471" s="21">
        <v>0</v>
      </c>
      <c r="D471" s="21">
        <v>0</v>
      </c>
      <c r="E471" s="21">
        <v>0</v>
      </c>
      <c r="F471" s="21">
        <v>0</v>
      </c>
      <c r="AB471" s="21">
        <v>0</v>
      </c>
      <c r="AC471" s="21">
        <v>0</v>
      </c>
      <c r="AD471" s="21">
        <v>0</v>
      </c>
      <c r="AE471" s="21">
        <v>0</v>
      </c>
      <c r="AF471" s="21">
        <v>0</v>
      </c>
      <c r="AG471" s="21">
        <v>0</v>
      </c>
      <c r="AH471" s="21">
        <v>0</v>
      </c>
      <c r="AI471" s="21">
        <v>0</v>
      </c>
      <c r="AJ471" s="21">
        <v>0</v>
      </c>
      <c r="AK471" s="21">
        <v>0</v>
      </c>
      <c r="AL471" s="21">
        <v>0</v>
      </c>
      <c r="AM471" s="21">
        <v>0</v>
      </c>
      <c r="AN471" s="21">
        <v>0</v>
      </c>
    </row>
    <row r="472" spans="1:48" x14ac:dyDescent="0.15">
      <c r="A472" s="20" t="s">
        <v>56</v>
      </c>
      <c r="B472" s="20" t="s">
        <v>94</v>
      </c>
      <c r="C472" s="21">
        <v>0</v>
      </c>
      <c r="D472" s="21">
        <v>0</v>
      </c>
      <c r="E472" s="21">
        <v>12567</v>
      </c>
      <c r="F472" s="21">
        <v>12567</v>
      </c>
      <c r="H472" s="21">
        <v>4354</v>
      </c>
      <c r="J472" s="21">
        <v>5104</v>
      </c>
      <c r="K472" s="21">
        <v>2609</v>
      </c>
      <c r="L472" s="21">
        <v>59</v>
      </c>
      <c r="M472" s="21">
        <v>0.7429</v>
      </c>
      <c r="N472" s="21">
        <v>0.7429</v>
      </c>
      <c r="O472" s="21">
        <v>0</v>
      </c>
      <c r="P472" s="21">
        <v>184</v>
      </c>
      <c r="Q472" s="21">
        <v>0.65759999999999996</v>
      </c>
      <c r="R472" s="21">
        <v>211</v>
      </c>
      <c r="S472" s="21">
        <v>68</v>
      </c>
      <c r="T472" s="21">
        <v>0.1186</v>
      </c>
      <c r="U472" s="21">
        <v>1.1000000000000001E-3</v>
      </c>
      <c r="AB472" s="21">
        <v>0</v>
      </c>
      <c r="AC472" s="21">
        <v>0</v>
      </c>
      <c r="AD472" s="21">
        <v>0</v>
      </c>
      <c r="AE472" s="21">
        <v>0</v>
      </c>
      <c r="AF472" s="21">
        <v>0</v>
      </c>
      <c r="AG472" s="21">
        <v>0</v>
      </c>
      <c r="AH472" s="21">
        <v>0</v>
      </c>
      <c r="AI472" s="21">
        <v>0</v>
      </c>
      <c r="AJ472" s="21">
        <v>0</v>
      </c>
      <c r="AK472" s="21">
        <v>0</v>
      </c>
      <c r="AL472" s="21">
        <v>0</v>
      </c>
      <c r="AM472" s="21">
        <v>0</v>
      </c>
      <c r="AN472" s="21">
        <v>0</v>
      </c>
      <c r="AP472" s="21">
        <v>8683</v>
      </c>
      <c r="AQ472" s="21">
        <v>83</v>
      </c>
      <c r="AR472" s="21">
        <v>71</v>
      </c>
      <c r="AS472" s="21">
        <v>11</v>
      </c>
      <c r="AU472" s="21">
        <v>0</v>
      </c>
      <c r="AV472" s="21">
        <v>0</v>
      </c>
    </row>
    <row r="473" spans="1:48" x14ac:dyDescent="0.15">
      <c r="A473" s="20" t="s">
        <v>57</v>
      </c>
      <c r="B473" s="20" t="s">
        <v>94</v>
      </c>
      <c r="C473" s="21">
        <v>0</v>
      </c>
      <c r="D473" s="21">
        <v>123</v>
      </c>
      <c r="E473" s="21">
        <v>120109</v>
      </c>
      <c r="F473" s="21">
        <v>120232</v>
      </c>
      <c r="G473" s="21">
        <v>5286</v>
      </c>
      <c r="H473" s="21">
        <v>28864</v>
      </c>
      <c r="I473" s="21">
        <v>18179</v>
      </c>
      <c r="J473" s="21">
        <v>37697</v>
      </c>
      <c r="K473" s="21">
        <v>17001</v>
      </c>
      <c r="L473" s="21">
        <v>383</v>
      </c>
      <c r="M473" s="21">
        <v>0.75249999999999995</v>
      </c>
      <c r="N473" s="21">
        <v>0.75249999999999995</v>
      </c>
      <c r="O473" s="21">
        <v>8.3299999999999999E-2</v>
      </c>
      <c r="P473" s="21">
        <v>598</v>
      </c>
      <c r="Q473" s="21">
        <v>0.58030000000000004</v>
      </c>
      <c r="R473" s="21">
        <v>315</v>
      </c>
      <c r="S473" s="21">
        <v>201</v>
      </c>
      <c r="T473" s="21">
        <v>6.5000000000000002E-2</v>
      </c>
      <c r="U473" s="21">
        <v>6.5299999999999997E-2</v>
      </c>
      <c r="V473" s="21">
        <v>0.76519999999999999</v>
      </c>
      <c r="W473" s="21">
        <v>131</v>
      </c>
      <c r="X473" s="21">
        <v>78</v>
      </c>
      <c r="Y473" s="21">
        <v>113</v>
      </c>
      <c r="Z473" s="21">
        <v>0.3</v>
      </c>
      <c r="AA473" s="21">
        <v>0.7</v>
      </c>
      <c r="AB473" s="21">
        <v>240</v>
      </c>
      <c r="AC473" s="21">
        <v>237</v>
      </c>
      <c r="AD473" s="21">
        <v>240</v>
      </c>
      <c r="AE473" s="21">
        <v>6</v>
      </c>
      <c r="AF473" s="21">
        <v>2.4899999999999999E-2</v>
      </c>
      <c r="AG473" s="21">
        <v>0</v>
      </c>
      <c r="AH473" s="21">
        <v>0</v>
      </c>
      <c r="AI473" s="21">
        <v>0</v>
      </c>
      <c r="AJ473" s="21">
        <v>1</v>
      </c>
      <c r="AK473" s="21">
        <v>0</v>
      </c>
      <c r="AL473" s="21">
        <v>0</v>
      </c>
      <c r="AM473" s="21">
        <v>0</v>
      </c>
      <c r="AN473" s="21">
        <v>0</v>
      </c>
      <c r="AO473" s="21">
        <v>0.56599999999999995</v>
      </c>
      <c r="AP473" s="21">
        <v>337</v>
      </c>
      <c r="AQ473" s="21">
        <v>337</v>
      </c>
      <c r="AR473" s="21">
        <v>50</v>
      </c>
      <c r="AS473" s="21">
        <v>1</v>
      </c>
      <c r="AT473" s="21">
        <v>285</v>
      </c>
      <c r="AU473" s="21">
        <v>239</v>
      </c>
      <c r="AV473" s="21">
        <v>59</v>
      </c>
    </row>
    <row r="474" spans="1:48" x14ac:dyDescent="0.15">
      <c r="A474" s="20" t="s">
        <v>58</v>
      </c>
      <c r="B474" s="20" t="s">
        <v>94</v>
      </c>
      <c r="C474" s="21">
        <v>0</v>
      </c>
      <c r="D474" s="21">
        <v>0</v>
      </c>
      <c r="E474" s="21">
        <v>0</v>
      </c>
      <c r="F474" s="21">
        <v>0</v>
      </c>
      <c r="AB474" s="21">
        <v>0</v>
      </c>
      <c r="AC474" s="21">
        <v>0</v>
      </c>
      <c r="AD474" s="21">
        <v>0</v>
      </c>
      <c r="AE474" s="21">
        <v>0</v>
      </c>
      <c r="AF474" s="21">
        <v>0</v>
      </c>
      <c r="AG474" s="21">
        <v>0</v>
      </c>
      <c r="AH474" s="21">
        <v>0</v>
      </c>
      <c r="AI474" s="21">
        <v>0</v>
      </c>
      <c r="AJ474" s="21">
        <v>0</v>
      </c>
      <c r="AK474" s="21">
        <v>0</v>
      </c>
      <c r="AL474" s="21">
        <v>0</v>
      </c>
      <c r="AM474" s="21">
        <v>0</v>
      </c>
      <c r="AN474" s="21">
        <v>0</v>
      </c>
      <c r="AV474" s="21">
        <v>0</v>
      </c>
    </row>
    <row r="475" spans="1:48" x14ac:dyDescent="0.15">
      <c r="A475" s="20" t="s">
        <v>59</v>
      </c>
      <c r="B475" s="20" t="s">
        <v>94</v>
      </c>
      <c r="C475" s="21">
        <v>0</v>
      </c>
      <c r="D475" s="21">
        <v>0</v>
      </c>
      <c r="E475" s="21">
        <v>0</v>
      </c>
      <c r="F475" s="21">
        <v>0</v>
      </c>
      <c r="AB475" s="21">
        <v>0</v>
      </c>
      <c r="AC475" s="21">
        <v>0</v>
      </c>
      <c r="AD475" s="21">
        <v>0</v>
      </c>
      <c r="AE475" s="21">
        <v>0</v>
      </c>
      <c r="AF475" s="21">
        <v>0</v>
      </c>
      <c r="AG475" s="21">
        <v>0</v>
      </c>
      <c r="AH475" s="21">
        <v>0</v>
      </c>
      <c r="AI475" s="21">
        <v>0</v>
      </c>
      <c r="AJ475" s="21">
        <v>0</v>
      </c>
      <c r="AK475" s="21">
        <v>0</v>
      </c>
      <c r="AL475" s="21">
        <v>0</v>
      </c>
      <c r="AM475" s="21">
        <v>0</v>
      </c>
      <c r="AN475" s="21">
        <v>0</v>
      </c>
    </row>
    <row r="476" spans="1:48" x14ac:dyDescent="0.15">
      <c r="A476" s="20" t="s">
        <v>60</v>
      </c>
      <c r="B476" s="20" t="s">
        <v>94</v>
      </c>
      <c r="C476" s="21">
        <v>0</v>
      </c>
      <c r="D476" s="21">
        <v>5</v>
      </c>
      <c r="E476" s="21">
        <v>53285</v>
      </c>
      <c r="F476" s="21">
        <v>53290</v>
      </c>
      <c r="G476" s="21">
        <v>2406</v>
      </c>
      <c r="H476" s="21">
        <v>19376</v>
      </c>
      <c r="I476" s="21">
        <v>15651</v>
      </c>
      <c r="J476" s="21">
        <v>11491</v>
      </c>
      <c r="K476" s="21">
        <v>4366</v>
      </c>
      <c r="L476" s="21">
        <v>220</v>
      </c>
      <c r="M476" s="21">
        <v>0.78380000000000005</v>
      </c>
      <c r="N476" s="21">
        <v>0.78380000000000005</v>
      </c>
      <c r="O476" s="21">
        <v>2.2499999999999999E-2</v>
      </c>
      <c r="P476" s="21">
        <v>315</v>
      </c>
      <c r="Q476" s="21">
        <v>0.75239999999999996</v>
      </c>
      <c r="R476" s="21">
        <v>244</v>
      </c>
      <c r="S476" s="21">
        <v>169</v>
      </c>
      <c r="T476" s="21">
        <v>8.0100000000000005E-2</v>
      </c>
      <c r="U476" s="21">
        <v>9.8000000000000004E-2</v>
      </c>
      <c r="V476" s="21">
        <v>1</v>
      </c>
      <c r="W476" s="21">
        <v>72</v>
      </c>
      <c r="X476" s="21">
        <v>25</v>
      </c>
      <c r="Y476" s="21">
        <v>12</v>
      </c>
      <c r="AA476" s="21">
        <v>2.1</v>
      </c>
      <c r="AB476" s="21">
        <v>0</v>
      </c>
      <c r="AC476" s="21">
        <v>0</v>
      </c>
      <c r="AD476" s="21">
        <v>0</v>
      </c>
      <c r="AE476" s="21">
        <v>0</v>
      </c>
      <c r="AF476" s="21">
        <v>0</v>
      </c>
      <c r="AG476" s="21">
        <v>0</v>
      </c>
      <c r="AH476" s="21">
        <v>0</v>
      </c>
      <c r="AI476" s="21">
        <v>0</v>
      </c>
      <c r="AJ476" s="21">
        <v>0</v>
      </c>
      <c r="AK476" s="21">
        <v>0</v>
      </c>
      <c r="AL476" s="21">
        <v>0</v>
      </c>
      <c r="AM476" s="21">
        <v>0</v>
      </c>
      <c r="AN476" s="21">
        <v>0</v>
      </c>
      <c r="AP476" s="21">
        <v>0</v>
      </c>
      <c r="AQ476" s="21">
        <v>0</v>
      </c>
      <c r="AS476" s="21">
        <v>0</v>
      </c>
      <c r="AU476" s="21">
        <v>5</v>
      </c>
      <c r="AV476" s="21">
        <v>0</v>
      </c>
    </row>
    <row r="477" spans="1:48" x14ac:dyDescent="0.15">
      <c r="A477" s="20" t="s">
        <v>61</v>
      </c>
      <c r="B477" s="20" t="s">
        <v>94</v>
      </c>
      <c r="C477" s="21">
        <v>0</v>
      </c>
      <c r="D477" s="21">
        <v>53</v>
      </c>
      <c r="E477" s="21">
        <v>34143</v>
      </c>
      <c r="F477" s="21">
        <v>34196</v>
      </c>
      <c r="G477" s="21">
        <v>2607</v>
      </c>
      <c r="H477" s="21">
        <v>10413</v>
      </c>
      <c r="I477" s="21">
        <v>7198</v>
      </c>
      <c r="J477" s="21">
        <v>10857</v>
      </c>
      <c r="K477" s="21">
        <v>2254</v>
      </c>
      <c r="L477" s="21">
        <v>154</v>
      </c>
      <c r="M477" s="21">
        <v>0.81130000000000002</v>
      </c>
      <c r="N477" s="21">
        <v>0.81130000000000002</v>
      </c>
      <c r="O477" s="21">
        <v>0.16980000000000001</v>
      </c>
      <c r="P477" s="21">
        <v>176</v>
      </c>
      <c r="Q477" s="21">
        <v>0.90910000000000002</v>
      </c>
      <c r="R477" s="21">
        <v>221</v>
      </c>
      <c r="S477" s="21">
        <v>194</v>
      </c>
      <c r="T477" s="21">
        <v>7.3700000000000002E-2</v>
      </c>
      <c r="U477" s="21">
        <v>7.2900000000000006E-2</v>
      </c>
      <c r="V477" s="21">
        <v>0.82050000000000001</v>
      </c>
      <c r="W477" s="21">
        <v>7</v>
      </c>
      <c r="X477" s="21">
        <v>4</v>
      </c>
      <c r="Y477" s="21">
        <v>5</v>
      </c>
      <c r="AA477" s="21">
        <v>0.8</v>
      </c>
      <c r="AB477" s="21">
        <v>0</v>
      </c>
      <c r="AC477" s="21">
        <v>0</v>
      </c>
      <c r="AD477" s="21">
        <v>0</v>
      </c>
      <c r="AE477" s="21">
        <v>0</v>
      </c>
      <c r="AF477" s="21">
        <v>0</v>
      </c>
      <c r="AG477" s="21">
        <v>0</v>
      </c>
      <c r="AH477" s="21">
        <v>0</v>
      </c>
      <c r="AI477" s="21">
        <v>0</v>
      </c>
      <c r="AJ477" s="21">
        <v>0</v>
      </c>
      <c r="AK477" s="21">
        <v>0</v>
      </c>
      <c r="AL477" s="21">
        <v>0</v>
      </c>
      <c r="AM477" s="21">
        <v>0</v>
      </c>
      <c r="AN477" s="21">
        <v>0</v>
      </c>
      <c r="AP477" s="21">
        <v>0</v>
      </c>
      <c r="AQ477" s="21">
        <v>0</v>
      </c>
      <c r="AR477" s="21">
        <v>0</v>
      </c>
      <c r="AS477" s="21">
        <v>0</v>
      </c>
      <c r="AU477" s="21">
        <v>29</v>
      </c>
      <c r="AV477" s="21">
        <v>0</v>
      </c>
    </row>
    <row r="478" spans="1:48" x14ac:dyDescent="0.15">
      <c r="A478" s="20" t="s">
        <v>48</v>
      </c>
      <c r="B478" s="20" t="s">
        <v>95</v>
      </c>
      <c r="C478" s="21">
        <v>0</v>
      </c>
      <c r="D478" s="21">
        <v>171</v>
      </c>
      <c r="E478" s="21">
        <v>29433</v>
      </c>
      <c r="F478" s="21">
        <v>29604</v>
      </c>
      <c r="H478" s="21">
        <v>11239</v>
      </c>
      <c r="I478" s="21">
        <v>4867</v>
      </c>
      <c r="J478" s="21">
        <v>6204</v>
      </c>
      <c r="K478" s="21">
        <v>1673</v>
      </c>
      <c r="L478" s="21">
        <v>341</v>
      </c>
      <c r="M478" s="21">
        <v>0.76639999999999997</v>
      </c>
      <c r="N478" s="21">
        <v>0.76070000000000004</v>
      </c>
      <c r="O478" s="21">
        <v>0.15379999999999999</v>
      </c>
      <c r="P478" s="21">
        <v>684</v>
      </c>
      <c r="Q478" s="21">
        <v>0.51749999999999996</v>
      </c>
      <c r="R478" s="21">
        <v>88</v>
      </c>
      <c r="S478" s="21">
        <v>43</v>
      </c>
      <c r="T478" s="21">
        <v>0.13070000000000001</v>
      </c>
      <c r="U478" s="21">
        <v>4.6899999999999997E-2</v>
      </c>
      <c r="V478" s="21">
        <v>0.82979999999999998</v>
      </c>
      <c r="W478" s="21">
        <v>17</v>
      </c>
      <c r="X478" s="21">
        <v>17</v>
      </c>
      <c r="Y478" s="21">
        <v>30</v>
      </c>
      <c r="Z478" s="21">
        <v>0.1</v>
      </c>
      <c r="AA478" s="21">
        <v>0.6</v>
      </c>
      <c r="AB478" s="21">
        <v>101</v>
      </c>
      <c r="AC478" s="21">
        <v>101</v>
      </c>
      <c r="AD478" s="21">
        <v>118</v>
      </c>
      <c r="AE478" s="21">
        <v>5</v>
      </c>
      <c r="AF478" s="21">
        <v>3.73E-2</v>
      </c>
      <c r="AG478" s="21">
        <v>0</v>
      </c>
      <c r="AH478" s="21">
        <v>0</v>
      </c>
      <c r="AI478" s="21">
        <v>0</v>
      </c>
      <c r="AJ478" s="21">
        <v>0.72729999999999995</v>
      </c>
      <c r="AK478" s="21">
        <v>0</v>
      </c>
      <c r="AL478" s="21">
        <v>0</v>
      </c>
      <c r="AM478" s="21">
        <v>0</v>
      </c>
      <c r="AN478" s="21">
        <v>0</v>
      </c>
      <c r="AO478" s="21">
        <v>0.59099999999999997</v>
      </c>
      <c r="AP478" s="21">
        <v>32</v>
      </c>
      <c r="AQ478" s="21">
        <v>22</v>
      </c>
      <c r="AR478" s="21">
        <v>22</v>
      </c>
      <c r="AS478" s="21">
        <v>0</v>
      </c>
      <c r="AU478" s="21">
        <v>8</v>
      </c>
      <c r="AV478" s="21">
        <v>9</v>
      </c>
    </row>
    <row r="479" spans="1:48" x14ac:dyDescent="0.15">
      <c r="A479" s="20" t="s">
        <v>50</v>
      </c>
      <c r="B479" s="20" t="s">
        <v>95</v>
      </c>
      <c r="C479" s="21">
        <v>0</v>
      </c>
      <c r="D479" s="21">
        <v>46</v>
      </c>
      <c r="E479" s="21">
        <v>22557</v>
      </c>
      <c r="F479" s="21">
        <v>22602</v>
      </c>
      <c r="G479" s="21">
        <v>1533</v>
      </c>
      <c r="H479" s="21">
        <v>16181</v>
      </c>
      <c r="I479" s="21">
        <v>0</v>
      </c>
      <c r="J479" s="21">
        <v>2261</v>
      </c>
      <c r="K479" s="21">
        <v>1974</v>
      </c>
      <c r="L479" s="21">
        <v>324</v>
      </c>
      <c r="M479" s="21">
        <v>0.72589999999999999</v>
      </c>
      <c r="N479" s="21">
        <v>0.72289999999999999</v>
      </c>
      <c r="O479" s="21">
        <v>0.1024</v>
      </c>
      <c r="P479" s="21">
        <v>693</v>
      </c>
      <c r="Q479" s="21">
        <v>0.4834</v>
      </c>
      <c r="R479" s="21">
        <v>71</v>
      </c>
      <c r="S479" s="21">
        <v>33</v>
      </c>
      <c r="T479" s="21">
        <v>0.12039999999999999</v>
      </c>
      <c r="U479" s="21">
        <v>6.0600000000000001E-2</v>
      </c>
      <c r="V479" s="21">
        <v>0.79059999999999997</v>
      </c>
      <c r="W479" s="21">
        <v>42</v>
      </c>
      <c r="X479" s="21">
        <v>44</v>
      </c>
      <c r="Y479" s="21">
        <v>92</v>
      </c>
      <c r="Z479" s="21">
        <v>0.2</v>
      </c>
      <c r="AA479" s="21">
        <v>0.5</v>
      </c>
      <c r="AB479" s="21">
        <v>181</v>
      </c>
      <c r="AC479" s="21">
        <v>181</v>
      </c>
      <c r="AD479" s="21">
        <v>186</v>
      </c>
      <c r="AE479" s="21">
        <v>9</v>
      </c>
      <c r="AF479" s="21">
        <v>4.6899999999999997E-2</v>
      </c>
      <c r="AG479" s="21">
        <v>0</v>
      </c>
      <c r="AH479" s="21">
        <v>0</v>
      </c>
      <c r="AI479" s="21">
        <v>0</v>
      </c>
      <c r="AJ479" s="21">
        <v>1</v>
      </c>
      <c r="AK479" s="21">
        <v>0</v>
      </c>
      <c r="AL479" s="21">
        <v>0</v>
      </c>
      <c r="AM479" s="21">
        <v>0</v>
      </c>
      <c r="AN479" s="21">
        <v>0</v>
      </c>
      <c r="AO479" s="21">
        <v>0.96099999999999997</v>
      </c>
      <c r="AP479" s="21">
        <v>108</v>
      </c>
      <c r="AQ479" s="21">
        <v>108</v>
      </c>
      <c r="AR479" s="21">
        <v>104</v>
      </c>
      <c r="AS479" s="21">
        <v>4</v>
      </c>
      <c r="AU479" s="21">
        <v>10</v>
      </c>
      <c r="AV479" s="21">
        <v>18</v>
      </c>
    </row>
    <row r="480" spans="1:48" x14ac:dyDescent="0.15">
      <c r="A480" s="20" t="s">
        <v>51</v>
      </c>
      <c r="B480" s="20" t="s">
        <v>95</v>
      </c>
      <c r="C480" s="21">
        <v>0</v>
      </c>
      <c r="D480" s="21">
        <v>1128</v>
      </c>
      <c r="E480" s="21">
        <v>70446</v>
      </c>
      <c r="F480" s="21">
        <v>71574</v>
      </c>
      <c r="G480" s="21">
        <v>1962</v>
      </c>
      <c r="H480" s="21">
        <v>22268</v>
      </c>
      <c r="I480" s="21">
        <v>13801</v>
      </c>
      <c r="J480" s="21">
        <v>15069</v>
      </c>
      <c r="K480" s="21">
        <v>17954</v>
      </c>
      <c r="L480" s="21">
        <v>1421</v>
      </c>
      <c r="M480" s="21">
        <v>0.70640000000000003</v>
      </c>
      <c r="N480" s="21">
        <v>0.68559999999999999</v>
      </c>
      <c r="O480" s="21">
        <v>0.33100000000000002</v>
      </c>
      <c r="P480" s="21">
        <v>2842</v>
      </c>
      <c r="Q480" s="21">
        <v>0.51229999999999998</v>
      </c>
      <c r="R480" s="21">
        <v>51</v>
      </c>
      <c r="S480" s="21">
        <v>25</v>
      </c>
      <c r="T480" s="21">
        <v>0.15820000000000001</v>
      </c>
      <c r="U480" s="21">
        <v>7.4499999999999997E-2</v>
      </c>
      <c r="V480" s="21">
        <v>0.7702</v>
      </c>
      <c r="W480" s="21">
        <v>83</v>
      </c>
      <c r="X480" s="21">
        <v>79</v>
      </c>
      <c r="Y480" s="21">
        <v>200</v>
      </c>
      <c r="Z480" s="21">
        <v>0.5</v>
      </c>
      <c r="AA480" s="21">
        <v>0.4</v>
      </c>
      <c r="AB480" s="21">
        <v>181</v>
      </c>
      <c r="AC480" s="21">
        <v>177</v>
      </c>
      <c r="AD480" s="21">
        <v>174</v>
      </c>
      <c r="AE480" s="21">
        <v>17</v>
      </c>
      <c r="AF480" s="21">
        <v>0.1024</v>
      </c>
      <c r="AG480" s="21">
        <v>0</v>
      </c>
      <c r="AH480" s="21">
        <v>0</v>
      </c>
      <c r="AI480" s="21">
        <v>0</v>
      </c>
      <c r="AJ480" s="21">
        <v>0.625</v>
      </c>
      <c r="AK480" s="21">
        <v>0</v>
      </c>
      <c r="AL480" s="21">
        <v>0</v>
      </c>
      <c r="AM480" s="21">
        <v>0</v>
      </c>
      <c r="AN480" s="21">
        <v>0</v>
      </c>
      <c r="AP480" s="21">
        <v>36</v>
      </c>
      <c r="AQ480" s="21">
        <v>36</v>
      </c>
      <c r="AR480" s="21">
        <v>36</v>
      </c>
      <c r="AS480" s="21">
        <v>0</v>
      </c>
      <c r="AT480" s="21">
        <v>0</v>
      </c>
      <c r="AU480" s="21">
        <v>78</v>
      </c>
      <c r="AV480" s="21">
        <v>0</v>
      </c>
    </row>
    <row r="481" spans="1:48" x14ac:dyDescent="0.15">
      <c r="A481" s="20" t="s">
        <v>52</v>
      </c>
      <c r="B481" s="20" t="s">
        <v>95</v>
      </c>
      <c r="C481" s="21">
        <v>0</v>
      </c>
      <c r="D481" s="21">
        <v>153</v>
      </c>
      <c r="E481" s="21">
        <v>51786</v>
      </c>
      <c r="F481" s="21">
        <v>51939</v>
      </c>
      <c r="G481" s="21">
        <v>8163</v>
      </c>
      <c r="H481" s="21">
        <v>6716</v>
      </c>
      <c r="I481" s="21">
        <v>9412</v>
      </c>
      <c r="J481" s="21">
        <v>15103</v>
      </c>
      <c r="K481" s="21">
        <v>6192</v>
      </c>
      <c r="L481" s="21">
        <v>422</v>
      </c>
      <c r="M481" s="21">
        <v>0.77500000000000002</v>
      </c>
      <c r="N481" s="21">
        <v>0.76590000000000003</v>
      </c>
      <c r="O481" s="21">
        <v>0.1227</v>
      </c>
      <c r="P481" s="21">
        <v>1529</v>
      </c>
      <c r="Q481" s="21">
        <v>0.37540000000000001</v>
      </c>
      <c r="R481" s="21">
        <v>122</v>
      </c>
      <c r="S481" s="21">
        <v>34</v>
      </c>
      <c r="T481" s="21">
        <v>0.1358</v>
      </c>
      <c r="U481" s="21">
        <v>6.9400000000000003E-2</v>
      </c>
      <c r="V481" s="21">
        <v>0.59470000000000001</v>
      </c>
      <c r="W481" s="21">
        <v>53</v>
      </c>
      <c r="X481" s="21">
        <v>20</v>
      </c>
      <c r="Y481" s="21">
        <v>36</v>
      </c>
      <c r="Z481" s="21">
        <v>0.2</v>
      </c>
      <c r="AA481" s="21">
        <v>0.5</v>
      </c>
      <c r="AB481" s="21">
        <v>127</v>
      </c>
      <c r="AC481" s="21">
        <v>120</v>
      </c>
      <c r="AD481" s="21">
        <v>122</v>
      </c>
      <c r="AE481" s="21">
        <v>11</v>
      </c>
      <c r="AF481" s="21">
        <v>9.4E-2</v>
      </c>
      <c r="AG481" s="21">
        <v>0</v>
      </c>
      <c r="AH481" s="21">
        <v>0</v>
      </c>
      <c r="AI481" s="21">
        <v>0</v>
      </c>
      <c r="AJ481" s="21">
        <v>1</v>
      </c>
      <c r="AK481" s="21">
        <v>0</v>
      </c>
      <c r="AL481" s="21">
        <v>0</v>
      </c>
      <c r="AM481" s="21">
        <v>0</v>
      </c>
      <c r="AN481" s="21">
        <v>0</v>
      </c>
      <c r="AO481" s="21">
        <v>0.86409999999999998</v>
      </c>
      <c r="AP481" s="21">
        <v>3</v>
      </c>
      <c r="AQ481" s="21">
        <v>3</v>
      </c>
      <c r="AR481" s="21">
        <v>3</v>
      </c>
      <c r="AS481" s="21">
        <v>0</v>
      </c>
      <c r="AT481" s="21">
        <v>0</v>
      </c>
      <c r="AU481" s="21">
        <v>37</v>
      </c>
      <c r="AV481" s="21">
        <v>12</v>
      </c>
    </row>
    <row r="482" spans="1:48" x14ac:dyDescent="0.15">
      <c r="A482" s="20" t="s">
        <v>53</v>
      </c>
      <c r="B482" s="20" t="s">
        <v>95</v>
      </c>
      <c r="C482" s="21">
        <v>0</v>
      </c>
      <c r="D482" s="21">
        <v>0</v>
      </c>
      <c r="E482" s="21">
        <v>0</v>
      </c>
      <c r="F482" s="21">
        <v>0</v>
      </c>
      <c r="AB482" s="21">
        <v>0</v>
      </c>
      <c r="AC482" s="21">
        <v>0</v>
      </c>
      <c r="AD482" s="21">
        <v>0</v>
      </c>
      <c r="AE482" s="21">
        <v>0</v>
      </c>
      <c r="AF482" s="21">
        <v>0</v>
      </c>
      <c r="AG482" s="21">
        <v>0</v>
      </c>
      <c r="AH482" s="21">
        <v>0</v>
      </c>
      <c r="AI482" s="21">
        <v>0</v>
      </c>
      <c r="AJ482" s="21">
        <v>0</v>
      </c>
      <c r="AK482" s="21">
        <v>0</v>
      </c>
      <c r="AL482" s="21">
        <v>0</v>
      </c>
      <c r="AM482" s="21">
        <v>0</v>
      </c>
      <c r="AN482" s="21">
        <v>0</v>
      </c>
    </row>
    <row r="483" spans="1:48" x14ac:dyDescent="0.15">
      <c r="A483" s="20" t="s">
        <v>0</v>
      </c>
      <c r="B483" s="20" t="s">
        <v>95</v>
      </c>
      <c r="C483" s="21">
        <v>0</v>
      </c>
      <c r="D483" s="21">
        <v>1992</v>
      </c>
      <c r="E483" s="21">
        <v>306921</v>
      </c>
      <c r="F483" s="21">
        <v>308914</v>
      </c>
      <c r="G483" s="21">
        <v>17508</v>
      </c>
      <c r="H483" s="21">
        <v>84409</v>
      </c>
      <c r="I483" s="21">
        <v>66616</v>
      </c>
      <c r="J483" s="21">
        <v>78214</v>
      </c>
      <c r="K483" s="21">
        <v>34565</v>
      </c>
      <c r="L483" s="21">
        <v>3338</v>
      </c>
      <c r="M483" s="21">
        <v>0.72860000000000003</v>
      </c>
      <c r="N483" s="21">
        <v>0.7137</v>
      </c>
      <c r="O483" s="21">
        <v>0.224</v>
      </c>
      <c r="P483" s="21">
        <v>7101</v>
      </c>
      <c r="Q483" s="21">
        <v>0.49440000000000001</v>
      </c>
      <c r="R483" s="21">
        <v>93</v>
      </c>
      <c r="S483" s="21">
        <v>44</v>
      </c>
      <c r="T483" s="21">
        <v>0.1201</v>
      </c>
      <c r="U483" s="21">
        <v>6.9900000000000004E-2</v>
      </c>
      <c r="V483" s="21">
        <v>0.74580000000000002</v>
      </c>
      <c r="W483" s="21">
        <v>226</v>
      </c>
      <c r="X483" s="21">
        <v>196</v>
      </c>
      <c r="Y483" s="21">
        <v>439</v>
      </c>
      <c r="Z483" s="21">
        <v>0.2</v>
      </c>
      <c r="AA483" s="21">
        <v>0.4</v>
      </c>
      <c r="AB483" s="21">
        <v>812</v>
      </c>
      <c r="AC483" s="21">
        <v>798</v>
      </c>
      <c r="AD483" s="21">
        <v>830</v>
      </c>
      <c r="AE483" s="21">
        <v>65</v>
      </c>
      <c r="AF483" s="21">
        <v>7.6600000000000001E-2</v>
      </c>
      <c r="AG483" s="21">
        <v>0</v>
      </c>
      <c r="AH483" s="21">
        <v>0</v>
      </c>
      <c r="AI483" s="21">
        <v>0</v>
      </c>
      <c r="AJ483" s="21">
        <v>0.65590000000000004</v>
      </c>
      <c r="AK483" s="21">
        <v>0</v>
      </c>
      <c r="AL483" s="21">
        <v>0</v>
      </c>
      <c r="AM483" s="21">
        <v>0</v>
      </c>
      <c r="AN483" s="21">
        <v>0</v>
      </c>
      <c r="AO483" s="21">
        <v>0.82989999999999997</v>
      </c>
      <c r="AP483" s="21">
        <v>4295</v>
      </c>
      <c r="AQ483" s="21">
        <v>228</v>
      </c>
      <c r="AR483" s="21">
        <v>220</v>
      </c>
      <c r="AS483" s="21">
        <v>8</v>
      </c>
      <c r="AT483" s="21">
        <v>0</v>
      </c>
      <c r="AU483" s="21">
        <v>286</v>
      </c>
      <c r="AV483" s="21">
        <v>102</v>
      </c>
    </row>
    <row r="484" spans="1:48" x14ac:dyDescent="0.15">
      <c r="A484" s="20" t="s">
        <v>54</v>
      </c>
      <c r="B484" s="20" t="s">
        <v>95</v>
      </c>
      <c r="C484" s="21">
        <v>0</v>
      </c>
      <c r="D484" s="21">
        <v>0</v>
      </c>
      <c r="E484" s="21">
        <v>0</v>
      </c>
      <c r="F484" s="21">
        <v>0</v>
      </c>
      <c r="AB484" s="21">
        <v>0</v>
      </c>
      <c r="AC484" s="21">
        <v>0</v>
      </c>
      <c r="AD484" s="21">
        <v>0</v>
      </c>
      <c r="AE484" s="21">
        <v>0</v>
      </c>
      <c r="AF484" s="21">
        <v>0</v>
      </c>
      <c r="AG484" s="21">
        <v>0</v>
      </c>
      <c r="AH484" s="21">
        <v>0</v>
      </c>
      <c r="AI484" s="21">
        <v>0</v>
      </c>
      <c r="AJ484" s="21">
        <v>0</v>
      </c>
      <c r="AK484" s="21">
        <v>0</v>
      </c>
      <c r="AL484" s="21">
        <v>0</v>
      </c>
      <c r="AM484" s="21">
        <v>0</v>
      </c>
      <c r="AN484" s="21">
        <v>0</v>
      </c>
      <c r="AP484" s="21">
        <v>0</v>
      </c>
      <c r="AQ484" s="21">
        <v>0</v>
      </c>
      <c r="AR484" s="21">
        <v>0</v>
      </c>
      <c r="AV484" s="21">
        <v>0</v>
      </c>
    </row>
    <row r="485" spans="1:48" x14ac:dyDescent="0.15">
      <c r="A485" s="20" t="s">
        <v>55</v>
      </c>
      <c r="B485" s="20" t="s">
        <v>95</v>
      </c>
      <c r="C485" s="21">
        <v>0</v>
      </c>
      <c r="D485" s="21">
        <v>0</v>
      </c>
      <c r="E485" s="21">
        <v>0</v>
      </c>
      <c r="F485" s="21">
        <v>0</v>
      </c>
      <c r="AB485" s="21">
        <v>0</v>
      </c>
      <c r="AC485" s="21">
        <v>0</v>
      </c>
      <c r="AD485" s="21">
        <v>0</v>
      </c>
      <c r="AE485" s="21">
        <v>0</v>
      </c>
      <c r="AF485" s="21">
        <v>0</v>
      </c>
      <c r="AG485" s="21">
        <v>0</v>
      </c>
      <c r="AH485" s="21">
        <v>0</v>
      </c>
      <c r="AI485" s="21">
        <v>0</v>
      </c>
      <c r="AJ485" s="21">
        <v>0</v>
      </c>
      <c r="AK485" s="21">
        <v>0</v>
      </c>
      <c r="AL485" s="21">
        <v>0</v>
      </c>
      <c r="AM485" s="21">
        <v>0</v>
      </c>
      <c r="AN485" s="21">
        <v>0</v>
      </c>
    </row>
    <row r="486" spans="1:48" x14ac:dyDescent="0.15">
      <c r="A486" s="20" t="s">
        <v>56</v>
      </c>
      <c r="B486" s="20" t="s">
        <v>95</v>
      </c>
      <c r="C486" s="21">
        <v>0</v>
      </c>
      <c r="D486" s="21">
        <v>0</v>
      </c>
      <c r="E486" s="21">
        <v>7156</v>
      </c>
      <c r="F486" s="21">
        <v>7156</v>
      </c>
      <c r="H486" s="21">
        <v>2545</v>
      </c>
      <c r="J486" s="21">
        <v>2972</v>
      </c>
      <c r="K486" s="21">
        <v>1620</v>
      </c>
      <c r="L486" s="21">
        <v>62</v>
      </c>
      <c r="M486" s="21">
        <v>0.75</v>
      </c>
      <c r="N486" s="21">
        <v>0.75</v>
      </c>
      <c r="O486" s="21">
        <v>0</v>
      </c>
      <c r="P486" s="21">
        <v>259</v>
      </c>
      <c r="Q486" s="21">
        <v>0.41310000000000002</v>
      </c>
      <c r="R486" s="21">
        <v>118</v>
      </c>
      <c r="S486" s="21">
        <v>28</v>
      </c>
      <c r="T486" s="21">
        <v>8.4699999999999998E-2</v>
      </c>
      <c r="U486" s="21">
        <v>1.6199999999999999E-2</v>
      </c>
      <c r="AB486" s="21">
        <v>0</v>
      </c>
      <c r="AC486" s="21">
        <v>0</v>
      </c>
      <c r="AD486" s="21">
        <v>0</v>
      </c>
      <c r="AE486" s="21">
        <v>0</v>
      </c>
      <c r="AF486" s="21">
        <v>0</v>
      </c>
      <c r="AG486" s="21">
        <v>0</v>
      </c>
      <c r="AH486" s="21">
        <v>0</v>
      </c>
      <c r="AI486" s="21">
        <v>0</v>
      </c>
      <c r="AJ486" s="21">
        <v>0</v>
      </c>
      <c r="AK486" s="21">
        <v>0</v>
      </c>
      <c r="AL486" s="21">
        <v>0</v>
      </c>
      <c r="AM486" s="21">
        <v>0</v>
      </c>
      <c r="AN486" s="21">
        <v>0</v>
      </c>
      <c r="AP486" s="21">
        <v>3379</v>
      </c>
      <c r="AQ486" s="21">
        <v>2</v>
      </c>
      <c r="AR486" s="21">
        <v>2</v>
      </c>
      <c r="AS486" s="21">
        <v>0</v>
      </c>
      <c r="AU486" s="21">
        <v>0</v>
      </c>
      <c r="AV486" s="21">
        <v>0</v>
      </c>
    </row>
    <row r="487" spans="1:48" x14ac:dyDescent="0.15">
      <c r="A487" s="20" t="s">
        <v>57</v>
      </c>
      <c r="B487" s="20" t="s">
        <v>95</v>
      </c>
      <c r="C487" s="21">
        <v>0</v>
      </c>
      <c r="D487" s="21">
        <v>219</v>
      </c>
      <c r="E487" s="21">
        <v>78858</v>
      </c>
      <c r="F487" s="21">
        <v>79077</v>
      </c>
      <c r="G487" s="21">
        <v>3381</v>
      </c>
      <c r="H487" s="21">
        <v>14825</v>
      </c>
      <c r="I487" s="21">
        <v>25213</v>
      </c>
      <c r="J487" s="21">
        <v>18111</v>
      </c>
      <c r="K487" s="21">
        <v>3553</v>
      </c>
      <c r="L487" s="21">
        <v>377</v>
      </c>
      <c r="M487" s="21">
        <v>0.71940000000000004</v>
      </c>
      <c r="N487" s="21">
        <v>0.69130000000000003</v>
      </c>
      <c r="O487" s="21">
        <v>0.21429999999999999</v>
      </c>
      <c r="P487" s="21">
        <v>603</v>
      </c>
      <c r="Q487" s="21">
        <v>0.5323</v>
      </c>
      <c r="R487" s="21">
        <v>208</v>
      </c>
      <c r="S487" s="21">
        <v>131</v>
      </c>
      <c r="T487" s="21">
        <v>7.7700000000000005E-2</v>
      </c>
      <c r="U487" s="21">
        <v>7.3700000000000002E-2</v>
      </c>
      <c r="V487" s="21">
        <v>0.75739999999999996</v>
      </c>
      <c r="W487" s="21">
        <v>33</v>
      </c>
      <c r="X487" s="21">
        <v>38</v>
      </c>
      <c r="Y487" s="21">
        <v>81</v>
      </c>
      <c r="Z487" s="21">
        <v>0.2</v>
      </c>
      <c r="AA487" s="21">
        <v>0.5</v>
      </c>
      <c r="AB487" s="21">
        <v>222</v>
      </c>
      <c r="AC487" s="21">
        <v>219</v>
      </c>
      <c r="AD487" s="21">
        <v>231</v>
      </c>
      <c r="AE487" s="21">
        <v>23</v>
      </c>
      <c r="AF487" s="21">
        <v>9.5799999999999996E-2</v>
      </c>
      <c r="AG487" s="21">
        <v>0</v>
      </c>
      <c r="AH487" s="21">
        <v>0</v>
      </c>
      <c r="AI487" s="21">
        <v>0</v>
      </c>
      <c r="AJ487" s="21">
        <v>0.9</v>
      </c>
      <c r="AK487" s="21">
        <v>0</v>
      </c>
      <c r="AL487" s="21">
        <v>0</v>
      </c>
      <c r="AM487" s="21">
        <v>0</v>
      </c>
      <c r="AN487" s="21">
        <v>0</v>
      </c>
      <c r="AO487" s="21">
        <v>0.76280000000000003</v>
      </c>
      <c r="AP487" s="21">
        <v>737</v>
      </c>
      <c r="AQ487" s="21">
        <v>57</v>
      </c>
      <c r="AR487" s="21">
        <v>53</v>
      </c>
      <c r="AS487" s="21">
        <v>3</v>
      </c>
      <c r="AT487" s="21">
        <v>0</v>
      </c>
      <c r="AU487" s="21">
        <v>149</v>
      </c>
      <c r="AV487" s="21">
        <v>63</v>
      </c>
    </row>
    <row r="488" spans="1:48" x14ac:dyDescent="0.15">
      <c r="A488" s="20" t="s">
        <v>58</v>
      </c>
      <c r="B488" s="20" t="s">
        <v>95</v>
      </c>
      <c r="C488" s="21">
        <v>0</v>
      </c>
      <c r="D488" s="21">
        <v>0</v>
      </c>
      <c r="E488" s="21">
        <v>0</v>
      </c>
      <c r="F488" s="21">
        <v>0</v>
      </c>
      <c r="AB488" s="21">
        <v>0</v>
      </c>
      <c r="AC488" s="21">
        <v>0</v>
      </c>
      <c r="AD488" s="21">
        <v>0</v>
      </c>
      <c r="AE488" s="21">
        <v>0</v>
      </c>
      <c r="AF488" s="21">
        <v>0</v>
      </c>
      <c r="AG488" s="21">
        <v>0</v>
      </c>
      <c r="AH488" s="21">
        <v>0</v>
      </c>
      <c r="AI488" s="21">
        <v>0</v>
      </c>
      <c r="AJ488" s="21">
        <v>0</v>
      </c>
      <c r="AK488" s="21">
        <v>0</v>
      </c>
      <c r="AL488" s="21">
        <v>0</v>
      </c>
      <c r="AM488" s="21">
        <v>0</v>
      </c>
      <c r="AN488" s="21">
        <v>0</v>
      </c>
      <c r="AV488" s="21">
        <v>0</v>
      </c>
    </row>
    <row r="489" spans="1:48" x14ac:dyDescent="0.15">
      <c r="A489" s="20" t="s">
        <v>59</v>
      </c>
      <c r="B489" s="20" t="s">
        <v>95</v>
      </c>
      <c r="C489" s="21">
        <v>0</v>
      </c>
      <c r="D489" s="21">
        <v>0</v>
      </c>
      <c r="E489" s="21">
        <v>0</v>
      </c>
      <c r="F489" s="21">
        <v>0</v>
      </c>
      <c r="AB489" s="21">
        <v>0</v>
      </c>
      <c r="AC489" s="21">
        <v>0</v>
      </c>
      <c r="AD489" s="21">
        <v>0</v>
      </c>
      <c r="AE489" s="21">
        <v>0</v>
      </c>
      <c r="AF489" s="21">
        <v>0</v>
      </c>
      <c r="AG489" s="21">
        <v>0</v>
      </c>
      <c r="AH489" s="21">
        <v>0</v>
      </c>
      <c r="AI489" s="21">
        <v>0</v>
      </c>
      <c r="AJ489" s="21">
        <v>0</v>
      </c>
      <c r="AK489" s="21">
        <v>0</v>
      </c>
      <c r="AL489" s="21">
        <v>0</v>
      </c>
      <c r="AM489" s="21">
        <v>0</v>
      </c>
      <c r="AN489" s="21">
        <v>0</v>
      </c>
    </row>
    <row r="490" spans="1:48" x14ac:dyDescent="0.15">
      <c r="A490" s="20" t="s">
        <v>60</v>
      </c>
      <c r="B490" s="20" t="s">
        <v>95</v>
      </c>
      <c r="C490" s="21">
        <v>0</v>
      </c>
      <c r="D490" s="21">
        <v>1</v>
      </c>
      <c r="E490" s="21">
        <v>25695</v>
      </c>
      <c r="F490" s="21">
        <v>25696</v>
      </c>
      <c r="G490" s="21">
        <v>1079</v>
      </c>
      <c r="H490" s="21">
        <v>6243</v>
      </c>
      <c r="I490" s="21">
        <v>7883</v>
      </c>
      <c r="J490" s="21">
        <v>9377</v>
      </c>
      <c r="K490" s="21">
        <v>1115</v>
      </c>
      <c r="L490" s="21">
        <v>232</v>
      </c>
      <c r="M490" s="21">
        <v>0.6966</v>
      </c>
      <c r="N490" s="21">
        <v>0.69230000000000003</v>
      </c>
      <c r="O490" s="21">
        <v>1.7100000000000001E-2</v>
      </c>
      <c r="P490" s="21">
        <v>315</v>
      </c>
      <c r="Q490" s="21">
        <v>0.6825</v>
      </c>
      <c r="R490" s="21">
        <v>114</v>
      </c>
      <c r="S490" s="21">
        <v>82</v>
      </c>
      <c r="T490" s="21">
        <v>0.1323</v>
      </c>
      <c r="U490" s="21">
        <v>8.7400000000000005E-2</v>
      </c>
      <c r="V490" s="21">
        <v>1</v>
      </c>
      <c r="W490" s="21">
        <v>0</v>
      </c>
      <c r="X490" s="21">
        <v>0</v>
      </c>
      <c r="Y490" s="21">
        <v>1</v>
      </c>
      <c r="AA490" s="21">
        <v>-0.1</v>
      </c>
      <c r="AB490" s="21">
        <v>0</v>
      </c>
      <c r="AC490" s="21">
        <v>0</v>
      </c>
      <c r="AD490" s="21">
        <v>0</v>
      </c>
      <c r="AE490" s="21">
        <v>0</v>
      </c>
      <c r="AF490" s="21">
        <v>0</v>
      </c>
      <c r="AG490" s="21">
        <v>0</v>
      </c>
      <c r="AH490" s="21">
        <v>0</v>
      </c>
      <c r="AI490" s="21">
        <v>0</v>
      </c>
      <c r="AJ490" s="21">
        <v>0</v>
      </c>
      <c r="AK490" s="21">
        <v>0</v>
      </c>
      <c r="AL490" s="21">
        <v>0</v>
      </c>
      <c r="AM490" s="21">
        <v>0</v>
      </c>
      <c r="AN490" s="21">
        <v>0</v>
      </c>
      <c r="AP490" s="21">
        <v>1</v>
      </c>
      <c r="AQ490" s="21">
        <v>1</v>
      </c>
      <c r="AS490" s="21">
        <v>1</v>
      </c>
      <c r="AU490" s="21">
        <v>1</v>
      </c>
      <c r="AV490" s="21">
        <v>0</v>
      </c>
    </row>
    <row r="491" spans="1:48" x14ac:dyDescent="0.15">
      <c r="A491" s="20" t="s">
        <v>61</v>
      </c>
      <c r="B491" s="20" t="s">
        <v>95</v>
      </c>
      <c r="C491" s="21">
        <v>0</v>
      </c>
      <c r="D491" s="21">
        <v>275</v>
      </c>
      <c r="E491" s="21">
        <v>20991</v>
      </c>
      <c r="F491" s="21">
        <v>21265</v>
      </c>
      <c r="G491" s="21">
        <v>1391</v>
      </c>
      <c r="H491" s="21">
        <v>4392</v>
      </c>
      <c r="I491" s="21">
        <v>5441</v>
      </c>
      <c r="J491" s="21">
        <v>9118</v>
      </c>
      <c r="K491" s="21">
        <v>485</v>
      </c>
      <c r="L491" s="21">
        <v>159</v>
      </c>
      <c r="M491" s="21">
        <v>0.78400000000000003</v>
      </c>
      <c r="N491" s="21">
        <v>0.77159999999999995</v>
      </c>
      <c r="O491" s="21">
        <v>0.35799999999999998</v>
      </c>
      <c r="P491" s="21">
        <v>176</v>
      </c>
      <c r="Q491" s="21">
        <v>0.84660000000000002</v>
      </c>
      <c r="R491" s="21">
        <v>136</v>
      </c>
      <c r="S491" s="21">
        <v>121</v>
      </c>
      <c r="T491" s="21">
        <v>7.5800000000000006E-2</v>
      </c>
      <c r="U491" s="21">
        <v>7.46E-2</v>
      </c>
      <c r="V491" s="21">
        <v>0.97929999999999995</v>
      </c>
      <c r="W491" s="21">
        <v>-2</v>
      </c>
      <c r="X491" s="21">
        <v>-1</v>
      </c>
      <c r="Y491" s="21">
        <v>-1</v>
      </c>
      <c r="AA491" s="21">
        <v>0.9</v>
      </c>
      <c r="AB491" s="21">
        <v>0</v>
      </c>
      <c r="AC491" s="21">
        <v>0</v>
      </c>
      <c r="AD491" s="21">
        <v>0</v>
      </c>
      <c r="AE491" s="21">
        <v>0</v>
      </c>
      <c r="AF491" s="21">
        <v>0</v>
      </c>
      <c r="AG491" s="21">
        <v>0</v>
      </c>
      <c r="AH491" s="21">
        <v>0</v>
      </c>
      <c r="AI491" s="21">
        <v>0</v>
      </c>
      <c r="AJ491" s="21">
        <v>0</v>
      </c>
      <c r="AK491" s="21">
        <v>0</v>
      </c>
      <c r="AL491" s="21">
        <v>0</v>
      </c>
      <c r="AM491" s="21">
        <v>0</v>
      </c>
      <c r="AN491" s="21">
        <v>0</v>
      </c>
      <c r="AP491" s="21">
        <v>0</v>
      </c>
      <c r="AQ491" s="21">
        <v>0</v>
      </c>
      <c r="AR491" s="21">
        <v>0</v>
      </c>
      <c r="AS491" s="21">
        <v>0</v>
      </c>
      <c r="AU491" s="21">
        <v>2</v>
      </c>
      <c r="AV491" s="21">
        <v>0</v>
      </c>
    </row>
    <row r="492" spans="1:48" x14ac:dyDescent="0.15">
      <c r="A492" s="20" t="s">
        <v>48</v>
      </c>
      <c r="B492" s="20" t="s">
        <v>96</v>
      </c>
      <c r="C492" s="21">
        <v>0</v>
      </c>
      <c r="D492" s="21">
        <v>8</v>
      </c>
      <c r="E492" s="21">
        <v>27224</v>
      </c>
      <c r="F492" s="21">
        <v>27232</v>
      </c>
      <c r="H492" s="21">
        <v>11210</v>
      </c>
      <c r="I492" s="21">
        <v>4197</v>
      </c>
      <c r="J492" s="21">
        <v>4523</v>
      </c>
      <c r="K492" s="21">
        <v>4003</v>
      </c>
      <c r="L492" s="21">
        <v>339</v>
      </c>
      <c r="M492" s="21">
        <v>0.7288</v>
      </c>
      <c r="N492" s="21">
        <v>0.72599999999999998</v>
      </c>
      <c r="O492" s="21">
        <v>8.7599999999999997E-2</v>
      </c>
      <c r="P492" s="21">
        <v>718</v>
      </c>
      <c r="Q492" s="21">
        <v>0.48749999999999999</v>
      </c>
      <c r="R492" s="21">
        <v>80</v>
      </c>
      <c r="S492" s="21">
        <v>38</v>
      </c>
      <c r="T492" s="21">
        <v>0.10639999999999999</v>
      </c>
      <c r="U492" s="21">
        <v>5.3699999999999998E-2</v>
      </c>
      <c r="V492" s="21">
        <v>1</v>
      </c>
      <c r="W492" s="21">
        <v>23</v>
      </c>
      <c r="X492" s="21">
        <v>22</v>
      </c>
      <c r="Y492" s="21">
        <v>46</v>
      </c>
      <c r="Z492" s="21">
        <v>0.2</v>
      </c>
      <c r="AA492" s="21">
        <v>0.5</v>
      </c>
      <c r="AB492" s="21">
        <v>102</v>
      </c>
      <c r="AC492" s="21">
        <v>102</v>
      </c>
      <c r="AD492" s="21">
        <v>102</v>
      </c>
      <c r="AE492" s="21">
        <v>4</v>
      </c>
      <c r="AF492" s="21">
        <v>3.9600000000000003E-2</v>
      </c>
      <c r="AG492" s="21">
        <v>0</v>
      </c>
      <c r="AH492" s="21">
        <v>0</v>
      </c>
      <c r="AI492" s="21">
        <v>0</v>
      </c>
      <c r="AJ492" s="21">
        <v>0.6774</v>
      </c>
      <c r="AK492" s="21">
        <v>0</v>
      </c>
      <c r="AL492" s="21">
        <v>0</v>
      </c>
      <c r="AM492" s="21">
        <v>0</v>
      </c>
      <c r="AN492" s="21">
        <v>0</v>
      </c>
      <c r="AO492" s="21">
        <v>0.83589999999999998</v>
      </c>
      <c r="AP492" s="21">
        <v>29</v>
      </c>
      <c r="AQ492" s="21">
        <v>25</v>
      </c>
      <c r="AR492" s="21">
        <v>24</v>
      </c>
      <c r="AS492" s="21">
        <v>1</v>
      </c>
      <c r="AU492" s="21">
        <v>10</v>
      </c>
      <c r="AV492" s="21">
        <v>5</v>
      </c>
    </row>
    <row r="493" spans="1:48" x14ac:dyDescent="0.15">
      <c r="A493" s="20" t="s">
        <v>50</v>
      </c>
      <c r="B493" s="20" t="s">
        <v>96</v>
      </c>
      <c r="C493" s="21">
        <v>0</v>
      </c>
      <c r="D493" s="21">
        <v>17</v>
      </c>
      <c r="E493" s="21">
        <v>31188</v>
      </c>
      <c r="F493" s="21">
        <v>31205</v>
      </c>
      <c r="G493" s="21">
        <v>1612</v>
      </c>
      <c r="H493" s="21">
        <v>20161</v>
      </c>
      <c r="I493" s="21">
        <v>0</v>
      </c>
      <c r="J493" s="21">
        <v>3918</v>
      </c>
      <c r="K493" s="21">
        <v>3695</v>
      </c>
      <c r="L493" s="21">
        <v>324</v>
      </c>
      <c r="M493" s="21">
        <v>0.7722</v>
      </c>
      <c r="N493" s="21">
        <v>0.7722</v>
      </c>
      <c r="O493" s="21">
        <v>4.4400000000000002E-2</v>
      </c>
      <c r="P493" s="21">
        <v>736</v>
      </c>
      <c r="Q493" s="21">
        <v>0.50409999999999999</v>
      </c>
      <c r="R493" s="21">
        <v>96</v>
      </c>
      <c r="S493" s="21">
        <v>42</v>
      </c>
      <c r="T493" s="21">
        <v>6.3600000000000004E-2</v>
      </c>
      <c r="U493" s="21">
        <v>6.0900000000000003E-2</v>
      </c>
      <c r="V493" s="21">
        <v>0.58520000000000005</v>
      </c>
      <c r="W493" s="21">
        <v>51</v>
      </c>
      <c r="X493" s="21">
        <v>47</v>
      </c>
      <c r="Y493" s="21">
        <v>105</v>
      </c>
      <c r="Z493" s="21">
        <v>0.3</v>
      </c>
      <c r="AA493" s="21">
        <v>0.5</v>
      </c>
      <c r="AB493" s="21">
        <v>160</v>
      </c>
      <c r="AC493" s="21">
        <v>160</v>
      </c>
      <c r="AD493" s="21">
        <v>170</v>
      </c>
      <c r="AE493" s="21">
        <v>9</v>
      </c>
      <c r="AF493" s="21">
        <v>4.9700000000000001E-2</v>
      </c>
      <c r="AG493" s="21">
        <v>0</v>
      </c>
      <c r="AH493" s="21">
        <v>0</v>
      </c>
      <c r="AI493" s="21">
        <v>0</v>
      </c>
      <c r="AJ493" s="21">
        <v>0.6</v>
      </c>
      <c r="AK493" s="21">
        <v>0</v>
      </c>
      <c r="AL493" s="21">
        <v>0</v>
      </c>
      <c r="AM493" s="21">
        <v>0</v>
      </c>
      <c r="AN493" s="21">
        <v>0</v>
      </c>
      <c r="AO493" s="21">
        <v>0.14560000000000001</v>
      </c>
      <c r="AP493" s="21">
        <v>76</v>
      </c>
      <c r="AQ493" s="21">
        <v>76</v>
      </c>
      <c r="AR493" s="21">
        <v>71</v>
      </c>
      <c r="AS493" s="21">
        <v>0</v>
      </c>
      <c r="AT493" s="21">
        <v>4</v>
      </c>
      <c r="AU493" s="21">
        <v>15</v>
      </c>
      <c r="AV493" s="21">
        <v>4</v>
      </c>
    </row>
    <row r="494" spans="1:48" x14ac:dyDescent="0.15">
      <c r="A494" s="20" t="s">
        <v>51</v>
      </c>
      <c r="B494" s="20" t="s">
        <v>96</v>
      </c>
      <c r="C494" s="21">
        <v>0</v>
      </c>
      <c r="D494" s="21">
        <v>238</v>
      </c>
      <c r="E494" s="21">
        <v>69073</v>
      </c>
      <c r="F494" s="21">
        <v>69311</v>
      </c>
      <c r="G494" s="21">
        <v>894</v>
      </c>
      <c r="H494" s="21">
        <v>18046</v>
      </c>
      <c r="I494" s="21">
        <v>15936</v>
      </c>
      <c r="J494" s="21">
        <v>14878</v>
      </c>
      <c r="K494" s="21">
        <v>18983</v>
      </c>
      <c r="L494" s="21">
        <v>1427</v>
      </c>
      <c r="M494" s="21">
        <v>0.75149999999999995</v>
      </c>
      <c r="N494" s="21">
        <v>0.74809999999999999</v>
      </c>
      <c r="O494" s="21">
        <v>9.9900000000000003E-2</v>
      </c>
      <c r="P494" s="21">
        <v>2840</v>
      </c>
      <c r="Q494" s="21">
        <v>0.5665</v>
      </c>
      <c r="R494" s="21">
        <v>49</v>
      </c>
      <c r="S494" s="21">
        <v>24</v>
      </c>
      <c r="T494" s="21">
        <v>0.1043</v>
      </c>
      <c r="U494" s="21">
        <v>6.93E-2</v>
      </c>
      <c r="V494" s="21">
        <v>0.79859999999999998</v>
      </c>
      <c r="W494" s="21">
        <v>96</v>
      </c>
      <c r="X494" s="21">
        <v>70</v>
      </c>
      <c r="Y494" s="21">
        <v>177</v>
      </c>
      <c r="Z494" s="21">
        <v>0.4</v>
      </c>
      <c r="AA494" s="21">
        <v>0.4</v>
      </c>
      <c r="AB494" s="21">
        <v>204</v>
      </c>
      <c r="AC494" s="21">
        <v>204</v>
      </c>
      <c r="AD494" s="21">
        <v>192</v>
      </c>
      <c r="AE494" s="21">
        <v>24</v>
      </c>
      <c r="AF494" s="21">
        <v>0.1326</v>
      </c>
      <c r="AG494" s="21">
        <v>0</v>
      </c>
      <c r="AH494" s="21">
        <v>0</v>
      </c>
      <c r="AI494" s="21">
        <v>0</v>
      </c>
      <c r="AJ494" s="21">
        <v>0.92859999999999998</v>
      </c>
      <c r="AK494" s="21">
        <v>0</v>
      </c>
      <c r="AL494" s="21">
        <v>0</v>
      </c>
      <c r="AM494" s="21">
        <v>0</v>
      </c>
      <c r="AN494" s="21">
        <v>0</v>
      </c>
      <c r="AP494" s="21">
        <v>65</v>
      </c>
      <c r="AQ494" s="21">
        <v>65</v>
      </c>
      <c r="AR494" s="21">
        <v>51</v>
      </c>
      <c r="AS494" s="21">
        <v>15</v>
      </c>
      <c r="AT494" s="21">
        <v>0</v>
      </c>
      <c r="AU494" s="21">
        <v>45</v>
      </c>
      <c r="AV494" s="21">
        <v>0</v>
      </c>
    </row>
    <row r="495" spans="1:48" x14ac:dyDescent="0.15">
      <c r="A495" s="20" t="s">
        <v>52</v>
      </c>
      <c r="B495" s="20" t="s">
        <v>96</v>
      </c>
      <c r="C495" s="21">
        <v>0</v>
      </c>
      <c r="D495" s="21">
        <v>62</v>
      </c>
      <c r="E495" s="21">
        <v>46336</v>
      </c>
      <c r="F495" s="21">
        <v>46397</v>
      </c>
      <c r="G495" s="21">
        <v>5116</v>
      </c>
      <c r="H495" s="21">
        <v>2826</v>
      </c>
      <c r="I495" s="21">
        <v>15669</v>
      </c>
      <c r="J495" s="21">
        <v>9914</v>
      </c>
      <c r="K495" s="21">
        <v>7516</v>
      </c>
      <c r="L495" s="21">
        <v>435</v>
      </c>
      <c r="M495" s="21">
        <v>0.80269999999999997</v>
      </c>
      <c r="N495" s="21">
        <v>0.79820000000000002</v>
      </c>
      <c r="O495" s="21">
        <v>4.7100000000000003E-2</v>
      </c>
      <c r="P495" s="21">
        <v>1529</v>
      </c>
      <c r="Q495" s="21">
        <v>0.46039999999999998</v>
      </c>
      <c r="R495" s="21">
        <v>108</v>
      </c>
      <c r="S495" s="21">
        <v>30</v>
      </c>
      <c r="T495" s="21">
        <v>9.35E-2</v>
      </c>
      <c r="U495" s="21">
        <v>7.3700000000000002E-2</v>
      </c>
      <c r="V495" s="21">
        <v>0.80769999999999997</v>
      </c>
      <c r="W495" s="21">
        <v>28</v>
      </c>
      <c r="X495" s="21">
        <v>28</v>
      </c>
      <c r="Y495" s="21">
        <v>58</v>
      </c>
      <c r="Z495" s="21">
        <v>0.2</v>
      </c>
      <c r="AA495" s="21">
        <v>0.5</v>
      </c>
      <c r="AB495" s="21">
        <v>133</v>
      </c>
      <c r="AC495" s="21">
        <v>133</v>
      </c>
      <c r="AD495" s="21">
        <v>130</v>
      </c>
      <c r="AE495" s="21">
        <v>6</v>
      </c>
      <c r="AF495" s="21">
        <v>4.7199999999999999E-2</v>
      </c>
      <c r="AG495" s="21">
        <v>0</v>
      </c>
      <c r="AH495" s="21">
        <v>0</v>
      </c>
      <c r="AI495" s="21">
        <v>0</v>
      </c>
      <c r="AJ495" s="21">
        <v>0.9375</v>
      </c>
      <c r="AK495" s="21">
        <v>0</v>
      </c>
      <c r="AL495" s="21">
        <v>0</v>
      </c>
      <c r="AM495" s="21">
        <v>0</v>
      </c>
      <c r="AN495" s="21">
        <v>0</v>
      </c>
      <c r="AO495" s="21">
        <v>0.95820000000000005</v>
      </c>
      <c r="AP495" s="21">
        <v>10</v>
      </c>
      <c r="AQ495" s="21">
        <v>10</v>
      </c>
      <c r="AR495" s="21">
        <v>8</v>
      </c>
      <c r="AS495" s="21">
        <v>2</v>
      </c>
      <c r="AT495" s="21">
        <v>0</v>
      </c>
      <c r="AU495" s="21">
        <v>44</v>
      </c>
      <c r="AV495" s="21">
        <v>10</v>
      </c>
    </row>
    <row r="496" spans="1:48" x14ac:dyDescent="0.15">
      <c r="A496" s="20" t="s">
        <v>53</v>
      </c>
      <c r="B496" s="20" t="s">
        <v>96</v>
      </c>
      <c r="C496" s="21">
        <v>0</v>
      </c>
      <c r="D496" s="21">
        <v>0</v>
      </c>
      <c r="E496" s="21">
        <v>0</v>
      </c>
      <c r="F496" s="21">
        <v>0</v>
      </c>
      <c r="AB496" s="21">
        <v>0</v>
      </c>
      <c r="AC496" s="21">
        <v>0</v>
      </c>
      <c r="AD496" s="21">
        <v>0</v>
      </c>
      <c r="AE496" s="21">
        <v>0</v>
      </c>
      <c r="AF496" s="21">
        <v>0</v>
      </c>
      <c r="AG496" s="21">
        <v>0</v>
      </c>
      <c r="AH496" s="21">
        <v>0</v>
      </c>
      <c r="AI496" s="21">
        <v>0</v>
      </c>
      <c r="AJ496" s="21">
        <v>0</v>
      </c>
      <c r="AK496" s="21">
        <v>0</v>
      </c>
      <c r="AL496" s="21">
        <v>0</v>
      </c>
      <c r="AM496" s="21">
        <v>0</v>
      </c>
      <c r="AN496" s="21">
        <v>0</v>
      </c>
    </row>
    <row r="497" spans="1:48" x14ac:dyDescent="0.15">
      <c r="A497" s="20" t="s">
        <v>0</v>
      </c>
      <c r="B497" s="20" t="s">
        <v>96</v>
      </c>
      <c r="C497" s="21">
        <v>0</v>
      </c>
      <c r="D497" s="21">
        <v>740</v>
      </c>
      <c r="E497" s="21">
        <v>272000</v>
      </c>
      <c r="F497" s="21">
        <v>272740</v>
      </c>
      <c r="G497" s="21">
        <v>12871</v>
      </c>
      <c r="H497" s="21">
        <v>71350</v>
      </c>
      <c r="I497" s="21">
        <v>54919</v>
      </c>
      <c r="J497" s="21">
        <v>64630</v>
      </c>
      <c r="K497" s="21">
        <v>48524</v>
      </c>
      <c r="L497" s="21">
        <v>3369</v>
      </c>
      <c r="M497" s="21">
        <v>0.74939999999999996</v>
      </c>
      <c r="N497" s="21">
        <v>0.746</v>
      </c>
      <c r="O497" s="21">
        <v>8.48E-2</v>
      </c>
      <c r="P497" s="21">
        <v>7150</v>
      </c>
      <c r="Q497" s="21">
        <v>0.53620000000000001</v>
      </c>
      <c r="R497" s="21">
        <v>81</v>
      </c>
      <c r="S497" s="21">
        <v>38</v>
      </c>
      <c r="T497" s="21">
        <v>9.4799999999999995E-2</v>
      </c>
      <c r="U497" s="21">
        <v>7.1599999999999997E-2</v>
      </c>
      <c r="V497" s="21">
        <v>0.79349999999999998</v>
      </c>
      <c r="W497" s="21">
        <v>264</v>
      </c>
      <c r="X497" s="21">
        <v>227</v>
      </c>
      <c r="Y497" s="21">
        <v>492</v>
      </c>
      <c r="Z497" s="21">
        <v>0.3</v>
      </c>
      <c r="AA497" s="21">
        <v>0.5</v>
      </c>
      <c r="AB497" s="21">
        <v>847</v>
      </c>
      <c r="AC497" s="21">
        <v>830</v>
      </c>
      <c r="AD497" s="21">
        <v>830</v>
      </c>
      <c r="AE497" s="21">
        <v>75</v>
      </c>
      <c r="AF497" s="21">
        <v>9.2399999999999996E-2</v>
      </c>
      <c r="AG497" s="21">
        <v>0</v>
      </c>
      <c r="AH497" s="21">
        <v>0</v>
      </c>
      <c r="AI497" s="21">
        <v>0</v>
      </c>
      <c r="AJ497" s="21">
        <v>0.8105</v>
      </c>
      <c r="AK497" s="21">
        <v>0</v>
      </c>
      <c r="AL497" s="21">
        <v>0</v>
      </c>
      <c r="AM497" s="21">
        <v>0</v>
      </c>
      <c r="AN497" s="21">
        <v>0</v>
      </c>
      <c r="AO497" s="21">
        <v>0.70979999999999999</v>
      </c>
      <c r="AP497" s="21">
        <v>1731</v>
      </c>
      <c r="AQ497" s="21">
        <v>275</v>
      </c>
      <c r="AR497" s="21">
        <v>249</v>
      </c>
      <c r="AS497" s="21">
        <v>21</v>
      </c>
      <c r="AT497" s="21">
        <v>4</v>
      </c>
      <c r="AU497" s="21">
        <v>435</v>
      </c>
      <c r="AV497" s="21">
        <v>87</v>
      </c>
    </row>
    <row r="498" spans="1:48" x14ac:dyDescent="0.15">
      <c r="A498" s="20" t="s">
        <v>54</v>
      </c>
      <c r="B498" s="20" t="s">
        <v>96</v>
      </c>
      <c r="C498" s="21">
        <v>0</v>
      </c>
      <c r="D498" s="21">
        <v>0</v>
      </c>
      <c r="E498" s="21">
        <v>0</v>
      </c>
      <c r="F498" s="21">
        <v>0</v>
      </c>
      <c r="L498" s="21">
        <v>0</v>
      </c>
      <c r="P498" s="21">
        <v>0</v>
      </c>
      <c r="AB498" s="21">
        <v>0</v>
      </c>
      <c r="AC498" s="21">
        <v>0</v>
      </c>
      <c r="AD498" s="21">
        <v>0</v>
      </c>
      <c r="AE498" s="21">
        <v>0</v>
      </c>
      <c r="AF498" s="21">
        <v>0</v>
      </c>
      <c r="AG498" s="21">
        <v>0</v>
      </c>
      <c r="AH498" s="21">
        <v>0</v>
      </c>
      <c r="AI498" s="21">
        <v>0</v>
      </c>
      <c r="AJ498" s="21">
        <v>0</v>
      </c>
      <c r="AK498" s="21">
        <v>0</v>
      </c>
      <c r="AL498" s="21">
        <v>0</v>
      </c>
      <c r="AM498" s="21">
        <v>0</v>
      </c>
      <c r="AN498" s="21">
        <v>0</v>
      </c>
      <c r="AP498" s="21">
        <v>0</v>
      </c>
      <c r="AQ498" s="21">
        <v>0</v>
      </c>
      <c r="AR498" s="21">
        <v>0</v>
      </c>
      <c r="AV498" s="21">
        <v>0</v>
      </c>
    </row>
    <row r="499" spans="1:48" x14ac:dyDescent="0.15">
      <c r="A499" s="20" t="s">
        <v>55</v>
      </c>
      <c r="B499" s="20" t="s">
        <v>96</v>
      </c>
      <c r="C499" s="21">
        <v>0</v>
      </c>
      <c r="D499" s="21">
        <v>0</v>
      </c>
      <c r="E499" s="21">
        <v>0</v>
      </c>
      <c r="F499" s="21">
        <v>0</v>
      </c>
      <c r="AB499" s="21">
        <v>0</v>
      </c>
      <c r="AC499" s="21">
        <v>0</v>
      </c>
      <c r="AD499" s="21">
        <v>0</v>
      </c>
      <c r="AE499" s="21">
        <v>0</v>
      </c>
      <c r="AF499" s="21">
        <v>0</v>
      </c>
      <c r="AG499" s="21">
        <v>0</v>
      </c>
      <c r="AH499" s="21">
        <v>0</v>
      </c>
      <c r="AI499" s="21">
        <v>0</v>
      </c>
      <c r="AJ499" s="21">
        <v>0</v>
      </c>
      <c r="AK499" s="21">
        <v>0</v>
      </c>
      <c r="AL499" s="21">
        <v>0</v>
      </c>
      <c r="AM499" s="21">
        <v>0</v>
      </c>
      <c r="AN499" s="21">
        <v>0</v>
      </c>
    </row>
    <row r="500" spans="1:48" x14ac:dyDescent="0.15">
      <c r="A500" s="20" t="s">
        <v>56</v>
      </c>
      <c r="B500" s="20" t="s">
        <v>96</v>
      </c>
      <c r="C500" s="21">
        <v>0</v>
      </c>
      <c r="D500" s="21">
        <v>0</v>
      </c>
      <c r="E500" s="21">
        <v>9836</v>
      </c>
      <c r="F500" s="21">
        <v>9836</v>
      </c>
      <c r="H500" s="21">
        <v>524</v>
      </c>
      <c r="J500" s="21">
        <v>2390</v>
      </c>
      <c r="K500" s="21">
        <v>6853</v>
      </c>
      <c r="L500" s="21">
        <v>66</v>
      </c>
      <c r="M500" s="21">
        <v>0.82089999999999996</v>
      </c>
      <c r="N500" s="21">
        <v>0.82089999999999996</v>
      </c>
      <c r="O500" s="21">
        <v>0</v>
      </c>
      <c r="P500" s="21">
        <v>262</v>
      </c>
      <c r="Q500" s="21">
        <v>0.46949999999999997</v>
      </c>
      <c r="R500" s="21">
        <v>154</v>
      </c>
      <c r="S500" s="21">
        <v>38</v>
      </c>
      <c r="T500" s="21">
        <v>5.6300000000000003E-2</v>
      </c>
      <c r="U500" s="21">
        <v>2.1299999999999999E-2</v>
      </c>
      <c r="AB500" s="21">
        <v>0</v>
      </c>
      <c r="AC500" s="21">
        <v>0</v>
      </c>
      <c r="AD500" s="21">
        <v>0</v>
      </c>
      <c r="AE500" s="21">
        <v>0</v>
      </c>
      <c r="AF500" s="21">
        <v>0</v>
      </c>
      <c r="AG500" s="21">
        <v>0</v>
      </c>
      <c r="AH500" s="21">
        <v>0</v>
      </c>
      <c r="AI500" s="21">
        <v>0</v>
      </c>
      <c r="AJ500" s="21">
        <v>0</v>
      </c>
      <c r="AK500" s="21">
        <v>0</v>
      </c>
      <c r="AL500" s="21">
        <v>0</v>
      </c>
      <c r="AM500" s="21">
        <v>0</v>
      </c>
      <c r="AN500" s="21">
        <v>0</v>
      </c>
      <c r="AP500" s="21">
        <v>1455</v>
      </c>
      <c r="AQ500" s="21">
        <v>3</v>
      </c>
      <c r="AR500" s="21">
        <v>2</v>
      </c>
      <c r="AS500" s="21">
        <v>1</v>
      </c>
      <c r="AU500" s="21">
        <v>0</v>
      </c>
      <c r="AV500" s="21">
        <v>0</v>
      </c>
    </row>
    <row r="501" spans="1:48" x14ac:dyDescent="0.15">
      <c r="A501" s="20" t="s">
        <v>57</v>
      </c>
      <c r="B501" s="20" t="s">
        <v>96</v>
      </c>
      <c r="C501" s="21">
        <v>0</v>
      </c>
      <c r="D501" s="21">
        <v>358</v>
      </c>
      <c r="E501" s="21">
        <v>51882</v>
      </c>
      <c r="F501" s="21">
        <v>52240</v>
      </c>
      <c r="G501" s="21">
        <v>3191</v>
      </c>
      <c r="H501" s="21">
        <v>11422</v>
      </c>
      <c r="I501" s="21">
        <v>7411</v>
      </c>
      <c r="J501" s="21">
        <v>16792</v>
      </c>
      <c r="K501" s="21">
        <v>5154</v>
      </c>
      <c r="L501" s="21">
        <v>379</v>
      </c>
      <c r="M501" s="21">
        <v>0.70479999999999998</v>
      </c>
      <c r="N501" s="21">
        <v>0.69469999999999998</v>
      </c>
      <c r="O501" s="21">
        <v>0.1399</v>
      </c>
      <c r="P501" s="21">
        <v>573</v>
      </c>
      <c r="Q501" s="21">
        <v>0.55149999999999999</v>
      </c>
      <c r="R501" s="21">
        <v>138</v>
      </c>
      <c r="S501" s="21">
        <v>91</v>
      </c>
      <c r="T501" s="21">
        <v>8.2199999999999995E-2</v>
      </c>
      <c r="U501" s="21">
        <v>7.7399999999999997E-2</v>
      </c>
      <c r="V501" s="21">
        <v>0.78669999999999995</v>
      </c>
      <c r="W501" s="21">
        <v>65</v>
      </c>
      <c r="X501" s="21">
        <v>59</v>
      </c>
      <c r="Y501" s="21">
        <v>106</v>
      </c>
      <c r="Z501" s="21">
        <v>0.3</v>
      </c>
      <c r="AA501" s="21">
        <v>0.6</v>
      </c>
      <c r="AB501" s="21">
        <v>248</v>
      </c>
      <c r="AC501" s="21">
        <v>231</v>
      </c>
      <c r="AD501" s="21">
        <v>235</v>
      </c>
      <c r="AE501" s="21">
        <v>32</v>
      </c>
      <c r="AF501" s="21">
        <v>0.14410000000000001</v>
      </c>
      <c r="AG501" s="21">
        <v>0</v>
      </c>
      <c r="AH501" s="21">
        <v>0</v>
      </c>
      <c r="AI501" s="21">
        <v>0</v>
      </c>
      <c r="AJ501" s="21">
        <v>0.91669999999999996</v>
      </c>
      <c r="AK501" s="21">
        <v>0</v>
      </c>
      <c r="AL501" s="21">
        <v>0</v>
      </c>
      <c r="AM501" s="21">
        <v>0</v>
      </c>
      <c r="AN501" s="21">
        <v>0</v>
      </c>
      <c r="AO501" s="21">
        <v>0.91539999999999999</v>
      </c>
      <c r="AP501" s="21">
        <v>93</v>
      </c>
      <c r="AQ501" s="21">
        <v>93</v>
      </c>
      <c r="AR501" s="21">
        <v>93</v>
      </c>
      <c r="AS501" s="21">
        <v>0</v>
      </c>
      <c r="AT501" s="21">
        <v>0</v>
      </c>
      <c r="AU501" s="21">
        <v>307</v>
      </c>
      <c r="AV501" s="21">
        <v>68</v>
      </c>
    </row>
    <row r="502" spans="1:48" x14ac:dyDescent="0.15">
      <c r="A502" s="20" t="s">
        <v>58</v>
      </c>
      <c r="B502" s="20" t="s">
        <v>96</v>
      </c>
      <c r="C502" s="21">
        <v>0</v>
      </c>
      <c r="D502" s="21">
        <v>0</v>
      </c>
      <c r="E502" s="21">
        <v>0</v>
      </c>
      <c r="F502" s="21">
        <v>0</v>
      </c>
      <c r="AB502" s="21">
        <v>0</v>
      </c>
      <c r="AC502" s="21">
        <v>0</v>
      </c>
      <c r="AD502" s="21">
        <v>0</v>
      </c>
      <c r="AE502" s="21">
        <v>0</v>
      </c>
      <c r="AF502" s="21">
        <v>0</v>
      </c>
      <c r="AG502" s="21">
        <v>0</v>
      </c>
      <c r="AH502" s="21">
        <v>0</v>
      </c>
      <c r="AI502" s="21">
        <v>0</v>
      </c>
      <c r="AJ502" s="21">
        <v>0</v>
      </c>
      <c r="AK502" s="21">
        <v>0</v>
      </c>
      <c r="AL502" s="21">
        <v>0</v>
      </c>
      <c r="AM502" s="21">
        <v>0</v>
      </c>
      <c r="AN502" s="21">
        <v>0</v>
      </c>
      <c r="AV502" s="21">
        <v>0</v>
      </c>
    </row>
    <row r="503" spans="1:48" x14ac:dyDescent="0.15">
      <c r="A503" s="20" t="s">
        <v>59</v>
      </c>
      <c r="B503" s="20" t="s">
        <v>96</v>
      </c>
      <c r="C503" s="21">
        <v>0</v>
      </c>
      <c r="D503" s="21">
        <v>0</v>
      </c>
      <c r="E503" s="21">
        <v>0</v>
      </c>
      <c r="F503" s="21">
        <v>0</v>
      </c>
      <c r="AB503" s="21">
        <v>0</v>
      </c>
      <c r="AC503" s="21">
        <v>0</v>
      </c>
      <c r="AD503" s="21">
        <v>0</v>
      </c>
      <c r="AE503" s="21">
        <v>0</v>
      </c>
      <c r="AF503" s="21">
        <v>0</v>
      </c>
      <c r="AG503" s="21">
        <v>0</v>
      </c>
      <c r="AH503" s="21">
        <v>0</v>
      </c>
      <c r="AI503" s="21">
        <v>0</v>
      </c>
      <c r="AJ503" s="21">
        <v>0</v>
      </c>
      <c r="AK503" s="21">
        <v>0</v>
      </c>
      <c r="AL503" s="21">
        <v>0</v>
      </c>
      <c r="AM503" s="21">
        <v>0</v>
      </c>
      <c r="AN503" s="21">
        <v>0</v>
      </c>
    </row>
    <row r="504" spans="1:48" x14ac:dyDescent="0.15">
      <c r="A504" s="20" t="s">
        <v>60</v>
      </c>
      <c r="B504" s="20" t="s">
        <v>96</v>
      </c>
      <c r="C504" s="21">
        <v>0</v>
      </c>
      <c r="D504" s="21">
        <v>1</v>
      </c>
      <c r="E504" s="21">
        <v>24302</v>
      </c>
      <c r="F504" s="21">
        <v>24303</v>
      </c>
      <c r="G504" s="21">
        <v>1261</v>
      </c>
      <c r="H504" s="21">
        <v>5139</v>
      </c>
      <c r="I504" s="21">
        <v>6683</v>
      </c>
      <c r="J504" s="21">
        <v>9288</v>
      </c>
      <c r="K504" s="21">
        <v>1933</v>
      </c>
      <c r="L504" s="21">
        <v>245</v>
      </c>
      <c r="M504" s="21">
        <v>0.68830000000000002</v>
      </c>
      <c r="N504" s="21">
        <v>0.68830000000000002</v>
      </c>
      <c r="O504" s="21">
        <v>4.0000000000000001E-3</v>
      </c>
      <c r="P504" s="21">
        <v>315</v>
      </c>
      <c r="Q504" s="21">
        <v>0.6825</v>
      </c>
      <c r="R504" s="21">
        <v>102</v>
      </c>
      <c r="S504" s="21">
        <v>77</v>
      </c>
      <c r="T504" s="21">
        <v>0.14030000000000001</v>
      </c>
      <c r="U504" s="21">
        <v>8.0399999999999999E-2</v>
      </c>
      <c r="V504" s="21">
        <v>0.69699999999999995</v>
      </c>
      <c r="AB504" s="21">
        <v>0</v>
      </c>
      <c r="AC504" s="21">
        <v>0</v>
      </c>
      <c r="AD504" s="21">
        <v>0</v>
      </c>
      <c r="AE504" s="21">
        <v>0</v>
      </c>
      <c r="AF504" s="21">
        <v>0</v>
      </c>
      <c r="AG504" s="21">
        <v>0</v>
      </c>
      <c r="AH504" s="21">
        <v>0</v>
      </c>
      <c r="AI504" s="21">
        <v>0</v>
      </c>
      <c r="AJ504" s="21">
        <v>0</v>
      </c>
      <c r="AK504" s="21">
        <v>0</v>
      </c>
      <c r="AL504" s="21">
        <v>0</v>
      </c>
      <c r="AM504" s="21">
        <v>0</v>
      </c>
      <c r="AN504" s="21">
        <v>0</v>
      </c>
      <c r="AP504" s="21">
        <v>3</v>
      </c>
      <c r="AQ504" s="21">
        <v>3</v>
      </c>
      <c r="AR504" s="21">
        <v>0</v>
      </c>
      <c r="AS504" s="21">
        <v>3</v>
      </c>
      <c r="AU504" s="21">
        <v>1</v>
      </c>
      <c r="AV504" s="21">
        <v>0</v>
      </c>
    </row>
    <row r="505" spans="1:48" x14ac:dyDescent="0.15">
      <c r="A505" s="20" t="s">
        <v>61</v>
      </c>
      <c r="B505" s="20" t="s">
        <v>96</v>
      </c>
      <c r="C505" s="21">
        <v>0</v>
      </c>
      <c r="D505" s="21">
        <v>55</v>
      </c>
      <c r="E505" s="21">
        <v>12161</v>
      </c>
      <c r="F505" s="21">
        <v>12216</v>
      </c>
      <c r="G505" s="21">
        <v>797</v>
      </c>
      <c r="H505" s="21">
        <v>2022</v>
      </c>
      <c r="I505" s="21">
        <v>5023</v>
      </c>
      <c r="J505" s="21">
        <v>2926</v>
      </c>
      <c r="K505" s="21">
        <v>387</v>
      </c>
      <c r="L505" s="21">
        <v>154</v>
      </c>
      <c r="M505" s="21">
        <v>0.75309999999999999</v>
      </c>
      <c r="N505" s="21">
        <v>0.75309999999999999</v>
      </c>
      <c r="O505" s="21">
        <v>0.15429999999999999</v>
      </c>
      <c r="P505" s="21">
        <v>177</v>
      </c>
      <c r="Q505" s="21">
        <v>0.82489999999999997</v>
      </c>
      <c r="R505" s="21">
        <v>78</v>
      </c>
      <c r="S505" s="21">
        <v>69</v>
      </c>
      <c r="T505" s="21">
        <v>8.3400000000000002E-2</v>
      </c>
      <c r="U505" s="21">
        <v>8.6800000000000002E-2</v>
      </c>
      <c r="V505" s="21">
        <v>0.95920000000000005</v>
      </c>
      <c r="W505" s="21">
        <v>0</v>
      </c>
      <c r="X505" s="21">
        <v>0</v>
      </c>
      <c r="Y505" s="21">
        <v>0</v>
      </c>
      <c r="AB505" s="21">
        <v>0</v>
      </c>
      <c r="AC505" s="21">
        <v>0</v>
      </c>
      <c r="AD505" s="21">
        <v>0</v>
      </c>
      <c r="AE505" s="21">
        <v>0</v>
      </c>
      <c r="AF505" s="21">
        <v>0</v>
      </c>
      <c r="AG505" s="21">
        <v>0</v>
      </c>
      <c r="AH505" s="21">
        <v>0</v>
      </c>
      <c r="AI505" s="21">
        <v>0</v>
      </c>
      <c r="AJ505" s="21">
        <v>0</v>
      </c>
      <c r="AK505" s="21">
        <v>0</v>
      </c>
      <c r="AL505" s="21">
        <v>0</v>
      </c>
      <c r="AM505" s="21">
        <v>0</v>
      </c>
      <c r="AN505" s="21">
        <v>0</v>
      </c>
      <c r="AP505" s="21">
        <v>1</v>
      </c>
      <c r="AQ505" s="21">
        <v>1</v>
      </c>
      <c r="AR505" s="21">
        <v>1</v>
      </c>
      <c r="AS505" s="21">
        <v>0</v>
      </c>
      <c r="AU505" s="21">
        <v>13</v>
      </c>
      <c r="AV505" s="21">
        <v>0</v>
      </c>
    </row>
    <row r="506" spans="1:48" x14ac:dyDescent="0.15">
      <c r="A506" s="20" t="s">
        <v>48</v>
      </c>
      <c r="B506" s="20" t="s">
        <v>97</v>
      </c>
      <c r="C506" s="21">
        <v>0</v>
      </c>
      <c r="D506" s="21">
        <v>2</v>
      </c>
      <c r="E506" s="21">
        <v>44410</v>
      </c>
      <c r="F506" s="21">
        <v>44412</v>
      </c>
      <c r="H506" s="21">
        <v>15882</v>
      </c>
      <c r="I506" s="21">
        <v>6556</v>
      </c>
      <c r="J506" s="21">
        <v>9877</v>
      </c>
      <c r="K506" s="21">
        <v>6436</v>
      </c>
      <c r="L506" s="21">
        <v>321</v>
      </c>
      <c r="M506" s="21">
        <v>0.73219999999999996</v>
      </c>
      <c r="N506" s="21">
        <v>0.73219999999999996</v>
      </c>
      <c r="O506" s="21">
        <v>1.9900000000000001E-2</v>
      </c>
      <c r="P506" s="21">
        <v>717</v>
      </c>
      <c r="Q506" s="21">
        <v>0.48949999999999999</v>
      </c>
      <c r="R506" s="21">
        <v>135</v>
      </c>
      <c r="S506" s="21">
        <v>62</v>
      </c>
      <c r="T506" s="21">
        <v>7.85E-2</v>
      </c>
      <c r="U506" s="21">
        <v>5.5599999999999997E-2</v>
      </c>
      <c r="V506" s="21">
        <v>0</v>
      </c>
      <c r="W506" s="21">
        <v>44</v>
      </c>
      <c r="X506" s="21">
        <v>24</v>
      </c>
      <c r="Y506" s="21">
        <v>47</v>
      </c>
      <c r="Z506" s="21">
        <v>0.2</v>
      </c>
      <c r="AA506" s="21">
        <v>0.5</v>
      </c>
      <c r="AB506" s="21">
        <v>117</v>
      </c>
      <c r="AC506" s="21">
        <v>117</v>
      </c>
      <c r="AD506" s="21">
        <v>110</v>
      </c>
      <c r="AE506" s="21">
        <v>16</v>
      </c>
      <c r="AF506" s="21">
        <v>0.15690000000000001</v>
      </c>
      <c r="AG506" s="21">
        <v>0</v>
      </c>
      <c r="AH506" s="21">
        <v>0</v>
      </c>
      <c r="AI506" s="21">
        <v>0</v>
      </c>
      <c r="AJ506" s="21">
        <v>0.83330000000000004</v>
      </c>
      <c r="AK506" s="21">
        <v>0</v>
      </c>
      <c r="AL506" s="21">
        <v>0</v>
      </c>
      <c r="AM506" s="21">
        <v>0</v>
      </c>
      <c r="AN506" s="21">
        <v>0</v>
      </c>
      <c r="AO506" s="21">
        <v>0.82240000000000002</v>
      </c>
      <c r="AP506" s="21">
        <v>52</v>
      </c>
      <c r="AQ506" s="21">
        <v>52</v>
      </c>
      <c r="AR506" s="21">
        <v>42</v>
      </c>
      <c r="AS506" s="21">
        <v>10</v>
      </c>
      <c r="AU506" s="21">
        <v>11</v>
      </c>
      <c r="AV506" s="21">
        <v>8</v>
      </c>
    </row>
    <row r="507" spans="1:48" x14ac:dyDescent="0.15">
      <c r="A507" s="20" t="s">
        <v>50</v>
      </c>
      <c r="B507" s="20" t="s">
        <v>97</v>
      </c>
      <c r="C507" s="21">
        <v>0</v>
      </c>
      <c r="D507" s="21">
        <v>20</v>
      </c>
      <c r="E507" s="21">
        <v>40324</v>
      </c>
      <c r="F507" s="21">
        <v>40343</v>
      </c>
      <c r="G507" s="21">
        <v>1520</v>
      </c>
      <c r="H507" s="21">
        <v>22800</v>
      </c>
      <c r="I507" s="21">
        <v>0</v>
      </c>
      <c r="J507" s="21">
        <v>5361</v>
      </c>
      <c r="K507" s="21">
        <v>7709</v>
      </c>
      <c r="L507" s="21">
        <v>329</v>
      </c>
      <c r="M507" s="21">
        <v>0.80710000000000004</v>
      </c>
      <c r="N507" s="21">
        <v>0.80710000000000004</v>
      </c>
      <c r="O507" s="21">
        <v>4.1500000000000002E-2</v>
      </c>
      <c r="P507" s="21">
        <v>745</v>
      </c>
      <c r="Q507" s="21">
        <v>0.53959999999999997</v>
      </c>
      <c r="R507" s="21">
        <v>124</v>
      </c>
      <c r="S507" s="21">
        <v>54</v>
      </c>
      <c r="T507" s="21">
        <v>7.4200000000000002E-2</v>
      </c>
      <c r="U507" s="21">
        <v>6.2100000000000002E-2</v>
      </c>
      <c r="V507" s="21">
        <v>0.4118</v>
      </c>
      <c r="W507" s="21">
        <v>60</v>
      </c>
      <c r="X507" s="21">
        <v>57</v>
      </c>
      <c r="Y507" s="21">
        <v>100</v>
      </c>
      <c r="Z507" s="21">
        <v>0.3</v>
      </c>
      <c r="AA507" s="21">
        <v>0.6</v>
      </c>
      <c r="AB507" s="21">
        <v>167</v>
      </c>
      <c r="AC507" s="21">
        <v>167</v>
      </c>
      <c r="AD507" s="21">
        <v>164</v>
      </c>
      <c r="AE507" s="21">
        <v>17</v>
      </c>
      <c r="AF507" s="21">
        <v>0.1062</v>
      </c>
      <c r="AG507" s="21">
        <v>0</v>
      </c>
      <c r="AH507" s="21">
        <v>0</v>
      </c>
      <c r="AI507" s="21">
        <v>0</v>
      </c>
      <c r="AJ507" s="21">
        <v>0.48649999999999999</v>
      </c>
      <c r="AK507" s="21">
        <v>0</v>
      </c>
      <c r="AL507" s="21">
        <v>0</v>
      </c>
      <c r="AM507" s="21">
        <v>0</v>
      </c>
      <c r="AN507" s="21">
        <v>0</v>
      </c>
      <c r="AO507" s="21">
        <v>0.25600000000000001</v>
      </c>
      <c r="AP507" s="21">
        <v>194</v>
      </c>
      <c r="AQ507" s="21">
        <v>194</v>
      </c>
      <c r="AR507" s="21">
        <v>155</v>
      </c>
      <c r="AS507" s="21">
        <v>2</v>
      </c>
      <c r="AT507" s="21">
        <v>37</v>
      </c>
      <c r="AU507" s="21">
        <v>18</v>
      </c>
      <c r="AV507" s="21">
        <v>14</v>
      </c>
    </row>
    <row r="508" spans="1:48" x14ac:dyDescent="0.15">
      <c r="A508" s="20" t="s">
        <v>51</v>
      </c>
      <c r="B508" s="20" t="s">
        <v>97</v>
      </c>
      <c r="C508" s="21">
        <v>0</v>
      </c>
      <c r="D508" s="21">
        <v>122</v>
      </c>
      <c r="E508" s="21">
        <v>154879</v>
      </c>
      <c r="F508" s="21">
        <v>155000</v>
      </c>
      <c r="G508" s="21">
        <v>1736</v>
      </c>
      <c r="H508" s="21">
        <v>29643</v>
      </c>
      <c r="I508" s="21">
        <v>18000</v>
      </c>
      <c r="J508" s="21">
        <v>24628</v>
      </c>
      <c r="K508" s="21">
        <v>80670</v>
      </c>
      <c r="L508" s="21">
        <v>1406</v>
      </c>
      <c r="M508" s="21">
        <v>0.79930000000000001</v>
      </c>
      <c r="N508" s="21">
        <v>0.79579999999999995</v>
      </c>
      <c r="O508" s="21">
        <v>6.25E-2</v>
      </c>
      <c r="P508" s="21">
        <v>2860</v>
      </c>
      <c r="Q508" s="21">
        <v>0.68669999999999998</v>
      </c>
      <c r="R508" s="21">
        <v>109</v>
      </c>
      <c r="S508" s="21">
        <v>54</v>
      </c>
      <c r="T508" s="21">
        <v>8.1000000000000003E-2</v>
      </c>
      <c r="U508" s="21">
        <v>7.3999999999999996E-2</v>
      </c>
      <c r="V508" s="21">
        <v>0.70899999999999996</v>
      </c>
      <c r="W508" s="21">
        <v>101</v>
      </c>
      <c r="X508" s="21">
        <v>88</v>
      </c>
      <c r="Y508" s="21">
        <v>191</v>
      </c>
      <c r="Z508" s="21">
        <v>0.3</v>
      </c>
      <c r="AA508" s="21">
        <v>0.5</v>
      </c>
      <c r="AB508" s="21">
        <v>306</v>
      </c>
      <c r="AC508" s="21">
        <v>306</v>
      </c>
      <c r="AD508" s="21">
        <v>255</v>
      </c>
      <c r="AE508" s="21">
        <v>103</v>
      </c>
      <c r="AF508" s="21">
        <v>0.50490000000000002</v>
      </c>
      <c r="AG508" s="21">
        <v>0</v>
      </c>
      <c r="AH508" s="21">
        <v>0</v>
      </c>
      <c r="AI508" s="21">
        <v>0</v>
      </c>
      <c r="AJ508" s="21">
        <v>0.8</v>
      </c>
      <c r="AK508" s="21">
        <v>0</v>
      </c>
      <c r="AL508" s="21">
        <v>0</v>
      </c>
      <c r="AM508" s="21">
        <v>0</v>
      </c>
      <c r="AN508" s="21">
        <v>0</v>
      </c>
      <c r="AP508" s="21">
        <v>105</v>
      </c>
      <c r="AQ508" s="21">
        <v>105</v>
      </c>
      <c r="AR508" s="21">
        <v>59</v>
      </c>
      <c r="AS508" s="21">
        <v>46</v>
      </c>
      <c r="AT508" s="21">
        <v>0</v>
      </c>
      <c r="AU508" s="21">
        <v>56</v>
      </c>
      <c r="AV508" s="21">
        <v>0</v>
      </c>
    </row>
    <row r="509" spans="1:48" x14ac:dyDescent="0.15">
      <c r="A509" s="20" t="s">
        <v>52</v>
      </c>
      <c r="B509" s="20" t="s">
        <v>97</v>
      </c>
      <c r="C509" s="21">
        <v>0</v>
      </c>
      <c r="D509" s="21">
        <v>137</v>
      </c>
      <c r="E509" s="21">
        <v>84955</v>
      </c>
      <c r="F509" s="21">
        <v>85092</v>
      </c>
      <c r="G509" s="21">
        <v>12718</v>
      </c>
      <c r="H509" s="21">
        <v>4351</v>
      </c>
      <c r="I509" s="21">
        <v>28900</v>
      </c>
      <c r="J509" s="21">
        <v>23823</v>
      </c>
      <c r="K509" s="21">
        <v>9419</v>
      </c>
      <c r="L509" s="21">
        <v>471</v>
      </c>
      <c r="M509" s="21">
        <v>0.79339999999999999</v>
      </c>
      <c r="N509" s="21">
        <v>0.78510000000000002</v>
      </c>
      <c r="O509" s="21">
        <v>4.5499999999999999E-2</v>
      </c>
      <c r="P509" s="21">
        <v>1527</v>
      </c>
      <c r="Q509" s="21">
        <v>0.50619999999999998</v>
      </c>
      <c r="R509" s="21">
        <v>188</v>
      </c>
      <c r="S509" s="21">
        <v>56</v>
      </c>
      <c r="T509" s="21">
        <v>5.7299999999999997E-2</v>
      </c>
      <c r="U509" s="21">
        <v>7.6899999999999996E-2</v>
      </c>
      <c r="V509" s="21">
        <v>0.8649</v>
      </c>
      <c r="W509" s="21">
        <v>106</v>
      </c>
      <c r="X509" s="21">
        <v>64</v>
      </c>
      <c r="Y509" s="21">
        <v>71</v>
      </c>
      <c r="Z509" s="21">
        <v>0.5</v>
      </c>
      <c r="AA509" s="21">
        <v>0.9</v>
      </c>
      <c r="AB509" s="21">
        <v>144</v>
      </c>
      <c r="AC509" s="21">
        <v>131</v>
      </c>
      <c r="AD509" s="21">
        <v>138</v>
      </c>
      <c r="AE509" s="21">
        <v>14</v>
      </c>
      <c r="AF509" s="21">
        <v>0.1053</v>
      </c>
      <c r="AG509" s="21">
        <v>0</v>
      </c>
      <c r="AH509" s="21">
        <v>0</v>
      </c>
      <c r="AI509" s="21">
        <v>0</v>
      </c>
      <c r="AJ509" s="21">
        <v>0</v>
      </c>
      <c r="AK509" s="21">
        <v>0</v>
      </c>
      <c r="AL509" s="21">
        <v>0</v>
      </c>
      <c r="AM509" s="21">
        <v>0</v>
      </c>
      <c r="AN509" s="21">
        <v>0</v>
      </c>
      <c r="AO509" s="21">
        <v>0.99339999999999995</v>
      </c>
      <c r="AP509" s="21">
        <v>1</v>
      </c>
      <c r="AQ509" s="21">
        <v>1</v>
      </c>
      <c r="AR509" s="21">
        <v>1</v>
      </c>
      <c r="AS509" s="21">
        <v>0</v>
      </c>
      <c r="AT509" s="21">
        <v>0</v>
      </c>
      <c r="AU509" s="21">
        <v>25</v>
      </c>
      <c r="AV509" s="21">
        <v>17</v>
      </c>
    </row>
    <row r="510" spans="1:48" x14ac:dyDescent="0.15">
      <c r="A510" s="20" t="s">
        <v>53</v>
      </c>
      <c r="B510" s="20" t="s">
        <v>97</v>
      </c>
      <c r="C510" s="21">
        <v>0</v>
      </c>
      <c r="D510" s="21">
        <v>0</v>
      </c>
      <c r="E510" s="21">
        <v>0</v>
      </c>
      <c r="F510" s="21">
        <v>0</v>
      </c>
      <c r="AB510" s="21">
        <v>0</v>
      </c>
      <c r="AC510" s="21">
        <v>0</v>
      </c>
      <c r="AD510" s="21">
        <v>0</v>
      </c>
      <c r="AE510" s="21">
        <v>0</v>
      </c>
      <c r="AF510" s="21">
        <v>0</v>
      </c>
      <c r="AG510" s="21">
        <v>0</v>
      </c>
      <c r="AH510" s="21">
        <v>0</v>
      </c>
      <c r="AI510" s="21">
        <v>0</v>
      </c>
      <c r="AJ510" s="21">
        <v>0</v>
      </c>
      <c r="AK510" s="21">
        <v>0</v>
      </c>
      <c r="AL510" s="21">
        <v>0</v>
      </c>
      <c r="AM510" s="21">
        <v>0</v>
      </c>
      <c r="AN510" s="21">
        <v>0</v>
      </c>
    </row>
    <row r="511" spans="1:48" x14ac:dyDescent="0.15">
      <c r="A511" s="20" t="s">
        <v>0</v>
      </c>
      <c r="B511" s="20" t="s">
        <v>97</v>
      </c>
      <c r="C511" s="21">
        <v>0</v>
      </c>
      <c r="D511" s="21">
        <v>1038</v>
      </c>
      <c r="E511" s="21">
        <v>470999</v>
      </c>
      <c r="F511" s="21">
        <v>472036</v>
      </c>
      <c r="G511" s="21">
        <v>24891</v>
      </c>
      <c r="H511" s="21">
        <v>93201</v>
      </c>
      <c r="I511" s="21">
        <v>82712</v>
      </c>
      <c r="J511" s="21">
        <v>112790</v>
      </c>
      <c r="K511" s="21">
        <v>128345</v>
      </c>
      <c r="L511" s="21">
        <v>3366</v>
      </c>
      <c r="M511" s="21">
        <v>0.77310000000000001</v>
      </c>
      <c r="N511" s="21">
        <v>0.76910000000000001</v>
      </c>
      <c r="O511" s="21">
        <v>6.0900000000000003E-2</v>
      </c>
      <c r="P511" s="21">
        <v>7179</v>
      </c>
      <c r="Q511" s="21">
        <v>0.60450000000000004</v>
      </c>
      <c r="R511" s="21">
        <v>140</v>
      </c>
      <c r="S511" s="21">
        <v>66</v>
      </c>
      <c r="T511" s="21">
        <v>7.1199999999999999E-2</v>
      </c>
      <c r="U511" s="21">
        <v>7.3400000000000007E-2</v>
      </c>
      <c r="V511" s="21">
        <v>0.76400000000000001</v>
      </c>
      <c r="W511" s="21">
        <v>386</v>
      </c>
      <c r="X511" s="21">
        <v>303</v>
      </c>
      <c r="Y511" s="21">
        <v>536</v>
      </c>
      <c r="Z511" s="21">
        <v>0.3</v>
      </c>
      <c r="AA511" s="21">
        <v>0.6</v>
      </c>
      <c r="AB511" s="21">
        <v>1022</v>
      </c>
      <c r="AC511" s="21">
        <v>984</v>
      </c>
      <c r="AD511" s="21">
        <v>934</v>
      </c>
      <c r="AE511" s="21">
        <v>194</v>
      </c>
      <c r="AF511" s="21">
        <v>0.22900000000000001</v>
      </c>
      <c r="AG511" s="21">
        <v>0</v>
      </c>
      <c r="AH511" s="21">
        <v>0</v>
      </c>
      <c r="AI511" s="21">
        <v>0</v>
      </c>
      <c r="AJ511" s="21">
        <v>0.57989999999999997</v>
      </c>
      <c r="AK511" s="21">
        <v>0</v>
      </c>
      <c r="AL511" s="21">
        <v>0</v>
      </c>
      <c r="AM511" s="21">
        <v>0</v>
      </c>
      <c r="AN511" s="21">
        <v>0</v>
      </c>
      <c r="AO511" s="21">
        <v>0.74980000000000002</v>
      </c>
      <c r="AP511" s="21">
        <v>1131</v>
      </c>
      <c r="AQ511" s="21">
        <v>531</v>
      </c>
      <c r="AR511" s="21">
        <v>375</v>
      </c>
      <c r="AS511" s="21">
        <v>120</v>
      </c>
      <c r="AT511" s="21">
        <v>37</v>
      </c>
      <c r="AU511" s="21">
        <v>410</v>
      </c>
      <c r="AV511" s="21">
        <v>72</v>
      </c>
    </row>
    <row r="512" spans="1:48" x14ac:dyDescent="0.15">
      <c r="A512" s="20" t="s">
        <v>54</v>
      </c>
      <c r="B512" s="20" t="s">
        <v>97</v>
      </c>
      <c r="C512" s="21">
        <v>0</v>
      </c>
      <c r="D512" s="21">
        <v>0</v>
      </c>
      <c r="E512" s="21">
        <v>0</v>
      </c>
      <c r="F512" s="21">
        <v>0</v>
      </c>
      <c r="L512" s="21">
        <v>5</v>
      </c>
      <c r="M512" s="21">
        <v>0</v>
      </c>
      <c r="N512" s="21">
        <v>0</v>
      </c>
      <c r="O512" s="21">
        <v>0</v>
      </c>
      <c r="P512" s="21">
        <v>0</v>
      </c>
      <c r="R512" s="21">
        <v>0</v>
      </c>
      <c r="AB512" s="21">
        <v>0</v>
      </c>
      <c r="AC512" s="21">
        <v>0</v>
      </c>
      <c r="AD512" s="21">
        <v>0</v>
      </c>
      <c r="AE512" s="21">
        <v>0</v>
      </c>
      <c r="AF512" s="21">
        <v>0</v>
      </c>
      <c r="AG512" s="21">
        <v>0</v>
      </c>
      <c r="AH512" s="21">
        <v>0</v>
      </c>
      <c r="AI512" s="21">
        <v>0</v>
      </c>
      <c r="AJ512" s="21">
        <v>0</v>
      </c>
      <c r="AK512" s="21">
        <v>0</v>
      </c>
      <c r="AL512" s="21">
        <v>0</v>
      </c>
      <c r="AM512" s="21">
        <v>0</v>
      </c>
      <c r="AN512" s="21">
        <v>0</v>
      </c>
      <c r="AP512" s="21">
        <v>17</v>
      </c>
      <c r="AQ512" s="21">
        <v>17</v>
      </c>
      <c r="AR512" s="21">
        <v>17</v>
      </c>
      <c r="AS512" s="21">
        <v>0</v>
      </c>
      <c r="AV512" s="21">
        <v>0</v>
      </c>
    </row>
    <row r="513" spans="1:48" x14ac:dyDescent="0.15">
      <c r="A513" s="20" t="s">
        <v>55</v>
      </c>
      <c r="B513" s="20" t="s">
        <v>97</v>
      </c>
      <c r="C513" s="21">
        <v>0</v>
      </c>
      <c r="D513" s="21">
        <v>0</v>
      </c>
      <c r="E513" s="21">
        <v>0</v>
      </c>
      <c r="F513" s="21">
        <v>0</v>
      </c>
      <c r="AB513" s="21">
        <v>0</v>
      </c>
      <c r="AC513" s="21">
        <v>0</v>
      </c>
      <c r="AD513" s="21">
        <v>0</v>
      </c>
      <c r="AE513" s="21">
        <v>0</v>
      </c>
      <c r="AF513" s="21">
        <v>0</v>
      </c>
      <c r="AG513" s="21">
        <v>0</v>
      </c>
      <c r="AH513" s="21">
        <v>0</v>
      </c>
      <c r="AI513" s="21">
        <v>0</v>
      </c>
      <c r="AJ513" s="21">
        <v>0</v>
      </c>
      <c r="AK513" s="21">
        <v>0</v>
      </c>
      <c r="AL513" s="21">
        <v>0</v>
      </c>
      <c r="AM513" s="21">
        <v>0</v>
      </c>
      <c r="AN513" s="21">
        <v>0</v>
      </c>
    </row>
    <row r="514" spans="1:48" x14ac:dyDescent="0.15">
      <c r="A514" s="20" t="s">
        <v>56</v>
      </c>
      <c r="B514" s="20" t="s">
        <v>97</v>
      </c>
      <c r="C514" s="21">
        <v>0</v>
      </c>
      <c r="D514" s="21">
        <v>2</v>
      </c>
      <c r="E514" s="21">
        <v>10962</v>
      </c>
      <c r="F514" s="21">
        <v>10965</v>
      </c>
      <c r="H514" s="21">
        <v>1131</v>
      </c>
      <c r="J514" s="21">
        <v>1362</v>
      </c>
      <c r="K514" s="21">
        <v>7074</v>
      </c>
      <c r="L514" s="21">
        <v>73</v>
      </c>
      <c r="M514" s="21">
        <v>0.73080000000000001</v>
      </c>
      <c r="N514" s="21">
        <v>0.73080000000000001</v>
      </c>
      <c r="O514" s="21">
        <v>2.5600000000000001E-2</v>
      </c>
      <c r="P514" s="21">
        <v>262</v>
      </c>
      <c r="Q514" s="21">
        <v>0.54959999999999998</v>
      </c>
      <c r="R514" s="21">
        <v>158</v>
      </c>
      <c r="S514" s="21">
        <v>42</v>
      </c>
      <c r="T514" s="21">
        <v>9.0499999999999997E-2</v>
      </c>
      <c r="U514" s="21">
        <v>3.2099999999999997E-2</v>
      </c>
      <c r="AB514" s="21">
        <v>0</v>
      </c>
      <c r="AC514" s="21">
        <v>0</v>
      </c>
      <c r="AD514" s="21">
        <v>0</v>
      </c>
      <c r="AE514" s="21">
        <v>0</v>
      </c>
      <c r="AF514" s="21">
        <v>0</v>
      </c>
      <c r="AG514" s="21">
        <v>0</v>
      </c>
      <c r="AH514" s="21">
        <v>0</v>
      </c>
      <c r="AI514" s="21">
        <v>0</v>
      </c>
      <c r="AJ514" s="21">
        <v>0</v>
      </c>
      <c r="AK514" s="21">
        <v>0</v>
      </c>
      <c r="AL514" s="21">
        <v>0</v>
      </c>
      <c r="AM514" s="21">
        <v>0</v>
      </c>
      <c r="AN514" s="21">
        <v>0</v>
      </c>
      <c r="AP514" s="21">
        <v>655</v>
      </c>
      <c r="AQ514" s="21">
        <v>55</v>
      </c>
      <c r="AR514" s="21">
        <v>1</v>
      </c>
      <c r="AS514" s="21">
        <v>54</v>
      </c>
      <c r="AU514" s="21">
        <v>0</v>
      </c>
      <c r="AV514" s="21">
        <v>0</v>
      </c>
    </row>
    <row r="515" spans="1:48" x14ac:dyDescent="0.15">
      <c r="A515" s="20" t="s">
        <v>57</v>
      </c>
      <c r="B515" s="20" t="s">
        <v>97</v>
      </c>
      <c r="C515" s="21">
        <v>0</v>
      </c>
      <c r="D515" s="21">
        <v>714</v>
      </c>
      <c r="E515" s="21">
        <v>84258</v>
      </c>
      <c r="F515" s="21">
        <v>84972</v>
      </c>
      <c r="G515" s="21">
        <v>5448</v>
      </c>
      <c r="H515" s="21">
        <v>10962</v>
      </c>
      <c r="I515" s="21">
        <v>15232</v>
      </c>
      <c r="J515" s="21">
        <v>27448</v>
      </c>
      <c r="K515" s="21">
        <v>13346</v>
      </c>
      <c r="L515" s="21">
        <v>371</v>
      </c>
      <c r="M515" s="21">
        <v>0.72750000000000004</v>
      </c>
      <c r="N515" s="21">
        <v>0.71719999999999995</v>
      </c>
      <c r="O515" s="21">
        <v>0.14910000000000001</v>
      </c>
      <c r="P515" s="21">
        <v>577</v>
      </c>
      <c r="Q515" s="21">
        <v>0.56330000000000002</v>
      </c>
      <c r="R515" s="21">
        <v>227</v>
      </c>
      <c r="S515" s="21">
        <v>147</v>
      </c>
      <c r="T515" s="21">
        <v>6.08E-2</v>
      </c>
      <c r="U515" s="21">
        <v>7.7499999999999999E-2</v>
      </c>
      <c r="V515" s="21">
        <v>0.76880000000000004</v>
      </c>
      <c r="W515" s="21">
        <v>75</v>
      </c>
      <c r="X515" s="21">
        <v>71</v>
      </c>
      <c r="Y515" s="21">
        <v>127</v>
      </c>
      <c r="Z515" s="21">
        <v>0.3</v>
      </c>
      <c r="AA515" s="21">
        <v>0.6</v>
      </c>
      <c r="AB515" s="21">
        <v>288</v>
      </c>
      <c r="AC515" s="21">
        <v>263</v>
      </c>
      <c r="AD515" s="21">
        <v>268</v>
      </c>
      <c r="AE515" s="21">
        <v>44</v>
      </c>
      <c r="AF515" s="21">
        <v>0.1774</v>
      </c>
      <c r="AG515" s="21">
        <v>0</v>
      </c>
      <c r="AH515" s="21">
        <v>0</v>
      </c>
      <c r="AI515" s="21">
        <v>0</v>
      </c>
      <c r="AJ515" s="21">
        <v>0.69920000000000004</v>
      </c>
      <c r="AK515" s="21">
        <v>0</v>
      </c>
      <c r="AL515" s="21">
        <v>0</v>
      </c>
      <c r="AM515" s="21">
        <v>0</v>
      </c>
      <c r="AN515" s="21">
        <v>0</v>
      </c>
      <c r="AO515" s="21">
        <v>0.9113</v>
      </c>
      <c r="AP515" s="21">
        <v>98</v>
      </c>
      <c r="AQ515" s="21">
        <v>98</v>
      </c>
      <c r="AR515" s="21">
        <v>96</v>
      </c>
      <c r="AS515" s="21">
        <v>2</v>
      </c>
      <c r="AT515" s="21">
        <v>0</v>
      </c>
      <c r="AU515" s="21">
        <v>277</v>
      </c>
      <c r="AV515" s="21">
        <v>33</v>
      </c>
    </row>
    <row r="516" spans="1:48" x14ac:dyDescent="0.15">
      <c r="A516" s="20" t="s">
        <v>58</v>
      </c>
      <c r="B516" s="20" t="s">
        <v>97</v>
      </c>
      <c r="C516" s="21">
        <v>0</v>
      </c>
      <c r="D516" s="21">
        <v>0</v>
      </c>
      <c r="E516" s="21">
        <v>0</v>
      </c>
      <c r="F516" s="21">
        <v>0</v>
      </c>
      <c r="AB516" s="21">
        <v>0</v>
      </c>
      <c r="AC516" s="21">
        <v>0</v>
      </c>
      <c r="AD516" s="21">
        <v>0</v>
      </c>
      <c r="AE516" s="21">
        <v>0</v>
      </c>
      <c r="AF516" s="21">
        <v>0</v>
      </c>
      <c r="AG516" s="21">
        <v>0</v>
      </c>
      <c r="AH516" s="21">
        <v>0</v>
      </c>
      <c r="AI516" s="21">
        <v>0</v>
      </c>
      <c r="AJ516" s="21">
        <v>0</v>
      </c>
      <c r="AK516" s="21">
        <v>0</v>
      </c>
      <c r="AL516" s="21">
        <v>0</v>
      </c>
      <c r="AM516" s="21">
        <v>0</v>
      </c>
      <c r="AN516" s="21">
        <v>0</v>
      </c>
      <c r="AP516" s="21">
        <v>0</v>
      </c>
      <c r="AQ516" s="21">
        <v>0</v>
      </c>
      <c r="AS516" s="21">
        <v>0</v>
      </c>
      <c r="AV516" s="21">
        <v>0</v>
      </c>
    </row>
    <row r="517" spans="1:48" x14ac:dyDescent="0.15">
      <c r="A517" s="20" t="s">
        <v>59</v>
      </c>
      <c r="B517" s="20" t="s">
        <v>97</v>
      </c>
      <c r="C517" s="21">
        <v>0</v>
      </c>
      <c r="D517" s="21">
        <v>0</v>
      </c>
      <c r="E517" s="21">
        <v>0</v>
      </c>
      <c r="F517" s="21">
        <v>0</v>
      </c>
      <c r="AB517" s="21">
        <v>0</v>
      </c>
      <c r="AC517" s="21">
        <v>0</v>
      </c>
      <c r="AD517" s="21">
        <v>0</v>
      </c>
      <c r="AE517" s="21">
        <v>0</v>
      </c>
      <c r="AF517" s="21">
        <v>0</v>
      </c>
      <c r="AG517" s="21">
        <v>0</v>
      </c>
      <c r="AH517" s="21">
        <v>0</v>
      </c>
      <c r="AI517" s="21">
        <v>0</v>
      </c>
      <c r="AJ517" s="21">
        <v>0</v>
      </c>
      <c r="AK517" s="21">
        <v>0</v>
      </c>
      <c r="AL517" s="21">
        <v>0</v>
      </c>
      <c r="AM517" s="21">
        <v>0</v>
      </c>
      <c r="AN517" s="21">
        <v>0</v>
      </c>
    </row>
    <row r="518" spans="1:48" x14ac:dyDescent="0.15">
      <c r="A518" s="20" t="s">
        <v>60</v>
      </c>
      <c r="B518" s="20" t="s">
        <v>97</v>
      </c>
      <c r="C518" s="21">
        <v>0</v>
      </c>
      <c r="D518" s="21">
        <v>2</v>
      </c>
      <c r="E518" s="21">
        <v>31392</v>
      </c>
      <c r="F518" s="21">
        <v>31394</v>
      </c>
      <c r="G518" s="21">
        <v>2441</v>
      </c>
      <c r="H518" s="21">
        <v>6450</v>
      </c>
      <c r="I518" s="21">
        <v>10417</v>
      </c>
      <c r="J518" s="21">
        <v>9588</v>
      </c>
      <c r="K518" s="21">
        <v>2498</v>
      </c>
      <c r="L518" s="21">
        <v>240</v>
      </c>
      <c r="M518" s="21">
        <v>0.72330000000000005</v>
      </c>
      <c r="N518" s="21">
        <v>0.71940000000000004</v>
      </c>
      <c r="O518" s="21">
        <v>4.0000000000000001E-3</v>
      </c>
      <c r="P518" s="21">
        <v>315</v>
      </c>
      <c r="Q518" s="21">
        <v>0.73970000000000002</v>
      </c>
      <c r="R518" s="21">
        <v>129</v>
      </c>
      <c r="S518" s="21">
        <v>100</v>
      </c>
      <c r="T518" s="21">
        <v>7.5899999999999995E-2</v>
      </c>
      <c r="U518" s="21">
        <v>7.51E-2</v>
      </c>
      <c r="V518" s="21">
        <v>1</v>
      </c>
      <c r="AB518" s="21">
        <v>0</v>
      </c>
      <c r="AC518" s="21">
        <v>0</v>
      </c>
      <c r="AD518" s="21">
        <v>0</v>
      </c>
      <c r="AE518" s="21">
        <v>0</v>
      </c>
      <c r="AF518" s="21">
        <v>0</v>
      </c>
      <c r="AG518" s="21">
        <v>0</v>
      </c>
      <c r="AH518" s="21">
        <v>0</v>
      </c>
      <c r="AI518" s="21">
        <v>0</v>
      </c>
      <c r="AJ518" s="21">
        <v>0</v>
      </c>
      <c r="AK518" s="21">
        <v>0</v>
      </c>
      <c r="AL518" s="21">
        <v>0</v>
      </c>
      <c r="AM518" s="21">
        <v>0</v>
      </c>
      <c r="AN518" s="21">
        <v>0</v>
      </c>
      <c r="AP518" s="21">
        <v>4</v>
      </c>
      <c r="AQ518" s="21">
        <v>4</v>
      </c>
      <c r="AR518" s="21">
        <v>3</v>
      </c>
      <c r="AS518" s="21">
        <v>1</v>
      </c>
      <c r="AU518" s="21">
        <v>8</v>
      </c>
      <c r="AV518" s="21">
        <v>0</v>
      </c>
    </row>
    <row r="519" spans="1:48" x14ac:dyDescent="0.15">
      <c r="A519" s="20" t="s">
        <v>61</v>
      </c>
      <c r="B519" s="20" t="s">
        <v>97</v>
      </c>
      <c r="C519" s="21">
        <v>0</v>
      </c>
      <c r="D519" s="21">
        <v>39</v>
      </c>
      <c r="E519" s="21">
        <v>19819</v>
      </c>
      <c r="F519" s="21">
        <v>19858</v>
      </c>
      <c r="G519" s="21">
        <v>1028</v>
      </c>
      <c r="H519" s="21">
        <v>1981</v>
      </c>
      <c r="I519" s="21">
        <v>3606</v>
      </c>
      <c r="J519" s="21">
        <v>10703</v>
      </c>
      <c r="K519" s="21">
        <v>1194</v>
      </c>
      <c r="L519" s="21">
        <v>150</v>
      </c>
      <c r="M519" s="21">
        <v>0.7278</v>
      </c>
      <c r="N519" s="21">
        <v>0.7278</v>
      </c>
      <c r="O519" s="21">
        <v>0.1203</v>
      </c>
      <c r="P519" s="21">
        <v>176</v>
      </c>
      <c r="Q519" s="21">
        <v>0.84089999999999998</v>
      </c>
      <c r="R519" s="21">
        <v>131</v>
      </c>
      <c r="S519" s="21">
        <v>113</v>
      </c>
      <c r="T519" s="21">
        <v>5.5199999999999999E-2</v>
      </c>
      <c r="U519" s="21">
        <v>9.2600000000000002E-2</v>
      </c>
      <c r="V519" s="21">
        <v>1</v>
      </c>
      <c r="AB519" s="21">
        <v>0</v>
      </c>
      <c r="AC519" s="21">
        <v>0</v>
      </c>
      <c r="AD519" s="21">
        <v>0</v>
      </c>
      <c r="AE519" s="21">
        <v>0</v>
      </c>
      <c r="AF519" s="21">
        <v>0</v>
      </c>
      <c r="AG519" s="21">
        <v>0</v>
      </c>
      <c r="AH519" s="21">
        <v>0</v>
      </c>
      <c r="AI519" s="21">
        <v>0</v>
      </c>
      <c r="AJ519" s="21">
        <v>0</v>
      </c>
      <c r="AK519" s="21">
        <v>0</v>
      </c>
      <c r="AL519" s="21">
        <v>0</v>
      </c>
      <c r="AM519" s="21">
        <v>0</v>
      </c>
      <c r="AN519" s="21">
        <v>0</v>
      </c>
      <c r="AP519" s="21">
        <v>4</v>
      </c>
      <c r="AQ519" s="21">
        <v>4</v>
      </c>
      <c r="AR519" s="21">
        <v>0</v>
      </c>
      <c r="AS519" s="21">
        <v>4</v>
      </c>
      <c r="AU519" s="21">
        <v>15</v>
      </c>
      <c r="AV519" s="21">
        <v>0</v>
      </c>
    </row>
    <row r="520" spans="1:48" x14ac:dyDescent="0.15">
      <c r="A520" s="20" t="s">
        <v>48</v>
      </c>
      <c r="B520" s="20" t="s">
        <v>98</v>
      </c>
      <c r="C520" s="21">
        <v>0</v>
      </c>
      <c r="D520" s="21">
        <v>2</v>
      </c>
      <c r="E520" s="21">
        <v>34411</v>
      </c>
      <c r="F520" s="21">
        <v>34414</v>
      </c>
      <c r="H520" s="21">
        <v>9010</v>
      </c>
      <c r="I520" s="21">
        <v>7498</v>
      </c>
      <c r="J520" s="21">
        <v>8030</v>
      </c>
      <c r="K520" s="21">
        <v>4997</v>
      </c>
      <c r="L520" s="21">
        <v>330</v>
      </c>
      <c r="M520" s="21">
        <v>0.77149999999999996</v>
      </c>
      <c r="N520" s="21">
        <v>0.77149999999999996</v>
      </c>
      <c r="O520" s="21">
        <v>1.1900000000000001E-2</v>
      </c>
      <c r="P520" s="21">
        <v>725</v>
      </c>
      <c r="Q520" s="21">
        <v>0.57520000000000004</v>
      </c>
      <c r="R520" s="21">
        <v>106</v>
      </c>
      <c r="S520" s="21">
        <v>47</v>
      </c>
      <c r="T520" s="21">
        <v>0.12540000000000001</v>
      </c>
      <c r="U520" s="21">
        <v>5.5800000000000002E-2</v>
      </c>
      <c r="W520" s="21">
        <v>20</v>
      </c>
      <c r="X520" s="21">
        <v>23</v>
      </c>
      <c r="Y520" s="21">
        <v>48</v>
      </c>
      <c r="Z520" s="21">
        <v>0.2</v>
      </c>
      <c r="AA520" s="21">
        <v>0.5</v>
      </c>
      <c r="AB520" s="21">
        <v>114</v>
      </c>
      <c r="AC520" s="21">
        <v>114</v>
      </c>
      <c r="AD520" s="21">
        <v>116</v>
      </c>
      <c r="AE520" s="21">
        <v>13</v>
      </c>
      <c r="AF520" s="21">
        <v>0.1111</v>
      </c>
      <c r="AG520" s="21">
        <v>0</v>
      </c>
      <c r="AH520" s="21">
        <v>0</v>
      </c>
      <c r="AI520" s="21">
        <v>0</v>
      </c>
      <c r="AJ520" s="21">
        <v>0</v>
      </c>
      <c r="AK520" s="21">
        <v>0</v>
      </c>
      <c r="AL520" s="21">
        <v>0</v>
      </c>
      <c r="AM520" s="21">
        <v>0</v>
      </c>
      <c r="AN520" s="21">
        <v>0</v>
      </c>
      <c r="AO520" s="21">
        <v>0.7026</v>
      </c>
      <c r="AP520" s="21">
        <v>33</v>
      </c>
      <c r="AQ520" s="21">
        <v>33</v>
      </c>
      <c r="AR520" s="21">
        <v>30</v>
      </c>
      <c r="AS520" s="21">
        <v>3</v>
      </c>
      <c r="AU520" s="21">
        <v>2</v>
      </c>
      <c r="AV520" s="21">
        <v>18</v>
      </c>
    </row>
    <row r="521" spans="1:48" x14ac:dyDescent="0.15">
      <c r="A521" s="20" t="s">
        <v>50</v>
      </c>
      <c r="B521" s="20" t="s">
        <v>98</v>
      </c>
      <c r="C521" s="21">
        <v>0</v>
      </c>
      <c r="D521" s="21">
        <v>8</v>
      </c>
      <c r="E521" s="21">
        <v>40700</v>
      </c>
      <c r="F521" s="21">
        <v>40708</v>
      </c>
      <c r="G521" s="21">
        <v>-38</v>
      </c>
      <c r="H521" s="21">
        <v>25975</v>
      </c>
      <c r="I521" s="21">
        <v>0</v>
      </c>
      <c r="J521" s="21">
        <v>6072</v>
      </c>
      <c r="K521" s="21">
        <v>6954</v>
      </c>
      <c r="L521" s="21">
        <v>336</v>
      </c>
      <c r="M521" s="21">
        <v>0.80940000000000001</v>
      </c>
      <c r="N521" s="21">
        <v>0.80940000000000001</v>
      </c>
      <c r="O521" s="21">
        <v>2.0500000000000001E-2</v>
      </c>
      <c r="P521" s="21">
        <v>754</v>
      </c>
      <c r="Q521" s="21">
        <v>0.52790000000000004</v>
      </c>
      <c r="R521" s="21">
        <v>122</v>
      </c>
      <c r="S521" s="21">
        <v>54</v>
      </c>
      <c r="T521" s="21">
        <v>7.3400000000000007E-2</v>
      </c>
      <c r="U521" s="21">
        <v>6.2600000000000003E-2</v>
      </c>
      <c r="V521" s="21">
        <v>0.59460000000000002</v>
      </c>
      <c r="W521" s="21">
        <v>21</v>
      </c>
      <c r="X521" s="21">
        <v>30</v>
      </c>
      <c r="Y521" s="21">
        <v>54</v>
      </c>
      <c r="Z521" s="21">
        <v>0.2</v>
      </c>
      <c r="AA521" s="21">
        <v>0.5</v>
      </c>
      <c r="AB521" s="21">
        <v>158</v>
      </c>
      <c r="AC521" s="21">
        <v>158</v>
      </c>
      <c r="AD521" s="21">
        <v>162</v>
      </c>
      <c r="AE521" s="21">
        <v>9</v>
      </c>
      <c r="AF521" s="21">
        <v>5.3900000000000003E-2</v>
      </c>
      <c r="AG521" s="21">
        <v>0</v>
      </c>
      <c r="AH521" s="21">
        <v>0</v>
      </c>
      <c r="AI521" s="21">
        <v>0</v>
      </c>
      <c r="AJ521" s="21">
        <v>0</v>
      </c>
      <c r="AK521" s="21">
        <v>0</v>
      </c>
      <c r="AL521" s="21">
        <v>0</v>
      </c>
      <c r="AM521" s="21">
        <v>0</v>
      </c>
      <c r="AN521" s="21">
        <v>0</v>
      </c>
      <c r="AO521" s="21">
        <v>0.23569999999999999</v>
      </c>
      <c r="AP521" s="21">
        <v>161</v>
      </c>
      <c r="AQ521" s="21">
        <v>138</v>
      </c>
      <c r="AR521" s="21">
        <v>125</v>
      </c>
      <c r="AS521" s="21">
        <v>10</v>
      </c>
      <c r="AT521" s="21">
        <v>3</v>
      </c>
      <c r="AU521" s="21">
        <v>5</v>
      </c>
      <c r="AV521" s="21">
        <v>12</v>
      </c>
    </row>
    <row r="522" spans="1:48" x14ac:dyDescent="0.15">
      <c r="A522" s="20" t="s">
        <v>51</v>
      </c>
      <c r="B522" s="20" t="s">
        <v>98</v>
      </c>
      <c r="C522" s="21">
        <v>0</v>
      </c>
      <c r="D522" s="21">
        <v>98</v>
      </c>
      <c r="E522" s="21">
        <v>133564</v>
      </c>
      <c r="F522" s="21">
        <v>133663</v>
      </c>
      <c r="G522" s="21">
        <v>368</v>
      </c>
      <c r="H522" s="21">
        <v>28924</v>
      </c>
      <c r="I522" s="21">
        <v>25434</v>
      </c>
      <c r="J522" s="21">
        <v>26972</v>
      </c>
      <c r="K522" s="21">
        <v>50994</v>
      </c>
      <c r="L522" s="21">
        <v>1413</v>
      </c>
      <c r="M522" s="21">
        <v>0.79569999999999996</v>
      </c>
      <c r="N522" s="21">
        <v>0.79500000000000004</v>
      </c>
      <c r="O522" s="21">
        <v>5.7200000000000001E-2</v>
      </c>
      <c r="P522" s="21">
        <v>2871</v>
      </c>
      <c r="Q522" s="21">
        <v>0.67290000000000005</v>
      </c>
      <c r="R522" s="21">
        <v>95</v>
      </c>
      <c r="S522" s="21">
        <v>47</v>
      </c>
      <c r="T522" s="21">
        <v>0.13039999999999999</v>
      </c>
      <c r="U522" s="21">
        <v>6.9699999999999998E-2</v>
      </c>
      <c r="V522" s="21">
        <v>0.68600000000000005</v>
      </c>
      <c r="W522" s="21">
        <v>91</v>
      </c>
      <c r="X522" s="21">
        <v>104</v>
      </c>
      <c r="Y522" s="21">
        <v>286</v>
      </c>
      <c r="Z522" s="21">
        <v>0.3</v>
      </c>
      <c r="AA522" s="21">
        <v>0.4</v>
      </c>
      <c r="AB522" s="21">
        <v>373</v>
      </c>
      <c r="AC522" s="21">
        <v>356</v>
      </c>
      <c r="AD522" s="21">
        <v>340</v>
      </c>
      <c r="AE522" s="21">
        <v>75</v>
      </c>
      <c r="AF522" s="21">
        <v>0.24510000000000001</v>
      </c>
      <c r="AG522" s="21">
        <v>0</v>
      </c>
      <c r="AH522" s="21">
        <v>0</v>
      </c>
      <c r="AI522" s="21">
        <v>0</v>
      </c>
      <c r="AJ522" s="21">
        <v>0</v>
      </c>
      <c r="AK522" s="21">
        <v>0</v>
      </c>
      <c r="AL522" s="21">
        <v>0</v>
      </c>
      <c r="AM522" s="21">
        <v>0</v>
      </c>
      <c r="AN522" s="21">
        <v>0</v>
      </c>
      <c r="AP522" s="21">
        <v>119</v>
      </c>
      <c r="AQ522" s="21">
        <v>99</v>
      </c>
      <c r="AR522" s="21">
        <v>99</v>
      </c>
      <c r="AS522" s="21">
        <v>0</v>
      </c>
      <c r="AT522" s="21">
        <v>0</v>
      </c>
      <c r="AU522" s="21">
        <v>50</v>
      </c>
      <c r="AV522" s="21">
        <v>0</v>
      </c>
    </row>
    <row r="523" spans="1:48" x14ac:dyDescent="0.15">
      <c r="A523" s="20" t="s">
        <v>52</v>
      </c>
      <c r="B523" s="20" t="s">
        <v>98</v>
      </c>
      <c r="C523" s="21">
        <v>0</v>
      </c>
      <c r="D523" s="21">
        <v>2</v>
      </c>
      <c r="E523" s="21">
        <v>56820</v>
      </c>
      <c r="F523" s="21">
        <v>56821</v>
      </c>
      <c r="G523" s="21">
        <v>-77</v>
      </c>
      <c r="H523" s="21">
        <v>5319</v>
      </c>
      <c r="I523" s="21">
        <v>15980</v>
      </c>
      <c r="J523" s="21">
        <v>22439</v>
      </c>
      <c r="K523" s="21">
        <v>8189</v>
      </c>
      <c r="L523" s="21">
        <v>495</v>
      </c>
      <c r="M523" s="21">
        <v>0.78090000000000004</v>
      </c>
      <c r="N523" s="21">
        <v>0.77890000000000004</v>
      </c>
      <c r="O523" s="21">
        <v>1.7899999999999999E-2</v>
      </c>
      <c r="P523" s="21">
        <v>1527</v>
      </c>
      <c r="Q523" s="21">
        <v>0.50160000000000005</v>
      </c>
      <c r="R523" s="21">
        <v>118</v>
      </c>
      <c r="S523" s="21">
        <v>37</v>
      </c>
      <c r="T523" s="21">
        <v>0.14599999999999999</v>
      </c>
      <c r="U523" s="21">
        <v>7.6899999999999996E-2</v>
      </c>
      <c r="V523" s="21">
        <v>0.71079999999999999</v>
      </c>
      <c r="W523" s="21">
        <v>216</v>
      </c>
      <c r="X523" s="21">
        <v>87</v>
      </c>
      <c r="Y523" s="21">
        <v>64</v>
      </c>
      <c r="Z523" s="21">
        <v>0.6</v>
      </c>
      <c r="AA523" s="21">
        <v>1.4</v>
      </c>
      <c r="AB523" s="21">
        <v>136</v>
      </c>
      <c r="AC523" s="21">
        <v>126</v>
      </c>
      <c r="AD523" s="21">
        <v>140</v>
      </c>
      <c r="AE523" s="21">
        <v>16</v>
      </c>
      <c r="AF523" s="21">
        <v>0.1111</v>
      </c>
      <c r="AG523" s="21">
        <v>0</v>
      </c>
      <c r="AH523" s="21">
        <v>0</v>
      </c>
      <c r="AI523" s="21">
        <v>0</v>
      </c>
      <c r="AJ523" s="21">
        <v>1</v>
      </c>
      <c r="AK523" s="21">
        <v>0</v>
      </c>
      <c r="AL523" s="21">
        <v>0</v>
      </c>
      <c r="AM523" s="21">
        <v>0</v>
      </c>
      <c r="AN523" s="21">
        <v>0</v>
      </c>
      <c r="AO523" s="21">
        <v>0.79930000000000001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1">
        <v>40</v>
      </c>
      <c r="AV523" s="21">
        <v>30</v>
      </c>
    </row>
    <row r="524" spans="1:48" x14ac:dyDescent="0.15">
      <c r="A524" s="20" t="s">
        <v>53</v>
      </c>
      <c r="B524" s="20" t="s">
        <v>98</v>
      </c>
      <c r="C524" s="21">
        <v>0</v>
      </c>
      <c r="D524" s="21">
        <v>0</v>
      </c>
      <c r="E524" s="21">
        <v>0</v>
      </c>
      <c r="F524" s="21">
        <v>0</v>
      </c>
      <c r="AB524" s="21">
        <v>0</v>
      </c>
      <c r="AC524" s="21">
        <v>0</v>
      </c>
      <c r="AD524" s="21">
        <v>0</v>
      </c>
      <c r="AE524" s="21">
        <v>0</v>
      </c>
      <c r="AF524" s="21">
        <v>0</v>
      </c>
      <c r="AG524" s="21">
        <v>0</v>
      </c>
      <c r="AH524" s="21">
        <v>0</v>
      </c>
      <c r="AI524" s="21">
        <v>0</v>
      </c>
      <c r="AJ524" s="21">
        <v>0</v>
      </c>
      <c r="AK524" s="21">
        <v>0</v>
      </c>
      <c r="AL524" s="21">
        <v>0</v>
      </c>
      <c r="AM524" s="21">
        <v>0</v>
      </c>
      <c r="AN524" s="21">
        <v>0</v>
      </c>
    </row>
    <row r="525" spans="1:48" x14ac:dyDescent="0.15">
      <c r="A525" s="20" t="s">
        <v>0</v>
      </c>
      <c r="B525" s="20" t="s">
        <v>98</v>
      </c>
      <c r="C525" s="21">
        <v>0</v>
      </c>
      <c r="D525" s="21">
        <v>467</v>
      </c>
      <c r="E525" s="21">
        <v>431208</v>
      </c>
      <c r="F525" s="21">
        <v>431675</v>
      </c>
      <c r="G525" s="21">
        <v>1016</v>
      </c>
      <c r="H525" s="21">
        <v>94938</v>
      </c>
      <c r="I525" s="21">
        <v>88713</v>
      </c>
      <c r="J525" s="21">
        <v>112582</v>
      </c>
      <c r="K525" s="21">
        <v>104665</v>
      </c>
      <c r="L525" s="21">
        <v>3412</v>
      </c>
      <c r="M525" s="21">
        <v>0.77529999999999999</v>
      </c>
      <c r="N525" s="21">
        <v>0.77390000000000003</v>
      </c>
      <c r="O525" s="21">
        <v>4.3900000000000002E-2</v>
      </c>
      <c r="P525" s="21">
        <v>7224</v>
      </c>
      <c r="Q525" s="21">
        <v>0.61240000000000006</v>
      </c>
      <c r="R525" s="21">
        <v>127</v>
      </c>
      <c r="S525" s="21">
        <v>60</v>
      </c>
      <c r="T525" s="21">
        <v>0.1101</v>
      </c>
      <c r="U525" s="21">
        <v>7.0400000000000004E-2</v>
      </c>
      <c r="V525" s="21">
        <v>0.75680000000000003</v>
      </c>
      <c r="W525" s="21">
        <v>411</v>
      </c>
      <c r="X525" s="21">
        <v>305</v>
      </c>
      <c r="Y525" s="21">
        <v>558</v>
      </c>
      <c r="Z525" s="21">
        <v>0.3</v>
      </c>
      <c r="AA525" s="21">
        <v>0.5</v>
      </c>
      <c r="AB525" s="21">
        <v>1050</v>
      </c>
      <c r="AC525" s="21">
        <v>1023</v>
      </c>
      <c r="AD525" s="21">
        <v>1036</v>
      </c>
      <c r="AE525" s="21">
        <v>115</v>
      </c>
      <c r="AF525" s="21">
        <v>0.1125</v>
      </c>
      <c r="AG525" s="21">
        <v>0</v>
      </c>
      <c r="AH525" s="21">
        <v>0</v>
      </c>
      <c r="AI525" s="21">
        <v>0</v>
      </c>
      <c r="AJ525" s="21">
        <v>0.75</v>
      </c>
      <c r="AK525" s="21">
        <v>0</v>
      </c>
      <c r="AL525" s="21">
        <v>0</v>
      </c>
      <c r="AM525" s="21">
        <v>0</v>
      </c>
      <c r="AN525" s="21">
        <v>0</v>
      </c>
      <c r="AO525" s="21">
        <v>0.54730000000000001</v>
      </c>
      <c r="AP525" s="21">
        <v>5677</v>
      </c>
      <c r="AQ525" s="21">
        <v>544</v>
      </c>
      <c r="AR525" s="21">
        <v>449</v>
      </c>
      <c r="AS525" s="21">
        <v>91</v>
      </c>
      <c r="AT525" s="21">
        <v>3</v>
      </c>
      <c r="AU525" s="21">
        <v>304</v>
      </c>
      <c r="AV525" s="21">
        <v>107</v>
      </c>
    </row>
    <row r="526" spans="1:48" x14ac:dyDescent="0.15">
      <c r="A526" s="20" t="s">
        <v>54</v>
      </c>
      <c r="B526" s="20" t="s">
        <v>98</v>
      </c>
      <c r="C526" s="21">
        <v>0</v>
      </c>
      <c r="D526" s="21">
        <v>0</v>
      </c>
      <c r="E526" s="21">
        <v>64</v>
      </c>
      <c r="F526" s="21">
        <v>64</v>
      </c>
      <c r="I526" s="21">
        <v>64</v>
      </c>
      <c r="L526" s="21">
        <v>11</v>
      </c>
      <c r="M526" s="21">
        <v>0.2727</v>
      </c>
      <c r="N526" s="21">
        <v>0.2727</v>
      </c>
      <c r="O526" s="21">
        <v>0</v>
      </c>
      <c r="P526" s="21">
        <v>9</v>
      </c>
      <c r="Q526" s="21">
        <v>0.44440000000000002</v>
      </c>
      <c r="R526" s="21">
        <v>8</v>
      </c>
      <c r="S526" s="21">
        <v>7</v>
      </c>
      <c r="T526" s="21">
        <v>0.38640000000000002</v>
      </c>
      <c r="U526" s="21">
        <v>0</v>
      </c>
      <c r="AB526" s="21">
        <v>0</v>
      </c>
      <c r="AC526" s="21">
        <v>0</v>
      </c>
      <c r="AD526" s="21">
        <v>0</v>
      </c>
      <c r="AE526" s="21">
        <v>0</v>
      </c>
      <c r="AF526" s="21">
        <v>0</v>
      </c>
      <c r="AG526" s="21">
        <v>0</v>
      </c>
      <c r="AH526" s="21">
        <v>0</v>
      </c>
      <c r="AI526" s="21">
        <v>0</v>
      </c>
      <c r="AJ526" s="21">
        <v>0</v>
      </c>
      <c r="AK526" s="21">
        <v>0</v>
      </c>
      <c r="AL526" s="21">
        <v>0</v>
      </c>
      <c r="AM526" s="21">
        <v>0</v>
      </c>
      <c r="AN526" s="21">
        <v>0</v>
      </c>
      <c r="AP526" s="21">
        <v>46</v>
      </c>
      <c r="AQ526" s="21">
        <v>46</v>
      </c>
      <c r="AR526" s="21">
        <v>43</v>
      </c>
      <c r="AS526" s="21">
        <v>2</v>
      </c>
      <c r="AV526" s="21">
        <v>0</v>
      </c>
    </row>
    <row r="527" spans="1:48" x14ac:dyDescent="0.15">
      <c r="A527" s="20" t="s">
        <v>55</v>
      </c>
      <c r="B527" s="20" t="s">
        <v>98</v>
      </c>
      <c r="C527" s="21">
        <v>0</v>
      </c>
      <c r="D527" s="21">
        <v>0</v>
      </c>
      <c r="E527" s="21">
        <v>0</v>
      </c>
      <c r="F527" s="21">
        <v>0</v>
      </c>
      <c r="AB527" s="21">
        <v>0</v>
      </c>
      <c r="AC527" s="21">
        <v>0</v>
      </c>
      <c r="AD527" s="21">
        <v>0</v>
      </c>
      <c r="AE527" s="21">
        <v>0</v>
      </c>
      <c r="AF527" s="21">
        <v>0</v>
      </c>
      <c r="AG527" s="21">
        <v>0</v>
      </c>
      <c r="AH527" s="21">
        <v>0</v>
      </c>
      <c r="AI527" s="21">
        <v>0</v>
      </c>
      <c r="AJ527" s="21">
        <v>0</v>
      </c>
      <c r="AK527" s="21">
        <v>0</v>
      </c>
      <c r="AL527" s="21">
        <v>0</v>
      </c>
      <c r="AM527" s="21">
        <v>0</v>
      </c>
      <c r="AN527" s="21">
        <v>0</v>
      </c>
    </row>
    <row r="528" spans="1:48" x14ac:dyDescent="0.15">
      <c r="A528" s="20" t="s">
        <v>56</v>
      </c>
      <c r="B528" s="20" t="s">
        <v>98</v>
      </c>
      <c r="C528" s="21">
        <v>0</v>
      </c>
      <c r="D528" s="21">
        <v>2</v>
      </c>
      <c r="E528" s="21">
        <v>28228</v>
      </c>
      <c r="F528" s="21">
        <v>28230</v>
      </c>
      <c r="H528" s="21">
        <v>1270</v>
      </c>
      <c r="J528" s="21">
        <v>1887</v>
      </c>
      <c r="K528" s="21">
        <v>19219</v>
      </c>
      <c r="L528" s="21">
        <v>81</v>
      </c>
      <c r="M528" s="21">
        <v>0.83130000000000004</v>
      </c>
      <c r="N528" s="21">
        <v>0.83130000000000004</v>
      </c>
      <c r="O528" s="21">
        <v>1.2E-2</v>
      </c>
      <c r="P528" s="21">
        <v>262</v>
      </c>
      <c r="Q528" s="21">
        <v>0.7863</v>
      </c>
      <c r="R528" s="21">
        <v>367</v>
      </c>
      <c r="S528" s="21">
        <v>108</v>
      </c>
      <c r="T528" s="21">
        <v>5.9200000000000003E-2</v>
      </c>
      <c r="U528" s="21">
        <v>2.5700000000000001E-2</v>
      </c>
      <c r="AB528" s="21">
        <v>0</v>
      </c>
      <c r="AC528" s="21">
        <v>0</v>
      </c>
      <c r="AD528" s="21">
        <v>0</v>
      </c>
      <c r="AE528" s="21">
        <v>0</v>
      </c>
      <c r="AF528" s="21">
        <v>0</v>
      </c>
      <c r="AG528" s="21">
        <v>0</v>
      </c>
      <c r="AH528" s="21">
        <v>0</v>
      </c>
      <c r="AI528" s="21">
        <v>0</v>
      </c>
      <c r="AJ528" s="21">
        <v>0</v>
      </c>
      <c r="AK528" s="21">
        <v>0</v>
      </c>
      <c r="AL528" s="21">
        <v>0</v>
      </c>
      <c r="AM528" s="21">
        <v>0</v>
      </c>
      <c r="AN528" s="21">
        <v>0</v>
      </c>
      <c r="AP528" s="21">
        <v>5050</v>
      </c>
      <c r="AQ528" s="21">
        <v>19</v>
      </c>
      <c r="AR528" s="21">
        <v>5</v>
      </c>
      <c r="AS528" s="21">
        <v>14</v>
      </c>
      <c r="AU528" s="21">
        <v>0</v>
      </c>
      <c r="AV528" s="21">
        <v>0</v>
      </c>
    </row>
    <row r="529" spans="1:48" x14ac:dyDescent="0.15">
      <c r="A529" s="20" t="s">
        <v>57</v>
      </c>
      <c r="B529" s="20" t="s">
        <v>98</v>
      </c>
      <c r="C529" s="21">
        <v>0</v>
      </c>
      <c r="D529" s="21">
        <v>340</v>
      </c>
      <c r="E529" s="21">
        <v>85374</v>
      </c>
      <c r="F529" s="21">
        <v>85714</v>
      </c>
      <c r="G529" s="21">
        <v>-7</v>
      </c>
      <c r="H529" s="21">
        <v>16684</v>
      </c>
      <c r="I529" s="21">
        <v>21435</v>
      </c>
      <c r="J529" s="21">
        <v>26169</v>
      </c>
      <c r="K529" s="21">
        <v>11188</v>
      </c>
      <c r="L529" s="21">
        <v>377</v>
      </c>
      <c r="M529" s="21">
        <v>0.70799999999999996</v>
      </c>
      <c r="N529" s="21">
        <v>0.70030000000000003</v>
      </c>
      <c r="O529" s="21">
        <v>9.8199999999999996E-2</v>
      </c>
      <c r="P529" s="21">
        <v>583</v>
      </c>
      <c r="Q529" s="21">
        <v>0.54369999999999996</v>
      </c>
      <c r="R529" s="21">
        <v>229</v>
      </c>
      <c r="S529" s="21">
        <v>147</v>
      </c>
      <c r="T529" s="21">
        <v>9.5200000000000007E-2</v>
      </c>
      <c r="U529" s="21">
        <v>7.1400000000000005E-2</v>
      </c>
      <c r="V529" s="21">
        <v>0.79330000000000001</v>
      </c>
      <c r="W529" s="21">
        <v>62</v>
      </c>
      <c r="X529" s="21">
        <v>62</v>
      </c>
      <c r="Y529" s="21">
        <v>106</v>
      </c>
      <c r="Z529" s="21">
        <v>0.2</v>
      </c>
      <c r="AA529" s="21">
        <v>0.6</v>
      </c>
      <c r="AB529" s="21">
        <v>269</v>
      </c>
      <c r="AC529" s="21">
        <v>269</v>
      </c>
      <c r="AD529" s="21">
        <v>278</v>
      </c>
      <c r="AE529" s="21">
        <v>2</v>
      </c>
      <c r="AF529" s="21">
        <v>6.8999999999999999E-3</v>
      </c>
      <c r="AG529" s="21">
        <v>0</v>
      </c>
      <c r="AH529" s="21">
        <v>0</v>
      </c>
      <c r="AI529" s="21">
        <v>0</v>
      </c>
      <c r="AJ529" s="21">
        <v>1</v>
      </c>
      <c r="AK529" s="21">
        <v>0</v>
      </c>
      <c r="AL529" s="21">
        <v>0</v>
      </c>
      <c r="AM529" s="21">
        <v>0</v>
      </c>
      <c r="AN529" s="21">
        <v>0</v>
      </c>
      <c r="AO529" s="21">
        <v>0.70199999999999996</v>
      </c>
      <c r="AP529" s="21">
        <v>257</v>
      </c>
      <c r="AQ529" s="21">
        <v>198</v>
      </c>
      <c r="AR529" s="21">
        <v>142</v>
      </c>
      <c r="AS529" s="21">
        <v>56</v>
      </c>
      <c r="AT529" s="21">
        <v>0</v>
      </c>
      <c r="AU529" s="21">
        <v>181</v>
      </c>
      <c r="AV529" s="21">
        <v>47</v>
      </c>
    </row>
    <row r="530" spans="1:48" x14ac:dyDescent="0.15">
      <c r="A530" s="20" t="s">
        <v>58</v>
      </c>
      <c r="B530" s="20" t="s">
        <v>98</v>
      </c>
      <c r="C530" s="21">
        <v>0</v>
      </c>
      <c r="D530" s="21">
        <v>0</v>
      </c>
      <c r="E530" s="21">
        <v>0</v>
      </c>
      <c r="F530" s="21">
        <v>0</v>
      </c>
      <c r="AB530" s="21">
        <v>0</v>
      </c>
      <c r="AC530" s="21">
        <v>0</v>
      </c>
      <c r="AD530" s="21">
        <v>0</v>
      </c>
      <c r="AE530" s="21">
        <v>0</v>
      </c>
      <c r="AF530" s="21">
        <v>0</v>
      </c>
      <c r="AG530" s="21">
        <v>0</v>
      </c>
      <c r="AH530" s="21">
        <v>0</v>
      </c>
      <c r="AI530" s="21">
        <v>0</v>
      </c>
      <c r="AJ530" s="21">
        <v>0</v>
      </c>
      <c r="AK530" s="21">
        <v>0</v>
      </c>
      <c r="AL530" s="21">
        <v>0</v>
      </c>
      <c r="AM530" s="21">
        <v>0</v>
      </c>
      <c r="AN530" s="21">
        <v>0</v>
      </c>
      <c r="AP530" s="21">
        <v>0</v>
      </c>
      <c r="AQ530" s="21">
        <v>0</v>
      </c>
      <c r="AS530" s="21">
        <v>0</v>
      </c>
      <c r="AV530" s="21">
        <v>0</v>
      </c>
    </row>
    <row r="531" spans="1:48" x14ac:dyDescent="0.15">
      <c r="A531" s="20" t="s">
        <v>59</v>
      </c>
      <c r="B531" s="20" t="s">
        <v>98</v>
      </c>
      <c r="C531" s="21">
        <v>0</v>
      </c>
      <c r="D531" s="21">
        <v>0</v>
      </c>
      <c r="E531" s="21">
        <v>0</v>
      </c>
      <c r="F531" s="21">
        <v>0</v>
      </c>
      <c r="AB531" s="21">
        <v>0</v>
      </c>
      <c r="AC531" s="21">
        <v>0</v>
      </c>
      <c r="AD531" s="21">
        <v>0</v>
      </c>
      <c r="AE531" s="21">
        <v>0</v>
      </c>
      <c r="AF531" s="21">
        <v>0</v>
      </c>
      <c r="AG531" s="21">
        <v>0</v>
      </c>
      <c r="AH531" s="21">
        <v>0</v>
      </c>
      <c r="AI531" s="21">
        <v>0</v>
      </c>
      <c r="AJ531" s="21">
        <v>0</v>
      </c>
      <c r="AK531" s="21">
        <v>0</v>
      </c>
      <c r="AL531" s="21">
        <v>0</v>
      </c>
      <c r="AM531" s="21">
        <v>0</v>
      </c>
      <c r="AN531" s="21">
        <v>0</v>
      </c>
    </row>
    <row r="532" spans="1:48" x14ac:dyDescent="0.15">
      <c r="A532" s="20" t="s">
        <v>60</v>
      </c>
      <c r="B532" s="20" t="s">
        <v>98</v>
      </c>
      <c r="C532" s="21">
        <v>0</v>
      </c>
      <c r="D532" s="21">
        <v>0</v>
      </c>
      <c r="E532" s="21">
        <v>30608</v>
      </c>
      <c r="F532" s="21">
        <v>30608</v>
      </c>
      <c r="G532" s="21">
        <v>336</v>
      </c>
      <c r="H532" s="21">
        <v>4975</v>
      </c>
      <c r="I532" s="21">
        <v>11129</v>
      </c>
      <c r="J532" s="21">
        <v>11924</v>
      </c>
      <c r="K532" s="21">
        <v>2243</v>
      </c>
      <c r="L532" s="21">
        <v>223</v>
      </c>
      <c r="M532" s="21">
        <v>0.71140000000000003</v>
      </c>
      <c r="N532" s="21">
        <v>0.71140000000000003</v>
      </c>
      <c r="O532" s="21">
        <v>0</v>
      </c>
      <c r="P532" s="21">
        <v>317</v>
      </c>
      <c r="Q532" s="21">
        <v>0.71919999999999995</v>
      </c>
      <c r="R532" s="21">
        <v>132</v>
      </c>
      <c r="S532" s="21">
        <v>97</v>
      </c>
      <c r="T532" s="21">
        <v>9.11E-2</v>
      </c>
      <c r="U532" s="21">
        <v>7.3700000000000002E-2</v>
      </c>
      <c r="V532" s="21">
        <v>1</v>
      </c>
      <c r="AB532" s="21">
        <v>0</v>
      </c>
      <c r="AC532" s="21">
        <v>0</v>
      </c>
      <c r="AD532" s="21">
        <v>0</v>
      </c>
      <c r="AE532" s="21">
        <v>0</v>
      </c>
      <c r="AF532" s="21">
        <v>0</v>
      </c>
      <c r="AG532" s="21">
        <v>0</v>
      </c>
      <c r="AH532" s="21">
        <v>0</v>
      </c>
      <c r="AI532" s="21">
        <v>0</v>
      </c>
      <c r="AJ532" s="21">
        <v>0</v>
      </c>
      <c r="AK532" s="21">
        <v>0</v>
      </c>
      <c r="AL532" s="21">
        <v>0</v>
      </c>
      <c r="AM532" s="21">
        <v>0</v>
      </c>
      <c r="AN532" s="21">
        <v>0</v>
      </c>
      <c r="AP532" s="21">
        <v>10</v>
      </c>
      <c r="AQ532" s="21">
        <v>10</v>
      </c>
      <c r="AR532" s="21">
        <v>4</v>
      </c>
      <c r="AS532" s="21">
        <v>6</v>
      </c>
      <c r="AU532" s="21">
        <v>2</v>
      </c>
      <c r="AV532" s="21">
        <v>0</v>
      </c>
    </row>
    <row r="533" spans="1:48" x14ac:dyDescent="0.15">
      <c r="A533" s="20" t="s">
        <v>61</v>
      </c>
      <c r="B533" s="20" t="s">
        <v>98</v>
      </c>
      <c r="C533" s="21">
        <v>0</v>
      </c>
      <c r="D533" s="21">
        <v>14</v>
      </c>
      <c r="E533" s="21">
        <v>21439</v>
      </c>
      <c r="F533" s="21">
        <v>21453</v>
      </c>
      <c r="G533" s="21">
        <v>434</v>
      </c>
      <c r="H533" s="21">
        <v>2783</v>
      </c>
      <c r="I533" s="21">
        <v>7174</v>
      </c>
      <c r="J533" s="21">
        <v>9089</v>
      </c>
      <c r="K533" s="21">
        <v>879</v>
      </c>
      <c r="L533" s="21">
        <v>146</v>
      </c>
      <c r="M533" s="21">
        <v>0.77700000000000002</v>
      </c>
      <c r="N533" s="21">
        <v>0.77700000000000002</v>
      </c>
      <c r="O533" s="21">
        <v>8.1100000000000005E-2</v>
      </c>
      <c r="P533" s="21">
        <v>176</v>
      </c>
      <c r="Q533" s="21">
        <v>0.88639999999999997</v>
      </c>
      <c r="R533" s="21">
        <v>145</v>
      </c>
      <c r="S533" s="21">
        <v>122</v>
      </c>
      <c r="T533" s="21">
        <v>6.9800000000000001E-2</v>
      </c>
      <c r="U533" s="21">
        <v>8.6499999999999994E-2</v>
      </c>
      <c r="V533" s="21">
        <v>0.9</v>
      </c>
      <c r="AB533" s="21">
        <v>0</v>
      </c>
      <c r="AC533" s="21">
        <v>0</v>
      </c>
      <c r="AD533" s="21">
        <v>0</v>
      </c>
      <c r="AE533" s="21">
        <v>0</v>
      </c>
      <c r="AF533" s="21">
        <v>0</v>
      </c>
      <c r="AG533" s="21">
        <v>0</v>
      </c>
      <c r="AH533" s="21">
        <v>0</v>
      </c>
      <c r="AI533" s="21">
        <v>0</v>
      </c>
      <c r="AJ533" s="21">
        <v>0</v>
      </c>
      <c r="AK533" s="21">
        <v>0</v>
      </c>
      <c r="AL533" s="21">
        <v>0</v>
      </c>
      <c r="AM533" s="21">
        <v>0</v>
      </c>
      <c r="AN533" s="21">
        <v>0</v>
      </c>
      <c r="AP533" s="21">
        <v>0</v>
      </c>
      <c r="AQ533" s="21">
        <v>0</v>
      </c>
      <c r="AR533" s="21">
        <v>0</v>
      </c>
      <c r="AS533" s="21">
        <v>0</v>
      </c>
      <c r="AU533" s="21">
        <v>25</v>
      </c>
      <c r="AV533" s="21">
        <v>0</v>
      </c>
    </row>
    <row r="534" spans="1:48" x14ac:dyDescent="0.15">
      <c r="A534" s="20" t="s">
        <v>48</v>
      </c>
      <c r="B534" s="20" t="s">
        <v>99</v>
      </c>
      <c r="C534" s="21">
        <v>0</v>
      </c>
      <c r="D534" s="21">
        <v>0</v>
      </c>
      <c r="E534" s="21">
        <v>59234</v>
      </c>
      <c r="F534" s="21">
        <v>59234</v>
      </c>
      <c r="H534" s="21">
        <v>12226</v>
      </c>
      <c r="I534" s="21">
        <v>17008</v>
      </c>
      <c r="J534" s="21">
        <v>13707</v>
      </c>
      <c r="K534" s="21">
        <v>8411</v>
      </c>
      <c r="L534" s="21">
        <v>355</v>
      </c>
      <c r="M534" s="21">
        <v>0.75480000000000003</v>
      </c>
      <c r="N534" s="21">
        <v>0.75480000000000003</v>
      </c>
      <c r="O534" s="21">
        <v>2.8E-3</v>
      </c>
      <c r="P534" s="21">
        <v>733</v>
      </c>
      <c r="Q534" s="21">
        <v>0.63029999999999997</v>
      </c>
      <c r="R534" s="21">
        <v>173</v>
      </c>
      <c r="S534" s="21">
        <v>81</v>
      </c>
      <c r="T534" s="21">
        <v>7.4399999999999994E-2</v>
      </c>
      <c r="U534" s="21">
        <v>5.3699999999999998E-2</v>
      </c>
      <c r="V534" s="21">
        <v>1</v>
      </c>
      <c r="W534" s="21">
        <v>34</v>
      </c>
      <c r="X534" s="21">
        <v>29</v>
      </c>
      <c r="Y534" s="21">
        <v>69</v>
      </c>
      <c r="Z534" s="21">
        <v>0.3</v>
      </c>
      <c r="AA534" s="21">
        <v>0.4</v>
      </c>
      <c r="AB534" s="21">
        <v>119</v>
      </c>
      <c r="AC534" s="21">
        <v>119</v>
      </c>
      <c r="AD534" s="21">
        <v>116</v>
      </c>
      <c r="AE534" s="21">
        <v>7</v>
      </c>
      <c r="AF534" s="21">
        <v>6.1400000000000003E-2</v>
      </c>
      <c r="AG534" s="21">
        <v>0</v>
      </c>
      <c r="AH534" s="21">
        <v>0</v>
      </c>
      <c r="AI534" s="21">
        <v>0</v>
      </c>
      <c r="AJ534" s="21">
        <v>0.54549999999999998</v>
      </c>
      <c r="AK534" s="21">
        <v>0</v>
      </c>
      <c r="AL534" s="21">
        <v>0</v>
      </c>
      <c r="AM534" s="21">
        <v>0</v>
      </c>
      <c r="AN534" s="21">
        <v>0</v>
      </c>
      <c r="AO534" s="21">
        <v>0.65410000000000001</v>
      </c>
      <c r="AP534" s="21">
        <v>45</v>
      </c>
      <c r="AQ534" s="21">
        <v>45</v>
      </c>
      <c r="AR534" s="21">
        <v>43</v>
      </c>
      <c r="AS534" s="21">
        <v>1</v>
      </c>
      <c r="AU534" s="21">
        <v>3</v>
      </c>
      <c r="AV534" s="21">
        <v>26</v>
      </c>
    </row>
    <row r="535" spans="1:48" x14ac:dyDescent="0.15">
      <c r="A535" s="20" t="s">
        <v>50</v>
      </c>
      <c r="B535" s="20" t="s">
        <v>99</v>
      </c>
      <c r="C535" s="21">
        <v>0</v>
      </c>
      <c r="D535" s="21">
        <v>5</v>
      </c>
      <c r="E535" s="21">
        <v>58497</v>
      </c>
      <c r="F535" s="21">
        <v>58502</v>
      </c>
      <c r="G535" s="21">
        <v>1563</v>
      </c>
      <c r="H535" s="21">
        <v>31199</v>
      </c>
      <c r="I535" s="21">
        <v>0</v>
      </c>
      <c r="J535" s="21">
        <v>11999</v>
      </c>
      <c r="K535" s="21">
        <v>9584</v>
      </c>
      <c r="L535" s="21">
        <v>345</v>
      </c>
      <c r="M535" s="21">
        <v>0.90029999999999999</v>
      </c>
      <c r="N535" s="21">
        <v>0.89739999999999998</v>
      </c>
      <c r="O535" s="21">
        <v>1.9900000000000001E-2</v>
      </c>
      <c r="P535" s="21">
        <v>767</v>
      </c>
      <c r="Q535" s="21">
        <v>0.59970000000000001</v>
      </c>
      <c r="R535" s="21">
        <v>172</v>
      </c>
      <c r="S535" s="21">
        <v>76</v>
      </c>
      <c r="T535" s="21">
        <v>5.5199999999999999E-2</v>
      </c>
      <c r="U535" s="21">
        <v>5.6000000000000001E-2</v>
      </c>
      <c r="V535" s="21">
        <v>0.439</v>
      </c>
      <c r="W535" s="21">
        <v>38</v>
      </c>
      <c r="X535" s="21">
        <v>35</v>
      </c>
      <c r="Y535" s="21">
        <v>72</v>
      </c>
      <c r="Z535" s="21">
        <v>0.2</v>
      </c>
      <c r="AA535" s="21">
        <v>0.5</v>
      </c>
      <c r="AB535" s="21">
        <v>168</v>
      </c>
      <c r="AC535" s="21">
        <v>168</v>
      </c>
      <c r="AD535" s="21">
        <v>163</v>
      </c>
      <c r="AE535" s="21">
        <v>13</v>
      </c>
      <c r="AF535" s="21">
        <v>8.2299999999999998E-2</v>
      </c>
      <c r="AG535" s="21">
        <v>0</v>
      </c>
      <c r="AH535" s="21">
        <v>0</v>
      </c>
      <c r="AI535" s="21">
        <v>0</v>
      </c>
      <c r="AJ535" s="21">
        <v>1</v>
      </c>
      <c r="AK535" s="21">
        <v>0</v>
      </c>
      <c r="AL535" s="21">
        <v>0</v>
      </c>
      <c r="AM535" s="21">
        <v>0</v>
      </c>
      <c r="AN535" s="21">
        <v>0</v>
      </c>
      <c r="AO535" s="21">
        <v>0.70669999999999999</v>
      </c>
      <c r="AP535" s="21">
        <v>218</v>
      </c>
      <c r="AQ535" s="21">
        <v>148</v>
      </c>
      <c r="AR535" s="21">
        <v>113</v>
      </c>
      <c r="AS535" s="21">
        <v>7</v>
      </c>
      <c r="AT535" s="21">
        <v>28</v>
      </c>
      <c r="AU535" s="21">
        <v>4</v>
      </c>
      <c r="AV535" s="21">
        <v>19</v>
      </c>
    </row>
    <row r="536" spans="1:48" x14ac:dyDescent="0.15">
      <c r="A536" s="20" t="s">
        <v>51</v>
      </c>
      <c r="B536" s="20" t="s">
        <v>99</v>
      </c>
      <c r="C536" s="21">
        <v>0</v>
      </c>
      <c r="D536" s="21">
        <v>31</v>
      </c>
      <c r="E536" s="21">
        <v>144038</v>
      </c>
      <c r="F536" s="21">
        <v>144069</v>
      </c>
      <c r="G536" s="21">
        <v>3552</v>
      </c>
      <c r="H536" s="21">
        <v>25663</v>
      </c>
      <c r="I536" s="21">
        <v>29933</v>
      </c>
      <c r="J536" s="21">
        <v>28387</v>
      </c>
      <c r="K536" s="21">
        <v>55086</v>
      </c>
      <c r="L536" s="21">
        <v>1431</v>
      </c>
      <c r="M536" s="21">
        <v>0.80940000000000001</v>
      </c>
      <c r="N536" s="21">
        <v>0.80800000000000005</v>
      </c>
      <c r="O536" s="21">
        <v>2.2700000000000001E-2</v>
      </c>
      <c r="P536" s="21">
        <v>2965</v>
      </c>
      <c r="Q536" s="21">
        <v>0.68059999999999998</v>
      </c>
      <c r="R536" s="21">
        <v>101</v>
      </c>
      <c r="S536" s="21">
        <v>49</v>
      </c>
      <c r="T536" s="21">
        <v>0.1</v>
      </c>
      <c r="U536" s="21">
        <v>6.8599999999999994E-2</v>
      </c>
      <c r="V536" s="21">
        <v>0.87960000000000005</v>
      </c>
      <c r="W536" s="21">
        <v>156</v>
      </c>
      <c r="X536" s="21">
        <v>166</v>
      </c>
      <c r="Y536" s="21">
        <v>418</v>
      </c>
      <c r="Z536" s="21">
        <v>0.4</v>
      </c>
      <c r="AA536" s="21">
        <v>0.4</v>
      </c>
      <c r="AB536" s="21">
        <v>528</v>
      </c>
      <c r="AC536" s="21">
        <v>528</v>
      </c>
      <c r="AD536" s="21">
        <v>450</v>
      </c>
      <c r="AE536" s="21">
        <v>167</v>
      </c>
      <c r="AF536" s="21">
        <v>0.44769999999999999</v>
      </c>
      <c r="AG536" s="21">
        <v>0</v>
      </c>
      <c r="AH536" s="21">
        <v>0</v>
      </c>
      <c r="AI536" s="21">
        <v>0</v>
      </c>
      <c r="AJ536" s="21">
        <v>1</v>
      </c>
      <c r="AK536" s="21">
        <v>0</v>
      </c>
      <c r="AL536" s="21">
        <v>0</v>
      </c>
      <c r="AM536" s="21">
        <v>0</v>
      </c>
      <c r="AN536" s="21">
        <v>0</v>
      </c>
      <c r="AP536" s="21">
        <v>287</v>
      </c>
      <c r="AQ536" s="21">
        <v>172</v>
      </c>
      <c r="AR536" s="21">
        <v>124</v>
      </c>
      <c r="AS536" s="21">
        <v>47</v>
      </c>
      <c r="AT536" s="21">
        <v>0</v>
      </c>
      <c r="AU536" s="21">
        <v>55</v>
      </c>
      <c r="AV536" s="21">
        <v>0</v>
      </c>
    </row>
    <row r="537" spans="1:48" x14ac:dyDescent="0.15">
      <c r="A537" s="20" t="s">
        <v>52</v>
      </c>
      <c r="B537" s="20" t="s">
        <v>99</v>
      </c>
      <c r="C537" s="21">
        <v>0</v>
      </c>
      <c r="D537" s="21">
        <v>0</v>
      </c>
      <c r="E537" s="21">
        <v>93372</v>
      </c>
      <c r="F537" s="21">
        <v>93372</v>
      </c>
      <c r="G537" s="21">
        <v>7898</v>
      </c>
      <c r="H537" s="21">
        <v>3514</v>
      </c>
      <c r="I537" s="21">
        <v>28006</v>
      </c>
      <c r="J537" s="21">
        <v>29578</v>
      </c>
      <c r="K537" s="21">
        <v>9700</v>
      </c>
      <c r="L537" s="21">
        <v>513</v>
      </c>
      <c r="M537" s="21">
        <v>0.91400000000000003</v>
      </c>
      <c r="N537" s="21">
        <v>0.91200000000000003</v>
      </c>
      <c r="O537" s="21">
        <v>3.8E-3</v>
      </c>
      <c r="P537" s="21">
        <v>1546</v>
      </c>
      <c r="Q537" s="21">
        <v>0.55500000000000005</v>
      </c>
      <c r="R537" s="21">
        <v>185</v>
      </c>
      <c r="S537" s="21">
        <v>60</v>
      </c>
      <c r="T537" s="21">
        <v>7.5700000000000003E-2</v>
      </c>
      <c r="U537" s="21">
        <v>7.3499999999999996E-2</v>
      </c>
      <c r="V537" s="21">
        <v>0.52</v>
      </c>
      <c r="W537" s="21">
        <v>176</v>
      </c>
      <c r="X537" s="21">
        <v>84</v>
      </c>
      <c r="Y537" s="21">
        <v>71</v>
      </c>
      <c r="Z537" s="21">
        <v>0.6</v>
      </c>
      <c r="AA537" s="21">
        <v>1.2</v>
      </c>
      <c r="AB537" s="21">
        <v>139</v>
      </c>
      <c r="AC537" s="21">
        <v>132</v>
      </c>
      <c r="AD537" s="21">
        <v>138</v>
      </c>
      <c r="AE537" s="21">
        <v>7</v>
      </c>
      <c r="AF537" s="21">
        <v>5.1499999999999997E-2</v>
      </c>
      <c r="AG537" s="21">
        <v>0</v>
      </c>
      <c r="AH537" s="21">
        <v>0</v>
      </c>
      <c r="AI537" s="21">
        <v>0</v>
      </c>
      <c r="AJ537" s="21">
        <v>0.77780000000000005</v>
      </c>
      <c r="AK537" s="21">
        <v>0</v>
      </c>
      <c r="AL537" s="21">
        <v>0</v>
      </c>
      <c r="AM537" s="21">
        <v>0</v>
      </c>
      <c r="AN537" s="21">
        <v>0</v>
      </c>
      <c r="AO537" s="21">
        <v>0.84719999999999995</v>
      </c>
      <c r="AP537" s="21">
        <v>13</v>
      </c>
      <c r="AQ537" s="21">
        <v>13</v>
      </c>
      <c r="AR537" s="21">
        <v>0</v>
      </c>
      <c r="AS537" s="21">
        <v>13</v>
      </c>
      <c r="AT537" s="21">
        <v>0</v>
      </c>
      <c r="AU537" s="21">
        <v>34</v>
      </c>
      <c r="AV537" s="21">
        <v>35</v>
      </c>
    </row>
    <row r="538" spans="1:48" x14ac:dyDescent="0.15">
      <c r="A538" s="20" t="s">
        <v>53</v>
      </c>
      <c r="B538" s="20" t="s">
        <v>99</v>
      </c>
      <c r="C538" s="21">
        <v>0</v>
      </c>
      <c r="D538" s="21">
        <v>0</v>
      </c>
      <c r="E538" s="21">
        <v>0</v>
      </c>
      <c r="F538" s="21">
        <v>0</v>
      </c>
      <c r="AB538" s="21">
        <v>0</v>
      </c>
      <c r="AC538" s="21">
        <v>0</v>
      </c>
      <c r="AD538" s="21">
        <v>0</v>
      </c>
      <c r="AE538" s="21">
        <v>0</v>
      </c>
      <c r="AF538" s="21">
        <v>0</v>
      </c>
      <c r="AG538" s="21">
        <v>0</v>
      </c>
      <c r="AH538" s="21">
        <v>0</v>
      </c>
      <c r="AI538" s="21">
        <v>0</v>
      </c>
      <c r="AJ538" s="21">
        <v>0</v>
      </c>
      <c r="AK538" s="21">
        <v>0</v>
      </c>
      <c r="AL538" s="21">
        <v>0</v>
      </c>
      <c r="AM538" s="21">
        <v>0</v>
      </c>
      <c r="AN538" s="21">
        <v>0</v>
      </c>
    </row>
    <row r="539" spans="1:48" x14ac:dyDescent="0.15">
      <c r="A539" s="20" t="s">
        <v>0</v>
      </c>
      <c r="B539" s="20" t="s">
        <v>99</v>
      </c>
      <c r="C539" s="21">
        <v>0</v>
      </c>
      <c r="D539" s="21">
        <v>1310</v>
      </c>
      <c r="E539" s="21">
        <v>551837</v>
      </c>
      <c r="F539" s="21">
        <v>553147</v>
      </c>
      <c r="G539" s="21">
        <v>23810</v>
      </c>
      <c r="H539" s="21">
        <v>99100</v>
      </c>
      <c r="I539" s="21">
        <v>121271</v>
      </c>
      <c r="J539" s="21">
        <v>137333</v>
      </c>
      <c r="K539" s="21">
        <v>121142</v>
      </c>
      <c r="L539" s="21">
        <v>3521</v>
      </c>
      <c r="M539" s="21">
        <v>0.82189999999999996</v>
      </c>
      <c r="N539" s="21">
        <v>0.81940000000000002</v>
      </c>
      <c r="O539" s="21">
        <v>4.2599999999999999E-2</v>
      </c>
      <c r="P539" s="21">
        <v>7395</v>
      </c>
      <c r="Q539" s="21">
        <v>0.65029999999999999</v>
      </c>
      <c r="R539" s="21">
        <v>160</v>
      </c>
      <c r="S539" s="21">
        <v>75</v>
      </c>
      <c r="T539" s="21">
        <v>8.0600000000000005E-2</v>
      </c>
      <c r="U539" s="21">
        <v>6.7400000000000002E-2</v>
      </c>
      <c r="V539" s="21">
        <v>0.71640000000000004</v>
      </c>
      <c r="W539" s="21">
        <v>488</v>
      </c>
      <c r="X539" s="21">
        <v>393</v>
      </c>
      <c r="Y539" s="21">
        <v>789</v>
      </c>
      <c r="Z539" s="21">
        <v>0.3</v>
      </c>
      <c r="AA539" s="21">
        <v>0.5</v>
      </c>
      <c r="AB539" s="21">
        <v>1250</v>
      </c>
      <c r="AC539" s="21">
        <v>1243</v>
      </c>
      <c r="AD539" s="21">
        <v>1150</v>
      </c>
      <c r="AE539" s="21">
        <v>230</v>
      </c>
      <c r="AF539" s="21">
        <v>0.219</v>
      </c>
      <c r="AG539" s="21">
        <v>0</v>
      </c>
      <c r="AH539" s="21">
        <v>0</v>
      </c>
      <c r="AI539" s="21">
        <v>0</v>
      </c>
      <c r="AJ539" s="21">
        <v>0.83720000000000006</v>
      </c>
      <c r="AK539" s="21">
        <v>0</v>
      </c>
      <c r="AL539" s="21">
        <v>0</v>
      </c>
      <c r="AM539" s="21">
        <v>0</v>
      </c>
      <c r="AN539" s="21">
        <v>0</v>
      </c>
      <c r="AO539" s="21">
        <v>0.76759999999999995</v>
      </c>
      <c r="AP539" s="21">
        <v>2820</v>
      </c>
      <c r="AQ539" s="21">
        <v>719</v>
      </c>
      <c r="AR539" s="21">
        <v>577</v>
      </c>
      <c r="AS539" s="21">
        <v>114</v>
      </c>
      <c r="AT539" s="21">
        <v>28</v>
      </c>
      <c r="AU539" s="21">
        <v>290</v>
      </c>
      <c r="AV539" s="21">
        <v>178</v>
      </c>
    </row>
    <row r="540" spans="1:48" x14ac:dyDescent="0.15">
      <c r="A540" s="20" t="s">
        <v>54</v>
      </c>
      <c r="B540" s="20" t="s">
        <v>99</v>
      </c>
      <c r="C540" s="21">
        <v>0</v>
      </c>
      <c r="D540" s="21">
        <v>0</v>
      </c>
      <c r="E540" s="21">
        <v>3047</v>
      </c>
      <c r="F540" s="21">
        <v>3047</v>
      </c>
      <c r="I540" s="21">
        <v>3047</v>
      </c>
      <c r="L540" s="21">
        <v>19</v>
      </c>
      <c r="M540" s="21">
        <v>0.73680000000000001</v>
      </c>
      <c r="N540" s="21">
        <v>0.73680000000000001</v>
      </c>
      <c r="O540" s="21">
        <v>0</v>
      </c>
      <c r="P540" s="21">
        <v>24</v>
      </c>
      <c r="Q540" s="21">
        <v>0.83330000000000004</v>
      </c>
      <c r="R540" s="21">
        <v>203</v>
      </c>
      <c r="S540" s="21">
        <v>127</v>
      </c>
      <c r="T540" s="21">
        <v>0.1002</v>
      </c>
      <c r="U540" s="21">
        <v>0</v>
      </c>
      <c r="AB540" s="21">
        <v>0</v>
      </c>
      <c r="AC540" s="21">
        <v>0</v>
      </c>
      <c r="AD540" s="21">
        <v>0</v>
      </c>
      <c r="AE540" s="21">
        <v>0</v>
      </c>
      <c r="AF540" s="21">
        <v>0</v>
      </c>
      <c r="AG540" s="21">
        <v>0</v>
      </c>
      <c r="AH540" s="21">
        <v>0</v>
      </c>
      <c r="AI540" s="21">
        <v>0</v>
      </c>
      <c r="AJ540" s="21">
        <v>0</v>
      </c>
      <c r="AK540" s="21">
        <v>0</v>
      </c>
      <c r="AL540" s="21">
        <v>0</v>
      </c>
      <c r="AM540" s="21">
        <v>0</v>
      </c>
      <c r="AN540" s="21">
        <v>0</v>
      </c>
      <c r="AP540" s="21">
        <v>54</v>
      </c>
      <c r="AQ540" s="21">
        <v>39</v>
      </c>
      <c r="AR540" s="21">
        <v>38</v>
      </c>
      <c r="AS540" s="21">
        <v>1</v>
      </c>
      <c r="AV540" s="21">
        <v>0</v>
      </c>
    </row>
    <row r="541" spans="1:48" x14ac:dyDescent="0.15">
      <c r="A541" s="20" t="s">
        <v>55</v>
      </c>
      <c r="B541" s="20" t="s">
        <v>99</v>
      </c>
      <c r="C541" s="21">
        <v>0</v>
      </c>
      <c r="D541" s="21">
        <v>0</v>
      </c>
      <c r="E541" s="21">
        <v>0</v>
      </c>
      <c r="F541" s="21">
        <v>0</v>
      </c>
      <c r="AB541" s="21">
        <v>0</v>
      </c>
      <c r="AC541" s="21">
        <v>0</v>
      </c>
      <c r="AD541" s="21">
        <v>0</v>
      </c>
      <c r="AE541" s="21">
        <v>0</v>
      </c>
      <c r="AF541" s="21">
        <v>0</v>
      </c>
      <c r="AG541" s="21">
        <v>0</v>
      </c>
      <c r="AH541" s="21">
        <v>0</v>
      </c>
      <c r="AI541" s="21">
        <v>0</v>
      </c>
      <c r="AJ541" s="21">
        <v>0</v>
      </c>
      <c r="AK541" s="21">
        <v>0</v>
      </c>
      <c r="AL541" s="21">
        <v>0</v>
      </c>
      <c r="AM541" s="21">
        <v>0</v>
      </c>
      <c r="AN541" s="21">
        <v>0</v>
      </c>
    </row>
    <row r="542" spans="1:48" x14ac:dyDescent="0.15">
      <c r="A542" s="20" t="s">
        <v>56</v>
      </c>
      <c r="B542" s="20" t="s">
        <v>99</v>
      </c>
      <c r="C542" s="21">
        <v>0</v>
      </c>
      <c r="D542" s="21">
        <v>1</v>
      </c>
      <c r="E542" s="21">
        <v>32322</v>
      </c>
      <c r="F542" s="21">
        <v>32323</v>
      </c>
      <c r="H542" s="21">
        <v>1523</v>
      </c>
      <c r="J542" s="21">
        <v>2930</v>
      </c>
      <c r="K542" s="21">
        <v>22975</v>
      </c>
      <c r="L542" s="21">
        <v>93</v>
      </c>
      <c r="M542" s="21">
        <v>0.8367</v>
      </c>
      <c r="N542" s="21">
        <v>0.8367</v>
      </c>
      <c r="O542" s="21">
        <v>1.0200000000000001E-2</v>
      </c>
      <c r="P542" s="21">
        <v>280</v>
      </c>
      <c r="Q542" s="21">
        <v>0.7429</v>
      </c>
      <c r="R542" s="21">
        <v>372</v>
      </c>
      <c r="S542" s="21">
        <v>115</v>
      </c>
      <c r="T542" s="21">
        <v>7.7299999999999994E-2</v>
      </c>
      <c r="U542" s="21">
        <v>1.84E-2</v>
      </c>
      <c r="AB542" s="21">
        <v>0</v>
      </c>
      <c r="AC542" s="21">
        <v>0</v>
      </c>
      <c r="AD542" s="21">
        <v>0</v>
      </c>
      <c r="AE542" s="21">
        <v>0</v>
      </c>
      <c r="AF542" s="21">
        <v>0</v>
      </c>
      <c r="AG542" s="21">
        <v>0</v>
      </c>
      <c r="AH542" s="21">
        <v>0</v>
      </c>
      <c r="AI542" s="21">
        <v>0</v>
      </c>
      <c r="AJ542" s="21">
        <v>0</v>
      </c>
      <c r="AK542" s="21">
        <v>0</v>
      </c>
      <c r="AL542" s="21">
        <v>0</v>
      </c>
      <c r="AM542" s="21">
        <v>0</v>
      </c>
      <c r="AN542" s="21">
        <v>0</v>
      </c>
      <c r="AP542" s="21">
        <v>1603</v>
      </c>
      <c r="AQ542" s="21">
        <v>53</v>
      </c>
      <c r="AR542" s="21">
        <v>16</v>
      </c>
      <c r="AS542" s="21">
        <v>38</v>
      </c>
      <c r="AU542" s="21">
        <v>0</v>
      </c>
      <c r="AV542" s="21">
        <v>0</v>
      </c>
    </row>
    <row r="543" spans="1:48" x14ac:dyDescent="0.15">
      <c r="A543" s="20" t="s">
        <v>57</v>
      </c>
      <c r="B543" s="20" t="s">
        <v>99</v>
      </c>
      <c r="C543" s="21">
        <v>0</v>
      </c>
      <c r="D543" s="21">
        <v>1252</v>
      </c>
      <c r="E543" s="21">
        <v>96546</v>
      </c>
      <c r="F543" s="21">
        <v>97798</v>
      </c>
      <c r="G543" s="21">
        <v>6452</v>
      </c>
      <c r="H543" s="21">
        <v>14072</v>
      </c>
      <c r="I543" s="21">
        <v>21362</v>
      </c>
      <c r="J543" s="21">
        <v>29452</v>
      </c>
      <c r="K543" s="21">
        <v>11491</v>
      </c>
      <c r="L543" s="21">
        <v>385</v>
      </c>
      <c r="M543" s="21">
        <v>0.76959999999999995</v>
      </c>
      <c r="N543" s="21">
        <v>0.75700000000000001</v>
      </c>
      <c r="O543" s="21">
        <v>0.24560000000000001</v>
      </c>
      <c r="P543" s="21">
        <v>587</v>
      </c>
      <c r="Q543" s="21">
        <v>0.6371</v>
      </c>
      <c r="R543" s="21">
        <v>257</v>
      </c>
      <c r="S543" s="21">
        <v>167</v>
      </c>
      <c r="T543" s="21">
        <v>7.3999999999999996E-2</v>
      </c>
      <c r="U543" s="21">
        <v>6.93E-2</v>
      </c>
      <c r="V543" s="21">
        <v>0.7994</v>
      </c>
      <c r="W543" s="21">
        <v>85</v>
      </c>
      <c r="X543" s="21">
        <v>79</v>
      </c>
      <c r="Y543" s="21">
        <v>159</v>
      </c>
      <c r="Z543" s="21">
        <v>0.3</v>
      </c>
      <c r="AA543" s="21">
        <v>0.5</v>
      </c>
      <c r="AB543" s="21">
        <v>296</v>
      </c>
      <c r="AC543" s="21">
        <v>296</v>
      </c>
      <c r="AD543" s="21">
        <v>282</v>
      </c>
      <c r="AE543" s="21">
        <v>36</v>
      </c>
      <c r="AF543" s="21">
        <v>0.1338</v>
      </c>
      <c r="AG543" s="21">
        <v>0</v>
      </c>
      <c r="AH543" s="21">
        <v>0</v>
      </c>
      <c r="AI543" s="21">
        <v>0</v>
      </c>
      <c r="AJ543" s="21">
        <v>1</v>
      </c>
      <c r="AK543" s="21">
        <v>0</v>
      </c>
      <c r="AL543" s="21">
        <v>0</v>
      </c>
      <c r="AM543" s="21">
        <v>0</v>
      </c>
      <c r="AN543" s="21">
        <v>0</v>
      </c>
      <c r="AO543" s="21">
        <v>0.79969999999999997</v>
      </c>
      <c r="AP543" s="21">
        <v>336</v>
      </c>
      <c r="AQ543" s="21">
        <v>234</v>
      </c>
      <c r="AR543" s="21">
        <v>233</v>
      </c>
      <c r="AS543" s="21">
        <v>1</v>
      </c>
      <c r="AT543" s="21">
        <v>0</v>
      </c>
      <c r="AU543" s="21">
        <v>174</v>
      </c>
      <c r="AV543" s="21">
        <v>98</v>
      </c>
    </row>
    <row r="544" spans="1:48" x14ac:dyDescent="0.15">
      <c r="A544" s="20" t="s">
        <v>58</v>
      </c>
      <c r="B544" s="20" t="s">
        <v>99</v>
      </c>
      <c r="C544" s="21">
        <v>0</v>
      </c>
      <c r="D544" s="21">
        <v>0</v>
      </c>
      <c r="E544" s="21">
        <v>0</v>
      </c>
      <c r="F544" s="21">
        <v>0</v>
      </c>
      <c r="L544" s="21">
        <v>11</v>
      </c>
      <c r="M544" s="21">
        <v>0</v>
      </c>
      <c r="N544" s="21">
        <v>0</v>
      </c>
      <c r="O544" s="21">
        <v>0</v>
      </c>
      <c r="P544" s="21">
        <v>0</v>
      </c>
      <c r="R544" s="21">
        <v>0</v>
      </c>
      <c r="AB544" s="21">
        <v>0</v>
      </c>
      <c r="AC544" s="21">
        <v>0</v>
      </c>
      <c r="AD544" s="21">
        <v>0</v>
      </c>
      <c r="AE544" s="21">
        <v>0</v>
      </c>
      <c r="AF544" s="21">
        <v>0</v>
      </c>
      <c r="AG544" s="21">
        <v>0</v>
      </c>
      <c r="AH544" s="21">
        <v>0</v>
      </c>
      <c r="AI544" s="21">
        <v>0</v>
      </c>
      <c r="AJ544" s="21">
        <v>0</v>
      </c>
      <c r="AK544" s="21">
        <v>0</v>
      </c>
      <c r="AL544" s="21">
        <v>0</v>
      </c>
      <c r="AM544" s="21">
        <v>0</v>
      </c>
      <c r="AN544" s="21">
        <v>0</v>
      </c>
      <c r="AP544" s="21">
        <v>0</v>
      </c>
      <c r="AQ544" s="21">
        <v>0</v>
      </c>
      <c r="AS544" s="21">
        <v>0</v>
      </c>
      <c r="AV544" s="21">
        <v>0</v>
      </c>
    </row>
    <row r="545" spans="1:48" x14ac:dyDescent="0.15">
      <c r="A545" s="20" t="s">
        <v>59</v>
      </c>
      <c r="B545" s="20" t="s">
        <v>99</v>
      </c>
      <c r="C545" s="21">
        <v>0</v>
      </c>
      <c r="D545" s="21">
        <v>0</v>
      </c>
      <c r="E545" s="21">
        <v>0</v>
      </c>
      <c r="F545" s="21">
        <v>0</v>
      </c>
      <c r="AB545" s="21">
        <v>0</v>
      </c>
      <c r="AC545" s="21">
        <v>0</v>
      </c>
      <c r="AD545" s="21">
        <v>0</v>
      </c>
      <c r="AE545" s="21">
        <v>0</v>
      </c>
      <c r="AF545" s="21">
        <v>0</v>
      </c>
      <c r="AG545" s="21">
        <v>0</v>
      </c>
      <c r="AH545" s="21">
        <v>0</v>
      </c>
      <c r="AI545" s="21">
        <v>0</v>
      </c>
      <c r="AJ545" s="21">
        <v>0</v>
      </c>
      <c r="AK545" s="21">
        <v>0</v>
      </c>
      <c r="AL545" s="21">
        <v>0</v>
      </c>
      <c r="AM545" s="21">
        <v>0</v>
      </c>
      <c r="AN545" s="21">
        <v>0</v>
      </c>
    </row>
    <row r="546" spans="1:48" x14ac:dyDescent="0.15">
      <c r="A546" s="20" t="s">
        <v>60</v>
      </c>
      <c r="B546" s="20" t="s">
        <v>99</v>
      </c>
      <c r="C546" s="21">
        <v>0</v>
      </c>
      <c r="D546" s="21">
        <v>2</v>
      </c>
      <c r="E546" s="21">
        <v>39742</v>
      </c>
      <c r="F546" s="21">
        <v>39744</v>
      </c>
      <c r="G546" s="21">
        <v>1688</v>
      </c>
      <c r="H546" s="21">
        <v>8538</v>
      </c>
      <c r="I546" s="21">
        <v>13871</v>
      </c>
      <c r="J546" s="21">
        <v>13198</v>
      </c>
      <c r="K546" s="21">
        <v>2449</v>
      </c>
      <c r="L546" s="21">
        <v>226</v>
      </c>
      <c r="M546" s="21">
        <v>0.79830000000000001</v>
      </c>
      <c r="N546" s="21">
        <v>0.79830000000000001</v>
      </c>
      <c r="O546" s="21">
        <v>4.3E-3</v>
      </c>
      <c r="P546" s="21">
        <v>317</v>
      </c>
      <c r="Q546" s="21">
        <v>0.76339999999999997</v>
      </c>
      <c r="R546" s="21">
        <v>177</v>
      </c>
      <c r="S546" s="21">
        <v>125</v>
      </c>
      <c r="T546" s="21">
        <v>7.5700000000000003E-2</v>
      </c>
      <c r="U546" s="21">
        <v>6.9500000000000006E-2</v>
      </c>
      <c r="V546" s="21">
        <v>1</v>
      </c>
      <c r="W546" s="21">
        <v>0</v>
      </c>
      <c r="X546" s="21">
        <v>0</v>
      </c>
      <c r="Y546" s="21">
        <v>0</v>
      </c>
      <c r="AB546" s="21">
        <v>0</v>
      </c>
      <c r="AC546" s="21">
        <v>0</v>
      </c>
      <c r="AD546" s="21">
        <v>0</v>
      </c>
      <c r="AE546" s="21">
        <v>0</v>
      </c>
      <c r="AF546" s="21">
        <v>0</v>
      </c>
      <c r="AG546" s="21">
        <v>0</v>
      </c>
      <c r="AH546" s="21">
        <v>0</v>
      </c>
      <c r="AI546" s="21">
        <v>0</v>
      </c>
      <c r="AJ546" s="21">
        <v>0</v>
      </c>
      <c r="AK546" s="21">
        <v>0</v>
      </c>
      <c r="AL546" s="21">
        <v>0</v>
      </c>
      <c r="AM546" s="21">
        <v>0</v>
      </c>
      <c r="AN546" s="21">
        <v>0</v>
      </c>
      <c r="AP546" s="21">
        <v>265</v>
      </c>
      <c r="AQ546" s="21">
        <v>15</v>
      </c>
      <c r="AR546" s="21">
        <v>10</v>
      </c>
      <c r="AS546" s="21">
        <v>5</v>
      </c>
      <c r="AU546" s="21">
        <v>6</v>
      </c>
      <c r="AV546" s="21">
        <v>0</v>
      </c>
    </row>
    <row r="547" spans="1:48" x14ac:dyDescent="0.15">
      <c r="A547" s="20" t="s">
        <v>61</v>
      </c>
      <c r="B547" s="20" t="s">
        <v>99</v>
      </c>
      <c r="C547" s="21">
        <v>0</v>
      </c>
      <c r="D547" s="21">
        <v>18</v>
      </c>
      <c r="E547" s="21">
        <v>25040</v>
      </c>
      <c r="F547" s="21">
        <v>25058</v>
      </c>
      <c r="G547" s="21">
        <v>2656</v>
      </c>
      <c r="H547" s="21">
        <v>2366</v>
      </c>
      <c r="I547" s="21">
        <v>8043</v>
      </c>
      <c r="J547" s="21">
        <v>8083</v>
      </c>
      <c r="K547" s="21">
        <v>1446</v>
      </c>
      <c r="L547" s="21">
        <v>143</v>
      </c>
      <c r="M547" s="21">
        <v>0.8367</v>
      </c>
      <c r="N547" s="21">
        <v>0.8367</v>
      </c>
      <c r="O547" s="21">
        <v>7.4800000000000005E-2</v>
      </c>
      <c r="P547" s="21">
        <v>176</v>
      </c>
      <c r="Q547" s="21">
        <v>0.94889999999999997</v>
      </c>
      <c r="R547" s="21">
        <v>173</v>
      </c>
      <c r="S547" s="21">
        <v>142</v>
      </c>
      <c r="T547" s="21">
        <v>9.1600000000000001E-2</v>
      </c>
      <c r="U547" s="21">
        <v>8.3900000000000002E-2</v>
      </c>
      <c r="V547" s="21">
        <v>0.20250000000000001</v>
      </c>
      <c r="AB547" s="21">
        <v>0</v>
      </c>
      <c r="AC547" s="21">
        <v>0</v>
      </c>
      <c r="AD547" s="21">
        <v>0</v>
      </c>
      <c r="AE547" s="21">
        <v>0</v>
      </c>
      <c r="AF547" s="21">
        <v>0</v>
      </c>
      <c r="AG547" s="21">
        <v>0</v>
      </c>
      <c r="AH547" s="21">
        <v>0</v>
      </c>
      <c r="AI547" s="21">
        <v>0</v>
      </c>
      <c r="AJ547" s="21">
        <v>0</v>
      </c>
      <c r="AK547" s="21">
        <v>0</v>
      </c>
      <c r="AL547" s="21">
        <v>0</v>
      </c>
      <c r="AM547" s="21">
        <v>0</v>
      </c>
      <c r="AN547" s="21">
        <v>0</v>
      </c>
      <c r="AP547" s="21">
        <v>0</v>
      </c>
      <c r="AQ547" s="21">
        <v>0</v>
      </c>
      <c r="AR547" s="21">
        <v>0</v>
      </c>
      <c r="AS547" s="21">
        <v>0</v>
      </c>
      <c r="AU547" s="21">
        <v>14</v>
      </c>
      <c r="AV547" s="21">
        <v>0</v>
      </c>
    </row>
    <row r="548" spans="1:48" x14ac:dyDescent="0.15">
      <c r="A548" s="20" t="s">
        <v>48</v>
      </c>
      <c r="B548" s="20" t="s">
        <v>100</v>
      </c>
      <c r="C548" s="21">
        <v>0</v>
      </c>
      <c r="D548" s="21">
        <v>1</v>
      </c>
      <c r="E548" s="21">
        <v>69091</v>
      </c>
      <c r="F548" s="21">
        <v>69092</v>
      </c>
      <c r="H548" s="21">
        <v>23030</v>
      </c>
      <c r="I548" s="21">
        <v>14726</v>
      </c>
      <c r="J548" s="21">
        <v>13579</v>
      </c>
      <c r="K548" s="21">
        <v>6616</v>
      </c>
      <c r="L548" s="21">
        <v>373</v>
      </c>
      <c r="M548" s="21">
        <v>0.75460000000000005</v>
      </c>
      <c r="N548" s="21">
        <v>0.75460000000000005</v>
      </c>
      <c r="O548" s="21">
        <v>5.1999999999999998E-3</v>
      </c>
      <c r="P548" s="21">
        <v>740</v>
      </c>
      <c r="Q548" s="21">
        <v>0.66890000000000005</v>
      </c>
      <c r="R548" s="21">
        <v>190</v>
      </c>
      <c r="S548" s="21">
        <v>93</v>
      </c>
      <c r="T548" s="21">
        <v>8.5699999999999998E-2</v>
      </c>
      <c r="U548" s="21">
        <v>5.0999999999999997E-2</v>
      </c>
      <c r="W548" s="21">
        <v>54</v>
      </c>
      <c r="X548" s="21">
        <v>55</v>
      </c>
      <c r="Y548" s="21">
        <v>106</v>
      </c>
      <c r="Z548" s="21">
        <v>0.5</v>
      </c>
      <c r="AA548" s="21">
        <v>0.5</v>
      </c>
      <c r="AB548" s="21">
        <v>123</v>
      </c>
      <c r="AC548" s="21">
        <v>123</v>
      </c>
      <c r="AD548" s="21">
        <v>121</v>
      </c>
      <c r="AE548" s="21">
        <v>5</v>
      </c>
      <c r="AF548" s="21">
        <v>4.2000000000000003E-2</v>
      </c>
      <c r="AG548" s="21">
        <v>0</v>
      </c>
      <c r="AH548" s="21">
        <v>0</v>
      </c>
      <c r="AI548" s="21">
        <v>0</v>
      </c>
      <c r="AJ548" s="21">
        <v>0.8</v>
      </c>
      <c r="AK548" s="21">
        <v>0</v>
      </c>
      <c r="AL548" s="21">
        <v>0</v>
      </c>
      <c r="AM548" s="21">
        <v>0</v>
      </c>
      <c r="AN548" s="21">
        <v>0</v>
      </c>
      <c r="AO548" s="21">
        <v>0.79749999999999999</v>
      </c>
      <c r="AP548" s="21">
        <v>71</v>
      </c>
      <c r="AQ548" s="21">
        <v>61</v>
      </c>
      <c r="AR548" s="21">
        <v>46</v>
      </c>
      <c r="AS548" s="21">
        <v>14</v>
      </c>
      <c r="AU548" s="21">
        <v>7</v>
      </c>
      <c r="AV548" s="21">
        <v>47</v>
      </c>
    </row>
    <row r="549" spans="1:48" x14ac:dyDescent="0.15">
      <c r="A549" s="20" t="s">
        <v>50</v>
      </c>
      <c r="B549" s="20" t="s">
        <v>100</v>
      </c>
      <c r="C549" s="21">
        <v>0</v>
      </c>
      <c r="D549" s="21">
        <v>3</v>
      </c>
      <c r="E549" s="21">
        <v>70948</v>
      </c>
      <c r="F549" s="21">
        <v>70951</v>
      </c>
      <c r="G549" s="21">
        <v>0</v>
      </c>
      <c r="H549" s="21">
        <v>40451</v>
      </c>
      <c r="I549" s="21">
        <v>0</v>
      </c>
      <c r="J549" s="21">
        <v>17481</v>
      </c>
      <c r="K549" s="21">
        <v>5815</v>
      </c>
      <c r="L549" s="21">
        <v>373</v>
      </c>
      <c r="M549" s="21">
        <v>0.91490000000000005</v>
      </c>
      <c r="N549" s="21">
        <v>0.91490000000000005</v>
      </c>
      <c r="O549" s="21">
        <v>1.06E-2</v>
      </c>
      <c r="P549" s="21">
        <v>833</v>
      </c>
      <c r="Q549" s="21">
        <v>0.68910000000000005</v>
      </c>
      <c r="R549" s="21">
        <v>198</v>
      </c>
      <c r="S549" s="21">
        <v>85</v>
      </c>
      <c r="T549" s="21">
        <v>7.17E-2</v>
      </c>
      <c r="U549" s="21">
        <v>5.2699999999999997E-2</v>
      </c>
      <c r="V549" s="21">
        <v>1</v>
      </c>
      <c r="W549" s="21">
        <v>47</v>
      </c>
      <c r="X549" s="21">
        <v>51</v>
      </c>
      <c r="Y549" s="21">
        <v>128</v>
      </c>
      <c r="Z549" s="21">
        <v>0.3</v>
      </c>
      <c r="AA549" s="21">
        <v>0.4</v>
      </c>
      <c r="AB549" s="21">
        <v>186</v>
      </c>
      <c r="AC549" s="21">
        <v>185</v>
      </c>
      <c r="AD549" s="21">
        <v>177</v>
      </c>
      <c r="AE549" s="21">
        <v>35</v>
      </c>
      <c r="AF549" s="21">
        <v>0.20830000000000001</v>
      </c>
      <c r="AG549" s="21">
        <v>0</v>
      </c>
      <c r="AH549" s="21">
        <v>0</v>
      </c>
      <c r="AI549" s="21">
        <v>0</v>
      </c>
      <c r="AJ549" s="21">
        <v>0.44440000000000002</v>
      </c>
      <c r="AK549" s="21">
        <v>0</v>
      </c>
      <c r="AL549" s="21">
        <v>0</v>
      </c>
      <c r="AM549" s="21">
        <v>0</v>
      </c>
      <c r="AN549" s="21">
        <v>0</v>
      </c>
      <c r="AO549" s="21">
        <v>0.87560000000000004</v>
      </c>
      <c r="AP549" s="21">
        <v>429</v>
      </c>
      <c r="AQ549" s="21">
        <v>125</v>
      </c>
      <c r="AR549" s="21">
        <v>60</v>
      </c>
      <c r="AS549" s="21">
        <v>2</v>
      </c>
      <c r="AT549" s="21">
        <v>63</v>
      </c>
      <c r="AU549" s="21">
        <v>26</v>
      </c>
      <c r="AV549" s="21">
        <v>18</v>
      </c>
    </row>
    <row r="550" spans="1:48" x14ac:dyDescent="0.15">
      <c r="A550" s="20" t="s">
        <v>51</v>
      </c>
      <c r="B550" s="20" t="s">
        <v>100</v>
      </c>
      <c r="C550" s="21">
        <v>0</v>
      </c>
      <c r="D550" s="21">
        <v>25</v>
      </c>
      <c r="E550" s="21">
        <v>156001</v>
      </c>
      <c r="F550" s="21">
        <v>156026</v>
      </c>
      <c r="G550" s="21">
        <v>-9</v>
      </c>
      <c r="H550" s="21">
        <v>41770</v>
      </c>
      <c r="I550" s="21">
        <v>35148</v>
      </c>
      <c r="J550" s="21">
        <v>30616</v>
      </c>
      <c r="K550" s="21">
        <v>46075</v>
      </c>
      <c r="L550" s="21">
        <v>1475</v>
      </c>
      <c r="M550" s="21">
        <v>0.80620000000000003</v>
      </c>
      <c r="N550" s="21">
        <v>0.80479999999999996</v>
      </c>
      <c r="O550" s="21">
        <v>1.21E-2</v>
      </c>
      <c r="P550" s="21">
        <v>3088</v>
      </c>
      <c r="Q550" s="21">
        <v>0.66900000000000004</v>
      </c>
      <c r="R550" s="21">
        <v>107</v>
      </c>
      <c r="S550" s="21">
        <v>51</v>
      </c>
      <c r="T550" s="21">
        <v>9.5500000000000002E-2</v>
      </c>
      <c r="U550" s="21">
        <v>6.6600000000000006E-2</v>
      </c>
      <c r="V550" s="21">
        <v>0.90949999999999998</v>
      </c>
      <c r="W550" s="21">
        <v>196</v>
      </c>
      <c r="X550" s="21">
        <v>196</v>
      </c>
      <c r="Y550" s="21">
        <v>479</v>
      </c>
      <c r="Z550" s="21">
        <v>0.3</v>
      </c>
      <c r="AA550" s="21">
        <v>0.4</v>
      </c>
      <c r="AB550" s="21">
        <v>663</v>
      </c>
      <c r="AC550" s="21">
        <v>663</v>
      </c>
      <c r="AD550" s="21">
        <v>596</v>
      </c>
      <c r="AE550" s="21">
        <v>143</v>
      </c>
      <c r="AF550" s="21">
        <v>0.27079999999999999</v>
      </c>
      <c r="AG550" s="21">
        <v>0</v>
      </c>
      <c r="AH550" s="21">
        <v>0</v>
      </c>
      <c r="AI550" s="21">
        <v>0</v>
      </c>
      <c r="AJ550" s="21">
        <v>1</v>
      </c>
      <c r="AK550" s="21">
        <v>0</v>
      </c>
      <c r="AL550" s="21">
        <v>0</v>
      </c>
      <c r="AM550" s="21">
        <v>0</v>
      </c>
      <c r="AN550" s="21">
        <v>0</v>
      </c>
      <c r="AP550" s="21">
        <v>241</v>
      </c>
      <c r="AQ550" s="21">
        <v>93</v>
      </c>
      <c r="AR550" s="21">
        <v>82</v>
      </c>
      <c r="AS550" s="21">
        <v>10</v>
      </c>
      <c r="AT550" s="21">
        <v>0</v>
      </c>
      <c r="AU550" s="21">
        <v>72</v>
      </c>
      <c r="AV550" s="21">
        <v>0</v>
      </c>
    </row>
    <row r="551" spans="1:48" x14ac:dyDescent="0.15">
      <c r="A551" s="20" t="s">
        <v>52</v>
      </c>
      <c r="B551" s="20" t="s">
        <v>100</v>
      </c>
      <c r="C551" s="21">
        <v>0</v>
      </c>
      <c r="D551" s="21">
        <v>3</v>
      </c>
      <c r="E551" s="21">
        <v>121362</v>
      </c>
      <c r="F551" s="21">
        <v>121365</v>
      </c>
      <c r="G551" s="21">
        <v>-311</v>
      </c>
      <c r="H551" s="21">
        <v>21817</v>
      </c>
      <c r="I551" s="21">
        <v>36129</v>
      </c>
      <c r="J551" s="21">
        <v>31051</v>
      </c>
      <c r="K551" s="21">
        <v>13404</v>
      </c>
      <c r="L551" s="21">
        <v>530</v>
      </c>
      <c r="M551" s="21">
        <v>0.89739999999999998</v>
      </c>
      <c r="N551" s="21">
        <v>0.89739999999999998</v>
      </c>
      <c r="O551" s="21">
        <v>3.7000000000000002E-3</v>
      </c>
      <c r="P551" s="21">
        <v>1617</v>
      </c>
      <c r="Q551" s="21">
        <v>0.58189999999999997</v>
      </c>
      <c r="R551" s="21">
        <v>233</v>
      </c>
      <c r="S551" s="21">
        <v>75</v>
      </c>
      <c r="T551" s="21">
        <v>8.5599999999999996E-2</v>
      </c>
      <c r="U551" s="21">
        <v>7.1300000000000002E-2</v>
      </c>
      <c r="V551" s="21">
        <v>0.50519999999999998</v>
      </c>
      <c r="W551" s="21">
        <v>265</v>
      </c>
      <c r="X551" s="21">
        <v>131</v>
      </c>
      <c r="Y551" s="21">
        <v>96</v>
      </c>
      <c r="Z551" s="21">
        <v>0.8</v>
      </c>
      <c r="AA551" s="21">
        <v>1.4</v>
      </c>
      <c r="AB551" s="21">
        <v>194</v>
      </c>
      <c r="AC551" s="21">
        <v>134</v>
      </c>
      <c r="AD551" s="21">
        <v>166</v>
      </c>
      <c r="AE551" s="21">
        <v>64</v>
      </c>
      <c r="AF551" s="21">
        <v>0.46039999999999998</v>
      </c>
      <c r="AG551" s="21">
        <v>0</v>
      </c>
      <c r="AH551" s="21">
        <v>0</v>
      </c>
      <c r="AI551" s="21">
        <v>0</v>
      </c>
      <c r="AJ551" s="21">
        <v>0.90910000000000002</v>
      </c>
      <c r="AK551" s="21">
        <v>0</v>
      </c>
      <c r="AL551" s="21">
        <v>0</v>
      </c>
      <c r="AM551" s="21">
        <v>0</v>
      </c>
      <c r="AN551" s="21">
        <v>0</v>
      </c>
      <c r="AO551" s="21">
        <v>0.90910000000000002</v>
      </c>
      <c r="AP551" s="21">
        <v>1</v>
      </c>
      <c r="AQ551" s="21">
        <v>1</v>
      </c>
      <c r="AR551" s="21">
        <v>0</v>
      </c>
      <c r="AS551" s="21">
        <v>1</v>
      </c>
      <c r="AT551" s="21">
        <v>0</v>
      </c>
      <c r="AU551" s="21">
        <v>72</v>
      </c>
      <c r="AV551" s="21">
        <v>47</v>
      </c>
    </row>
    <row r="552" spans="1:48" x14ac:dyDescent="0.15">
      <c r="A552" s="20" t="s">
        <v>53</v>
      </c>
      <c r="B552" s="20" t="s">
        <v>100</v>
      </c>
      <c r="C552" s="21">
        <v>0</v>
      </c>
      <c r="D552" s="21">
        <v>0</v>
      </c>
      <c r="E552" s="21">
        <v>0</v>
      </c>
      <c r="F552" s="21">
        <v>0</v>
      </c>
      <c r="AB552" s="21">
        <v>0</v>
      </c>
      <c r="AC552" s="21">
        <v>0</v>
      </c>
      <c r="AD552" s="21">
        <v>0</v>
      </c>
      <c r="AE552" s="21">
        <v>0</v>
      </c>
      <c r="AF552" s="21">
        <v>0</v>
      </c>
      <c r="AG552" s="21">
        <v>0</v>
      </c>
      <c r="AH552" s="21">
        <v>0</v>
      </c>
      <c r="AI552" s="21">
        <v>0</v>
      </c>
      <c r="AJ552" s="21">
        <v>0</v>
      </c>
      <c r="AK552" s="21">
        <v>0</v>
      </c>
      <c r="AL552" s="21">
        <v>0</v>
      </c>
      <c r="AM552" s="21">
        <v>0</v>
      </c>
      <c r="AN552" s="21">
        <v>0</v>
      </c>
    </row>
    <row r="553" spans="1:48" x14ac:dyDescent="0.15">
      <c r="A553" s="20" t="s">
        <v>0</v>
      </c>
      <c r="B553" s="20" t="s">
        <v>100</v>
      </c>
      <c r="C553" s="21">
        <v>0</v>
      </c>
      <c r="D553" s="21">
        <v>584</v>
      </c>
      <c r="E553" s="21">
        <v>648474</v>
      </c>
      <c r="F553" s="21">
        <v>649058</v>
      </c>
      <c r="G553" s="21">
        <v>2433</v>
      </c>
      <c r="H553" s="21">
        <v>156491</v>
      </c>
      <c r="I553" s="21">
        <v>146761</v>
      </c>
      <c r="J553" s="21">
        <v>168821</v>
      </c>
      <c r="K553" s="21">
        <v>106737</v>
      </c>
      <c r="L553" s="21">
        <v>3711</v>
      </c>
      <c r="M553" s="21">
        <v>0.79859999999999998</v>
      </c>
      <c r="N553" s="21">
        <v>0.79649999999999999</v>
      </c>
      <c r="O553" s="21">
        <v>2.12E-2</v>
      </c>
      <c r="P553" s="21">
        <v>8303</v>
      </c>
      <c r="Q553" s="21">
        <v>0.61829999999999996</v>
      </c>
      <c r="R553" s="21">
        <v>179</v>
      </c>
      <c r="S553" s="21">
        <v>78</v>
      </c>
      <c r="T553" s="21">
        <v>8.8099999999999998E-2</v>
      </c>
      <c r="U553" s="21">
        <v>6.4899999999999999E-2</v>
      </c>
      <c r="V553" s="21">
        <v>0.74860000000000004</v>
      </c>
      <c r="W553" s="21">
        <v>649</v>
      </c>
      <c r="X553" s="21">
        <v>530</v>
      </c>
      <c r="Y553" s="21">
        <v>1000</v>
      </c>
      <c r="Z553" s="21">
        <v>0.4</v>
      </c>
      <c r="AA553" s="21">
        <v>0.5</v>
      </c>
      <c r="AB553" s="21">
        <v>1460</v>
      </c>
      <c r="AC553" s="21">
        <v>1399</v>
      </c>
      <c r="AD553" s="21">
        <v>1355</v>
      </c>
      <c r="AE553" s="21">
        <v>267</v>
      </c>
      <c r="AF553" s="21">
        <v>0.21360000000000001</v>
      </c>
      <c r="AG553" s="21">
        <v>0</v>
      </c>
      <c r="AH553" s="21">
        <v>0</v>
      </c>
      <c r="AI553" s="21">
        <v>0</v>
      </c>
      <c r="AJ553" s="21">
        <v>0.86150000000000004</v>
      </c>
      <c r="AK553" s="21">
        <v>0</v>
      </c>
      <c r="AL553" s="21">
        <v>0</v>
      </c>
      <c r="AM553" s="21">
        <v>0</v>
      </c>
      <c r="AN553" s="21">
        <v>0</v>
      </c>
      <c r="AO553" s="21">
        <v>0.87729999999999997</v>
      </c>
      <c r="AP553" s="21">
        <v>15352</v>
      </c>
      <c r="AQ553" s="21">
        <v>508</v>
      </c>
      <c r="AR553" s="21">
        <v>382</v>
      </c>
      <c r="AS553" s="21">
        <v>63</v>
      </c>
      <c r="AT553" s="21">
        <v>63</v>
      </c>
      <c r="AU553" s="21">
        <v>458</v>
      </c>
      <c r="AV553" s="21">
        <v>194</v>
      </c>
    </row>
    <row r="554" spans="1:48" x14ac:dyDescent="0.15">
      <c r="A554" s="20" t="s">
        <v>54</v>
      </c>
      <c r="B554" s="20" t="s">
        <v>100</v>
      </c>
      <c r="C554" s="21">
        <v>0</v>
      </c>
      <c r="D554" s="21">
        <v>0</v>
      </c>
      <c r="E554" s="21">
        <v>2844</v>
      </c>
      <c r="F554" s="21">
        <v>2844</v>
      </c>
      <c r="I554" s="21">
        <v>2844</v>
      </c>
      <c r="J554" s="21">
        <v>0</v>
      </c>
      <c r="L554" s="21">
        <v>27</v>
      </c>
      <c r="M554" s="21">
        <v>0.64290000000000003</v>
      </c>
      <c r="N554" s="21">
        <v>0.64290000000000003</v>
      </c>
      <c r="O554" s="21">
        <v>0</v>
      </c>
      <c r="P554" s="21">
        <v>32</v>
      </c>
      <c r="Q554" s="21">
        <v>0.75</v>
      </c>
      <c r="R554" s="21">
        <v>124</v>
      </c>
      <c r="S554" s="21">
        <v>89</v>
      </c>
      <c r="T554" s="21">
        <v>0.21410000000000001</v>
      </c>
      <c r="U554" s="21">
        <v>0</v>
      </c>
      <c r="W554" s="21">
        <v>0</v>
      </c>
      <c r="X554" s="21">
        <v>0</v>
      </c>
      <c r="Y554" s="21">
        <v>1</v>
      </c>
      <c r="AA554" s="21">
        <v>0.5</v>
      </c>
      <c r="AB554" s="21">
        <v>0</v>
      </c>
      <c r="AC554" s="21">
        <v>0</v>
      </c>
      <c r="AD554" s="21">
        <v>0</v>
      </c>
      <c r="AE554" s="21">
        <v>0</v>
      </c>
      <c r="AF554" s="21">
        <v>0</v>
      </c>
      <c r="AG554" s="21">
        <v>0</v>
      </c>
      <c r="AH554" s="21">
        <v>0</v>
      </c>
      <c r="AI554" s="21">
        <v>0</v>
      </c>
      <c r="AJ554" s="21">
        <v>0</v>
      </c>
      <c r="AK554" s="21">
        <v>0</v>
      </c>
      <c r="AL554" s="21">
        <v>0</v>
      </c>
      <c r="AM554" s="21">
        <v>0</v>
      </c>
      <c r="AN554" s="21">
        <v>0</v>
      </c>
      <c r="AP554" s="21">
        <v>10105</v>
      </c>
      <c r="AQ554" s="21">
        <v>33</v>
      </c>
      <c r="AR554" s="21">
        <v>32</v>
      </c>
      <c r="AS554" s="21">
        <v>2</v>
      </c>
      <c r="AV554" s="21">
        <v>0</v>
      </c>
    </row>
    <row r="555" spans="1:48" x14ac:dyDescent="0.15">
      <c r="A555" s="20" t="s">
        <v>55</v>
      </c>
      <c r="B555" s="20" t="s">
        <v>100</v>
      </c>
      <c r="C555" s="21">
        <v>0</v>
      </c>
      <c r="D555" s="21">
        <v>0</v>
      </c>
      <c r="E555" s="21">
        <v>0</v>
      </c>
      <c r="F555" s="21">
        <v>0</v>
      </c>
      <c r="AB555" s="21">
        <v>0</v>
      </c>
      <c r="AC555" s="21">
        <v>0</v>
      </c>
      <c r="AD555" s="21">
        <v>0</v>
      </c>
      <c r="AE555" s="21">
        <v>0</v>
      </c>
      <c r="AF555" s="21">
        <v>0</v>
      </c>
      <c r="AG555" s="21">
        <v>0</v>
      </c>
      <c r="AH555" s="21">
        <v>0</v>
      </c>
      <c r="AI555" s="21">
        <v>0</v>
      </c>
      <c r="AJ555" s="21">
        <v>0</v>
      </c>
      <c r="AK555" s="21">
        <v>0</v>
      </c>
      <c r="AL555" s="21">
        <v>0</v>
      </c>
      <c r="AM555" s="21">
        <v>0</v>
      </c>
      <c r="AN555" s="21">
        <v>0</v>
      </c>
    </row>
    <row r="556" spans="1:48" x14ac:dyDescent="0.15">
      <c r="A556" s="20" t="s">
        <v>56</v>
      </c>
      <c r="B556" s="20" t="s">
        <v>100</v>
      </c>
      <c r="C556" s="21">
        <v>0</v>
      </c>
      <c r="D556" s="21">
        <v>0</v>
      </c>
      <c r="E556" s="21">
        <v>30028</v>
      </c>
      <c r="F556" s="21">
        <v>30028</v>
      </c>
      <c r="H556" s="21">
        <v>2186</v>
      </c>
      <c r="J556" s="21">
        <v>2784</v>
      </c>
      <c r="K556" s="21">
        <v>20174</v>
      </c>
      <c r="L556" s="21">
        <v>94</v>
      </c>
      <c r="M556" s="21">
        <v>0.79279999999999995</v>
      </c>
      <c r="N556" s="21">
        <v>0.79279999999999995</v>
      </c>
      <c r="O556" s="21">
        <v>0</v>
      </c>
      <c r="P556" s="21">
        <v>588</v>
      </c>
      <c r="Q556" s="21">
        <v>0.39290000000000003</v>
      </c>
      <c r="R556" s="21">
        <v>321</v>
      </c>
      <c r="S556" s="21">
        <v>51</v>
      </c>
      <c r="T556" s="21">
        <v>8.77E-2</v>
      </c>
      <c r="U556" s="21">
        <v>1.7600000000000001E-2</v>
      </c>
      <c r="W556" s="21">
        <v>12</v>
      </c>
      <c r="X556" s="21">
        <v>12</v>
      </c>
      <c r="Y556" s="21">
        <v>27</v>
      </c>
      <c r="AA556" s="21">
        <v>0.4</v>
      </c>
      <c r="AB556" s="21">
        <v>0</v>
      </c>
      <c r="AC556" s="21">
        <v>0</v>
      </c>
      <c r="AD556" s="21">
        <v>0</v>
      </c>
      <c r="AE556" s="21">
        <v>0</v>
      </c>
      <c r="AF556" s="21">
        <v>0</v>
      </c>
      <c r="AG556" s="21">
        <v>0</v>
      </c>
      <c r="AH556" s="21">
        <v>0</v>
      </c>
      <c r="AI556" s="21">
        <v>0</v>
      </c>
      <c r="AJ556" s="21">
        <v>0</v>
      </c>
      <c r="AK556" s="21">
        <v>0</v>
      </c>
      <c r="AL556" s="21">
        <v>0</v>
      </c>
      <c r="AM556" s="21">
        <v>0</v>
      </c>
      <c r="AN556" s="21">
        <v>0</v>
      </c>
      <c r="AP556" s="21">
        <v>1361</v>
      </c>
      <c r="AQ556" s="21">
        <v>11</v>
      </c>
      <c r="AR556" s="21">
        <v>8</v>
      </c>
      <c r="AS556" s="21">
        <v>2</v>
      </c>
      <c r="AU556" s="21">
        <v>0</v>
      </c>
      <c r="AV556" s="21">
        <v>0</v>
      </c>
    </row>
    <row r="557" spans="1:48" x14ac:dyDescent="0.15">
      <c r="A557" s="20" t="s">
        <v>57</v>
      </c>
      <c r="B557" s="20" t="s">
        <v>100</v>
      </c>
      <c r="C557" s="21">
        <v>0</v>
      </c>
      <c r="D557" s="21">
        <v>538</v>
      </c>
      <c r="E557" s="21">
        <v>109443</v>
      </c>
      <c r="F557" s="21">
        <v>109982</v>
      </c>
      <c r="G557" s="21">
        <v>2796</v>
      </c>
      <c r="H557" s="21">
        <v>3293</v>
      </c>
      <c r="I557" s="21">
        <v>30954</v>
      </c>
      <c r="J557" s="21">
        <v>42725</v>
      </c>
      <c r="K557" s="21">
        <v>10154</v>
      </c>
      <c r="L557" s="21">
        <v>395</v>
      </c>
      <c r="M557" s="21">
        <v>0.69799999999999995</v>
      </c>
      <c r="N557" s="21">
        <v>0.68320000000000003</v>
      </c>
      <c r="O557" s="21">
        <v>0.1163</v>
      </c>
      <c r="P557" s="21">
        <v>630</v>
      </c>
      <c r="Q557" s="21">
        <v>0.6</v>
      </c>
      <c r="R557" s="21">
        <v>282</v>
      </c>
      <c r="S557" s="21">
        <v>175</v>
      </c>
      <c r="T557" s="21">
        <v>9.5000000000000001E-2</v>
      </c>
      <c r="U557" s="21">
        <v>6.6299999999999998E-2</v>
      </c>
      <c r="V557" s="21">
        <v>0.76759999999999995</v>
      </c>
      <c r="W557" s="21">
        <v>74</v>
      </c>
      <c r="X557" s="21">
        <v>84</v>
      </c>
      <c r="Y557" s="21">
        <v>162</v>
      </c>
      <c r="Z557" s="21">
        <v>0.3</v>
      </c>
      <c r="AA557" s="21">
        <v>0.5</v>
      </c>
      <c r="AB557" s="21">
        <v>294</v>
      </c>
      <c r="AC557" s="21">
        <v>294</v>
      </c>
      <c r="AD557" s="21">
        <v>295</v>
      </c>
      <c r="AE557" s="21">
        <v>20</v>
      </c>
      <c r="AF557" s="21">
        <v>6.7599999999999993E-2</v>
      </c>
      <c r="AG557" s="21">
        <v>0</v>
      </c>
      <c r="AH557" s="21">
        <v>0</v>
      </c>
      <c r="AI557" s="21">
        <v>0</v>
      </c>
      <c r="AJ557" s="21">
        <v>0.91300000000000003</v>
      </c>
      <c r="AK557" s="21">
        <v>0</v>
      </c>
      <c r="AL557" s="21">
        <v>0</v>
      </c>
      <c r="AM557" s="21">
        <v>0</v>
      </c>
      <c r="AN557" s="21">
        <v>0</v>
      </c>
      <c r="AO557" s="21">
        <v>0.8861</v>
      </c>
      <c r="AP557" s="21">
        <v>2768</v>
      </c>
      <c r="AQ557" s="21">
        <v>150</v>
      </c>
      <c r="AR557" s="21">
        <v>121</v>
      </c>
      <c r="AS557" s="21">
        <v>29</v>
      </c>
      <c r="AT557" s="21">
        <v>0</v>
      </c>
      <c r="AU557" s="21">
        <v>206</v>
      </c>
      <c r="AV557" s="21">
        <v>82</v>
      </c>
    </row>
    <row r="558" spans="1:48" x14ac:dyDescent="0.15">
      <c r="A558" s="20" t="s">
        <v>58</v>
      </c>
      <c r="B558" s="20" t="s">
        <v>100</v>
      </c>
      <c r="C558" s="21">
        <v>0</v>
      </c>
      <c r="D558" s="21">
        <v>0</v>
      </c>
      <c r="E558" s="21">
        <v>257</v>
      </c>
      <c r="F558" s="21">
        <v>257</v>
      </c>
      <c r="H558" s="21">
        <v>257</v>
      </c>
      <c r="L558" s="21">
        <v>66</v>
      </c>
      <c r="M558" s="21">
        <v>0.1343</v>
      </c>
      <c r="N558" s="21">
        <v>0.1343</v>
      </c>
      <c r="O558" s="21">
        <v>0</v>
      </c>
      <c r="P558" s="21">
        <v>283</v>
      </c>
      <c r="Q558" s="21">
        <v>9.1899999999999996E-2</v>
      </c>
      <c r="R558" s="21">
        <v>7</v>
      </c>
      <c r="S558" s="21">
        <v>1</v>
      </c>
      <c r="T558" s="21">
        <v>0.1203</v>
      </c>
      <c r="U558" s="21">
        <v>0</v>
      </c>
      <c r="AB558" s="21">
        <v>0</v>
      </c>
      <c r="AC558" s="21">
        <v>0</v>
      </c>
      <c r="AD558" s="21">
        <v>0</v>
      </c>
      <c r="AE558" s="21">
        <v>0</v>
      </c>
      <c r="AF558" s="21">
        <v>0</v>
      </c>
      <c r="AG558" s="21">
        <v>0</v>
      </c>
      <c r="AH558" s="21">
        <v>0</v>
      </c>
      <c r="AI558" s="21">
        <v>0</v>
      </c>
      <c r="AJ558" s="21">
        <v>0</v>
      </c>
      <c r="AK558" s="21">
        <v>0</v>
      </c>
      <c r="AL558" s="21">
        <v>0</v>
      </c>
      <c r="AM558" s="21">
        <v>0</v>
      </c>
      <c r="AN558" s="21">
        <v>0</v>
      </c>
      <c r="AP558" s="21">
        <v>0</v>
      </c>
      <c r="AQ558" s="21">
        <v>0</v>
      </c>
      <c r="AS558" s="21">
        <v>0</v>
      </c>
      <c r="AV558" s="21">
        <v>0</v>
      </c>
    </row>
    <row r="559" spans="1:48" x14ac:dyDescent="0.15">
      <c r="A559" s="20" t="s">
        <v>59</v>
      </c>
      <c r="B559" s="20" t="s">
        <v>100</v>
      </c>
      <c r="C559" s="21">
        <v>0</v>
      </c>
      <c r="D559" s="21">
        <v>0</v>
      </c>
      <c r="E559" s="21">
        <v>0</v>
      </c>
      <c r="F559" s="21">
        <v>0</v>
      </c>
      <c r="AB559" s="21">
        <v>0</v>
      </c>
      <c r="AC559" s="21">
        <v>0</v>
      </c>
      <c r="AD559" s="21">
        <v>0</v>
      </c>
      <c r="AE559" s="21">
        <v>0</v>
      </c>
      <c r="AF559" s="21">
        <v>0</v>
      </c>
      <c r="AG559" s="21">
        <v>0</v>
      </c>
      <c r="AH559" s="21">
        <v>0</v>
      </c>
      <c r="AI559" s="21">
        <v>0</v>
      </c>
      <c r="AJ559" s="21">
        <v>0</v>
      </c>
      <c r="AK559" s="21">
        <v>0</v>
      </c>
      <c r="AL559" s="21">
        <v>0</v>
      </c>
      <c r="AM559" s="21">
        <v>0</v>
      </c>
      <c r="AN559" s="21">
        <v>0</v>
      </c>
    </row>
    <row r="560" spans="1:48" x14ac:dyDescent="0.15">
      <c r="A560" s="20" t="s">
        <v>60</v>
      </c>
      <c r="B560" s="20" t="s">
        <v>100</v>
      </c>
      <c r="C560" s="21">
        <v>0</v>
      </c>
      <c r="D560" s="21">
        <v>0</v>
      </c>
      <c r="E560" s="21">
        <v>58911</v>
      </c>
      <c r="F560" s="21">
        <v>58911</v>
      </c>
      <c r="G560" s="21">
        <v>9</v>
      </c>
      <c r="H560" s="21">
        <v>17077</v>
      </c>
      <c r="I560" s="21">
        <v>17420</v>
      </c>
      <c r="J560" s="21">
        <v>21085</v>
      </c>
      <c r="K560" s="21">
        <v>3321</v>
      </c>
      <c r="L560" s="21">
        <v>232</v>
      </c>
      <c r="M560" s="21">
        <v>0.79910000000000003</v>
      </c>
      <c r="N560" s="21">
        <v>0.79910000000000003</v>
      </c>
      <c r="O560" s="21">
        <v>0</v>
      </c>
      <c r="P560" s="21">
        <v>316</v>
      </c>
      <c r="Q560" s="21">
        <v>0.75949999999999995</v>
      </c>
      <c r="R560" s="21">
        <v>257</v>
      </c>
      <c r="S560" s="21">
        <v>186</v>
      </c>
      <c r="T560" s="21">
        <v>7.4300000000000005E-2</v>
      </c>
      <c r="U560" s="21">
        <v>6.8699999999999997E-2</v>
      </c>
      <c r="V560" s="21">
        <v>1</v>
      </c>
      <c r="AB560" s="21">
        <v>0</v>
      </c>
      <c r="AC560" s="21">
        <v>0</v>
      </c>
      <c r="AD560" s="21">
        <v>0</v>
      </c>
      <c r="AE560" s="21">
        <v>0</v>
      </c>
      <c r="AF560" s="21">
        <v>0</v>
      </c>
      <c r="AG560" s="21">
        <v>0</v>
      </c>
      <c r="AH560" s="21">
        <v>0</v>
      </c>
      <c r="AI560" s="21">
        <v>0</v>
      </c>
      <c r="AJ560" s="21">
        <v>0</v>
      </c>
      <c r="AK560" s="21">
        <v>0</v>
      </c>
      <c r="AL560" s="21">
        <v>0</v>
      </c>
      <c r="AM560" s="21">
        <v>0</v>
      </c>
      <c r="AN560" s="21">
        <v>0</v>
      </c>
      <c r="AP560" s="21">
        <v>375</v>
      </c>
      <c r="AQ560" s="21">
        <v>34</v>
      </c>
      <c r="AR560" s="21">
        <v>33</v>
      </c>
      <c r="AS560" s="21">
        <v>1</v>
      </c>
      <c r="AU560" s="21">
        <v>8</v>
      </c>
      <c r="AV560" s="21">
        <v>0</v>
      </c>
    </row>
    <row r="561" spans="1:48" x14ac:dyDescent="0.15">
      <c r="A561" s="20" t="s">
        <v>61</v>
      </c>
      <c r="B561" s="20" t="s">
        <v>100</v>
      </c>
      <c r="C561" s="21">
        <v>0</v>
      </c>
      <c r="D561" s="21">
        <v>14</v>
      </c>
      <c r="E561" s="21">
        <v>29587</v>
      </c>
      <c r="F561" s="21">
        <v>29600</v>
      </c>
      <c r="G561" s="21">
        <v>-52</v>
      </c>
      <c r="H561" s="21">
        <v>6609</v>
      </c>
      <c r="I561" s="21">
        <v>9541</v>
      </c>
      <c r="J561" s="21">
        <v>9500</v>
      </c>
      <c r="K561" s="21">
        <v>1177</v>
      </c>
      <c r="L561" s="21">
        <v>146</v>
      </c>
      <c r="M561" s="21">
        <v>0.79190000000000005</v>
      </c>
      <c r="N561" s="21">
        <v>0.79190000000000005</v>
      </c>
      <c r="O561" s="21">
        <v>4.7E-2</v>
      </c>
      <c r="P561" s="21">
        <v>176</v>
      </c>
      <c r="Q561" s="21">
        <v>0.90339999999999998</v>
      </c>
      <c r="R561" s="21">
        <v>205</v>
      </c>
      <c r="S561" s="21">
        <v>168</v>
      </c>
      <c r="T561" s="21">
        <v>9.0999999999999998E-2</v>
      </c>
      <c r="U561" s="21">
        <v>8.1100000000000005E-2</v>
      </c>
      <c r="V561" s="21">
        <v>0.88370000000000004</v>
      </c>
      <c r="W561" s="21">
        <v>1</v>
      </c>
      <c r="X561" s="21">
        <v>1</v>
      </c>
      <c r="Y561" s="21">
        <v>1</v>
      </c>
      <c r="AA561" s="21">
        <v>0.8</v>
      </c>
      <c r="AB561" s="21">
        <v>0</v>
      </c>
      <c r="AC561" s="21">
        <v>0</v>
      </c>
      <c r="AD561" s="21">
        <v>0</v>
      </c>
      <c r="AE561" s="21">
        <v>0</v>
      </c>
      <c r="AF561" s="21">
        <v>0</v>
      </c>
      <c r="AG561" s="21">
        <v>0</v>
      </c>
      <c r="AH561" s="21">
        <v>0</v>
      </c>
      <c r="AI561" s="21">
        <v>0</v>
      </c>
      <c r="AJ561" s="21">
        <v>0</v>
      </c>
      <c r="AK561" s="21">
        <v>0</v>
      </c>
      <c r="AL561" s="21">
        <v>0</v>
      </c>
      <c r="AM561" s="21">
        <v>0</v>
      </c>
      <c r="AN561" s="21">
        <v>0</v>
      </c>
      <c r="AP561" s="21">
        <v>2</v>
      </c>
      <c r="AQ561" s="21">
        <v>2</v>
      </c>
      <c r="AR561" s="21">
        <v>0</v>
      </c>
      <c r="AS561" s="21">
        <v>2</v>
      </c>
      <c r="AU561" s="21">
        <v>67</v>
      </c>
      <c r="AV561" s="21">
        <v>0</v>
      </c>
    </row>
    <row r="562" spans="1:48" x14ac:dyDescent="0.15">
      <c r="A562" s="20" t="s">
        <v>48</v>
      </c>
      <c r="B562" s="20" t="s">
        <v>101</v>
      </c>
      <c r="C562" s="21">
        <v>0</v>
      </c>
      <c r="D562" s="21">
        <v>2</v>
      </c>
      <c r="E562" s="21">
        <v>50987</v>
      </c>
      <c r="F562" s="21">
        <v>50989</v>
      </c>
      <c r="H562" s="21">
        <v>21758</v>
      </c>
      <c r="I562" s="21">
        <v>6764</v>
      </c>
      <c r="J562" s="21">
        <v>11669</v>
      </c>
      <c r="K562" s="21">
        <v>1138</v>
      </c>
      <c r="L562" s="21">
        <v>381</v>
      </c>
      <c r="M562" s="21">
        <v>0.69669999999999999</v>
      </c>
      <c r="N562" s="21">
        <v>0.69669999999999999</v>
      </c>
      <c r="O562" s="21">
        <v>5.1000000000000004E-3</v>
      </c>
      <c r="P562" s="21">
        <v>746</v>
      </c>
      <c r="Q562" s="21">
        <v>0.54830000000000001</v>
      </c>
      <c r="R562" s="21">
        <v>135</v>
      </c>
      <c r="S562" s="21">
        <v>68</v>
      </c>
      <c r="T562" s="21">
        <v>7.7299999999999994E-2</v>
      </c>
      <c r="U562" s="21">
        <v>4.7600000000000003E-2</v>
      </c>
      <c r="W562" s="21">
        <v>53</v>
      </c>
      <c r="X562" s="21">
        <v>36</v>
      </c>
      <c r="Y562" s="21">
        <v>72</v>
      </c>
      <c r="Z562" s="21">
        <v>0.3</v>
      </c>
      <c r="AA562" s="21">
        <v>0.5</v>
      </c>
      <c r="AB562" s="21">
        <v>111</v>
      </c>
      <c r="AC562" s="21">
        <v>111</v>
      </c>
      <c r="AD562" s="21">
        <v>117</v>
      </c>
      <c r="AE562" s="21">
        <v>7</v>
      </c>
      <c r="AF562" s="21">
        <v>5.6899999999999999E-2</v>
      </c>
      <c r="AG562" s="21">
        <v>0</v>
      </c>
      <c r="AH562" s="21">
        <v>0</v>
      </c>
      <c r="AI562" s="21">
        <v>0</v>
      </c>
      <c r="AJ562" s="21">
        <v>0.5</v>
      </c>
      <c r="AK562" s="21">
        <v>0</v>
      </c>
      <c r="AL562" s="21">
        <v>0</v>
      </c>
      <c r="AM562" s="21">
        <v>0</v>
      </c>
      <c r="AN562" s="21">
        <v>0</v>
      </c>
      <c r="AO562" s="21">
        <v>0.74550000000000005</v>
      </c>
      <c r="AP562" s="21">
        <v>859</v>
      </c>
      <c r="AQ562" s="21">
        <v>15</v>
      </c>
      <c r="AR562" s="21">
        <v>11</v>
      </c>
      <c r="AS562" s="21">
        <v>4</v>
      </c>
      <c r="AU562" s="21">
        <v>95</v>
      </c>
      <c r="AV562" s="21">
        <v>15</v>
      </c>
    </row>
    <row r="563" spans="1:48" x14ac:dyDescent="0.15">
      <c r="A563" s="20" t="s">
        <v>50</v>
      </c>
      <c r="B563" s="20" t="s">
        <v>101</v>
      </c>
      <c r="C563" s="21">
        <v>0</v>
      </c>
      <c r="D563" s="21">
        <v>5</v>
      </c>
      <c r="E563" s="21">
        <v>75866</v>
      </c>
      <c r="F563" s="21">
        <v>75871</v>
      </c>
      <c r="G563" s="21">
        <v>0</v>
      </c>
      <c r="H563" s="21">
        <v>46990</v>
      </c>
      <c r="I563" s="21">
        <v>0</v>
      </c>
      <c r="J563" s="21">
        <v>21172</v>
      </c>
      <c r="K563" s="21">
        <v>1757</v>
      </c>
      <c r="L563" s="21">
        <v>394</v>
      </c>
      <c r="M563" s="21">
        <v>0.9345</v>
      </c>
      <c r="N563" s="21">
        <v>0.9345</v>
      </c>
      <c r="O563" s="21">
        <v>1.01E-2</v>
      </c>
      <c r="P563" s="21">
        <v>864</v>
      </c>
      <c r="Q563" s="21">
        <v>0.75690000000000002</v>
      </c>
      <c r="R563" s="21">
        <v>198</v>
      </c>
      <c r="S563" s="21">
        <v>88</v>
      </c>
      <c r="T563" s="21">
        <v>5.21E-2</v>
      </c>
      <c r="U563" s="21">
        <v>4.9399999999999999E-2</v>
      </c>
      <c r="W563" s="21">
        <v>45</v>
      </c>
      <c r="X563" s="21">
        <v>28</v>
      </c>
      <c r="Y563" s="21">
        <v>57</v>
      </c>
      <c r="Z563" s="21">
        <v>0.2</v>
      </c>
      <c r="AA563" s="21">
        <v>0.5</v>
      </c>
      <c r="AB563" s="21">
        <v>148</v>
      </c>
      <c r="AC563" s="21">
        <v>148</v>
      </c>
      <c r="AD563" s="21">
        <v>167</v>
      </c>
      <c r="AE563" s="21">
        <v>6</v>
      </c>
      <c r="AF563" s="21">
        <v>3.2300000000000002E-2</v>
      </c>
      <c r="AG563" s="21">
        <v>0</v>
      </c>
      <c r="AH563" s="21">
        <v>0</v>
      </c>
      <c r="AI563" s="21">
        <v>0</v>
      </c>
      <c r="AJ563" s="21">
        <v>0.22220000000000001</v>
      </c>
      <c r="AK563" s="21">
        <v>0</v>
      </c>
      <c r="AL563" s="21">
        <v>0</v>
      </c>
      <c r="AM563" s="21">
        <v>0</v>
      </c>
      <c r="AN563" s="21">
        <v>0</v>
      </c>
      <c r="AO563" s="21">
        <v>0.72050000000000003</v>
      </c>
      <c r="AP563" s="21">
        <v>499</v>
      </c>
      <c r="AQ563" s="21">
        <v>130</v>
      </c>
      <c r="AR563" s="21">
        <v>92</v>
      </c>
      <c r="AS563" s="21">
        <v>0</v>
      </c>
      <c r="AT563" s="21">
        <v>38</v>
      </c>
      <c r="AU563" s="21">
        <v>134</v>
      </c>
      <c r="AV563" s="21">
        <v>18</v>
      </c>
    </row>
    <row r="564" spans="1:48" x14ac:dyDescent="0.15">
      <c r="A564" s="20" t="s">
        <v>51</v>
      </c>
      <c r="B564" s="20" t="s">
        <v>101</v>
      </c>
      <c r="C564" s="21">
        <v>0</v>
      </c>
      <c r="D564" s="21">
        <v>23</v>
      </c>
      <c r="E564" s="21">
        <v>123266</v>
      </c>
      <c r="F564" s="21">
        <v>123289</v>
      </c>
      <c r="G564" s="21">
        <v>0</v>
      </c>
      <c r="H564" s="21">
        <v>34443</v>
      </c>
      <c r="I564" s="21">
        <v>33547</v>
      </c>
      <c r="J564" s="21">
        <v>23772</v>
      </c>
      <c r="K564" s="21">
        <v>30034</v>
      </c>
      <c r="L564" s="21">
        <v>1507</v>
      </c>
      <c r="M564" s="21">
        <v>0.77500000000000002</v>
      </c>
      <c r="N564" s="21">
        <v>0.77500000000000002</v>
      </c>
      <c r="O564" s="21">
        <v>1.37E-2</v>
      </c>
      <c r="P564" s="21">
        <v>3182</v>
      </c>
      <c r="Q564" s="21">
        <v>0.64170000000000005</v>
      </c>
      <c r="R564" s="21">
        <v>83</v>
      </c>
      <c r="S564" s="21">
        <v>39</v>
      </c>
      <c r="T564" s="21">
        <v>0.1002</v>
      </c>
      <c r="U564" s="21">
        <v>6.4600000000000005E-2</v>
      </c>
      <c r="V564" s="21">
        <v>0.87980000000000003</v>
      </c>
      <c r="W564" s="21">
        <v>587</v>
      </c>
      <c r="X564" s="21">
        <v>286</v>
      </c>
      <c r="Y564" s="21">
        <v>505</v>
      </c>
      <c r="Z564" s="21">
        <v>0.4</v>
      </c>
      <c r="AA564" s="21">
        <v>0.6</v>
      </c>
      <c r="AB564" s="21">
        <v>674</v>
      </c>
      <c r="AC564" s="21">
        <v>659</v>
      </c>
      <c r="AD564" s="21">
        <v>668</v>
      </c>
      <c r="AE564" s="21">
        <v>73</v>
      </c>
      <c r="AF564" s="21">
        <v>0.1101</v>
      </c>
      <c r="AG564" s="21">
        <v>0</v>
      </c>
      <c r="AH564" s="21">
        <v>0</v>
      </c>
      <c r="AI564" s="21">
        <v>0</v>
      </c>
      <c r="AJ564" s="21">
        <v>0.70830000000000004</v>
      </c>
      <c r="AK564" s="21">
        <v>0</v>
      </c>
      <c r="AL564" s="21">
        <v>0</v>
      </c>
      <c r="AM564" s="21">
        <v>0</v>
      </c>
      <c r="AN564" s="21">
        <v>0</v>
      </c>
      <c r="AP564" s="21">
        <v>349</v>
      </c>
      <c r="AQ564" s="21">
        <v>76</v>
      </c>
      <c r="AR564" s="21">
        <v>69</v>
      </c>
      <c r="AS564" s="21">
        <v>2</v>
      </c>
      <c r="AT564" s="21">
        <v>4</v>
      </c>
      <c r="AU564" s="21">
        <v>414</v>
      </c>
      <c r="AV564" s="21">
        <v>0</v>
      </c>
    </row>
    <row r="565" spans="1:48" x14ac:dyDescent="0.15">
      <c r="A565" s="20" t="s">
        <v>52</v>
      </c>
      <c r="B565" s="20" t="s">
        <v>101</v>
      </c>
      <c r="C565" s="21">
        <v>0</v>
      </c>
      <c r="D565" s="21">
        <v>-2</v>
      </c>
      <c r="E565" s="21">
        <v>102072</v>
      </c>
      <c r="F565" s="21">
        <v>102070</v>
      </c>
      <c r="G565" s="21">
        <v>0</v>
      </c>
      <c r="H565" s="21">
        <v>19875</v>
      </c>
      <c r="I565" s="21">
        <v>27890</v>
      </c>
      <c r="J565" s="21">
        <v>26259</v>
      </c>
      <c r="K565" s="21">
        <v>10244</v>
      </c>
      <c r="L565" s="21">
        <v>560</v>
      </c>
      <c r="M565" s="21">
        <v>0.84389999999999998</v>
      </c>
      <c r="N565" s="21">
        <v>0.84389999999999998</v>
      </c>
      <c r="O565" s="21">
        <v>3.3999999999999998E-3</v>
      </c>
      <c r="P565" s="21">
        <v>1633</v>
      </c>
      <c r="Q565" s="21">
        <v>0.61539999999999995</v>
      </c>
      <c r="R565" s="21">
        <v>187</v>
      </c>
      <c r="S565" s="21">
        <v>63</v>
      </c>
      <c r="T565" s="21">
        <v>6.88E-2</v>
      </c>
      <c r="U565" s="21">
        <v>6.9099999999999995E-2</v>
      </c>
      <c r="V565" s="21">
        <v>1</v>
      </c>
      <c r="W565" s="21">
        <v>243</v>
      </c>
      <c r="X565" s="21">
        <v>120</v>
      </c>
      <c r="Y565" s="21">
        <v>115</v>
      </c>
      <c r="Z565" s="21">
        <v>0.6</v>
      </c>
      <c r="AA565" s="21">
        <v>1</v>
      </c>
      <c r="AB565" s="21">
        <v>178</v>
      </c>
      <c r="AC565" s="21">
        <v>178</v>
      </c>
      <c r="AD565" s="21">
        <v>186</v>
      </c>
      <c r="AE565" s="21">
        <v>24</v>
      </c>
      <c r="AF565" s="21">
        <v>0.1237</v>
      </c>
      <c r="AG565" s="21">
        <v>0</v>
      </c>
      <c r="AH565" s="21">
        <v>0</v>
      </c>
      <c r="AI565" s="21">
        <v>0</v>
      </c>
      <c r="AJ565" s="21">
        <v>0.5</v>
      </c>
      <c r="AK565" s="21">
        <v>0</v>
      </c>
      <c r="AL565" s="21">
        <v>0</v>
      </c>
      <c r="AM565" s="21">
        <v>0</v>
      </c>
      <c r="AN565" s="21">
        <v>0</v>
      </c>
      <c r="AO565" s="21">
        <v>0.83840000000000003</v>
      </c>
      <c r="AP565" s="21">
        <v>1</v>
      </c>
      <c r="AQ565" s="21">
        <v>1</v>
      </c>
      <c r="AR565" s="21">
        <v>1</v>
      </c>
      <c r="AS565" s="21">
        <v>0</v>
      </c>
      <c r="AT565" s="21">
        <v>0</v>
      </c>
      <c r="AU565" s="21">
        <v>341</v>
      </c>
      <c r="AV565" s="21">
        <v>28</v>
      </c>
    </row>
    <row r="566" spans="1:48" x14ac:dyDescent="0.15">
      <c r="A566" s="20" t="s">
        <v>53</v>
      </c>
      <c r="B566" s="20" t="s">
        <v>101</v>
      </c>
      <c r="C566" s="21">
        <v>0</v>
      </c>
      <c r="D566" s="21">
        <v>0</v>
      </c>
      <c r="E566" s="21">
        <v>0</v>
      </c>
      <c r="F566" s="21">
        <v>0</v>
      </c>
      <c r="L566" s="21">
        <v>2</v>
      </c>
      <c r="M566" s="21">
        <v>0</v>
      </c>
      <c r="N566" s="21">
        <v>0</v>
      </c>
      <c r="O566" s="21">
        <v>0</v>
      </c>
      <c r="P566" s="21">
        <v>0</v>
      </c>
      <c r="R566" s="21">
        <v>0</v>
      </c>
      <c r="AB566" s="21">
        <v>0</v>
      </c>
      <c r="AC566" s="21">
        <v>0</v>
      </c>
      <c r="AD566" s="21">
        <v>0</v>
      </c>
      <c r="AE566" s="21">
        <v>0</v>
      </c>
      <c r="AF566" s="21">
        <v>0</v>
      </c>
      <c r="AG566" s="21">
        <v>0</v>
      </c>
      <c r="AH566" s="21">
        <v>0</v>
      </c>
      <c r="AI566" s="21">
        <v>0</v>
      </c>
      <c r="AJ566" s="21">
        <v>0</v>
      </c>
      <c r="AK566" s="21">
        <v>0</v>
      </c>
      <c r="AL566" s="21">
        <v>0</v>
      </c>
      <c r="AM566" s="21">
        <v>0</v>
      </c>
      <c r="AN566" s="21">
        <v>0</v>
      </c>
    </row>
    <row r="567" spans="1:48" x14ac:dyDescent="0.15">
      <c r="A567" s="20" t="s">
        <v>0</v>
      </c>
      <c r="B567" s="20" t="s">
        <v>101</v>
      </c>
      <c r="C567" s="21">
        <v>0</v>
      </c>
      <c r="D567" s="21">
        <v>299</v>
      </c>
      <c r="E567" s="21">
        <v>604268</v>
      </c>
      <c r="F567" s="21">
        <v>604567</v>
      </c>
      <c r="G567" s="21">
        <v>13508</v>
      </c>
      <c r="H567" s="21">
        <v>164656</v>
      </c>
      <c r="I567" s="21">
        <v>120961</v>
      </c>
      <c r="J567" s="21">
        <v>174890</v>
      </c>
      <c r="K567" s="21">
        <v>70594</v>
      </c>
      <c r="L567" s="21">
        <v>3880</v>
      </c>
      <c r="M567" s="21">
        <v>0.78879999999999995</v>
      </c>
      <c r="N567" s="21">
        <v>0.78810000000000002</v>
      </c>
      <c r="O567" s="21">
        <v>1.6400000000000001E-2</v>
      </c>
      <c r="P567" s="21">
        <v>8483</v>
      </c>
      <c r="Q567" s="21">
        <v>0.62939999999999996</v>
      </c>
      <c r="R567" s="21">
        <v>159</v>
      </c>
      <c r="S567" s="21">
        <v>71</v>
      </c>
      <c r="T567" s="21">
        <v>8.2400000000000001E-2</v>
      </c>
      <c r="U567" s="21">
        <v>6.1499999999999999E-2</v>
      </c>
      <c r="V567" s="21">
        <v>0.82410000000000005</v>
      </c>
      <c r="W567" s="21">
        <v>1152</v>
      </c>
      <c r="X567" s="21">
        <v>584</v>
      </c>
      <c r="Y567" s="21">
        <v>865</v>
      </c>
      <c r="Z567" s="21">
        <v>0.4</v>
      </c>
      <c r="AA567" s="21">
        <v>0.7</v>
      </c>
      <c r="AB567" s="21">
        <v>1341</v>
      </c>
      <c r="AC567" s="21">
        <v>1326</v>
      </c>
      <c r="AD567" s="21">
        <v>1400</v>
      </c>
      <c r="AE567" s="21">
        <v>124</v>
      </c>
      <c r="AF567" s="21">
        <v>8.4900000000000003E-2</v>
      </c>
      <c r="AG567" s="21">
        <v>0</v>
      </c>
      <c r="AH567" s="21">
        <v>0</v>
      </c>
      <c r="AI567" s="21">
        <v>0</v>
      </c>
      <c r="AJ567" s="21">
        <v>0.49330000000000002</v>
      </c>
      <c r="AK567" s="21">
        <v>0</v>
      </c>
      <c r="AL567" s="21">
        <v>0</v>
      </c>
      <c r="AM567" s="21">
        <v>0</v>
      </c>
      <c r="AN567" s="21">
        <v>0</v>
      </c>
      <c r="AO567" s="21">
        <v>0.80979999999999996</v>
      </c>
      <c r="AP567" s="21">
        <v>5208</v>
      </c>
      <c r="AQ567" s="21">
        <v>436</v>
      </c>
      <c r="AR567" s="21">
        <v>364</v>
      </c>
      <c r="AS567" s="21">
        <v>30</v>
      </c>
      <c r="AT567" s="21">
        <v>42</v>
      </c>
      <c r="AU567" s="21">
        <v>1401</v>
      </c>
      <c r="AV567" s="21">
        <v>92</v>
      </c>
    </row>
    <row r="568" spans="1:48" x14ac:dyDescent="0.15">
      <c r="A568" s="20" t="s">
        <v>54</v>
      </c>
      <c r="B568" s="20" t="s">
        <v>101</v>
      </c>
      <c r="C568" s="21">
        <v>0</v>
      </c>
      <c r="D568" s="21">
        <v>0</v>
      </c>
      <c r="E568" s="21">
        <v>2319</v>
      </c>
      <c r="F568" s="21">
        <v>2319</v>
      </c>
      <c r="I568" s="21">
        <v>2319</v>
      </c>
      <c r="J568" s="21">
        <v>0</v>
      </c>
      <c r="L568" s="21">
        <v>36</v>
      </c>
      <c r="M568" s="21">
        <v>0.5</v>
      </c>
      <c r="N568" s="21">
        <v>0.5</v>
      </c>
      <c r="O568" s="21">
        <v>0</v>
      </c>
      <c r="P568" s="21">
        <v>44</v>
      </c>
      <c r="Q568" s="21">
        <v>0.45450000000000002</v>
      </c>
      <c r="R568" s="21">
        <v>74</v>
      </c>
      <c r="S568" s="21">
        <v>53</v>
      </c>
      <c r="T568" s="21">
        <v>0.19650000000000001</v>
      </c>
      <c r="U568" s="21">
        <v>0</v>
      </c>
      <c r="AB568" s="21">
        <v>0</v>
      </c>
      <c r="AC568" s="21">
        <v>0</v>
      </c>
      <c r="AD568" s="21">
        <v>0</v>
      </c>
      <c r="AE568" s="21">
        <v>0</v>
      </c>
      <c r="AF568" s="21">
        <v>0</v>
      </c>
      <c r="AG568" s="21">
        <v>0</v>
      </c>
      <c r="AH568" s="21">
        <v>0</v>
      </c>
      <c r="AI568" s="21">
        <v>0</v>
      </c>
      <c r="AJ568" s="21">
        <v>0</v>
      </c>
      <c r="AK568" s="21">
        <v>0</v>
      </c>
      <c r="AL568" s="21">
        <v>0</v>
      </c>
      <c r="AM568" s="21">
        <v>0</v>
      </c>
      <c r="AN568" s="21">
        <v>0</v>
      </c>
      <c r="AP568" s="21">
        <v>6</v>
      </c>
      <c r="AQ568" s="21">
        <v>13</v>
      </c>
      <c r="AR568" s="21">
        <v>13</v>
      </c>
      <c r="AS568" s="21">
        <v>0</v>
      </c>
      <c r="AV568" s="21">
        <v>0</v>
      </c>
    </row>
    <row r="569" spans="1:48" x14ac:dyDescent="0.15">
      <c r="A569" s="20" t="s">
        <v>55</v>
      </c>
      <c r="B569" s="20" t="s">
        <v>101</v>
      </c>
      <c r="C569" s="21">
        <v>0</v>
      </c>
      <c r="D569" s="21">
        <v>0</v>
      </c>
      <c r="E569" s="21">
        <v>0</v>
      </c>
      <c r="F569" s="21">
        <v>0</v>
      </c>
      <c r="AB569" s="21">
        <v>0</v>
      </c>
      <c r="AC569" s="21">
        <v>0</v>
      </c>
      <c r="AD569" s="21">
        <v>0</v>
      </c>
      <c r="AE569" s="21">
        <v>0</v>
      </c>
      <c r="AF569" s="21">
        <v>0</v>
      </c>
      <c r="AG569" s="21">
        <v>0</v>
      </c>
      <c r="AH569" s="21">
        <v>0</v>
      </c>
      <c r="AI569" s="21">
        <v>0</v>
      </c>
      <c r="AJ569" s="21">
        <v>0</v>
      </c>
      <c r="AK569" s="21">
        <v>0</v>
      </c>
      <c r="AL569" s="21">
        <v>0</v>
      </c>
      <c r="AM569" s="21">
        <v>0</v>
      </c>
      <c r="AN569" s="21">
        <v>0</v>
      </c>
    </row>
    <row r="570" spans="1:48" x14ac:dyDescent="0.15">
      <c r="A570" s="20" t="s">
        <v>56</v>
      </c>
      <c r="B570" s="20" t="s">
        <v>101</v>
      </c>
      <c r="C570" s="21">
        <v>0</v>
      </c>
      <c r="D570" s="21">
        <v>0</v>
      </c>
      <c r="E570" s="21">
        <v>41425</v>
      </c>
      <c r="F570" s="21">
        <v>41425</v>
      </c>
      <c r="H570" s="21">
        <v>864</v>
      </c>
      <c r="J570" s="21">
        <v>13982</v>
      </c>
      <c r="K570" s="21">
        <v>20746</v>
      </c>
      <c r="L570" s="21">
        <v>104</v>
      </c>
      <c r="M570" s="21">
        <v>0.85050000000000003</v>
      </c>
      <c r="N570" s="21">
        <v>0.85050000000000003</v>
      </c>
      <c r="O570" s="21">
        <v>0</v>
      </c>
      <c r="P570" s="21">
        <v>591</v>
      </c>
      <c r="Q570" s="21">
        <v>0.44669999999999999</v>
      </c>
      <c r="R570" s="21">
        <v>418</v>
      </c>
      <c r="S570" s="21">
        <v>70</v>
      </c>
      <c r="T570" s="21">
        <v>4.5900000000000003E-2</v>
      </c>
      <c r="U570" s="21">
        <v>1.35E-2</v>
      </c>
      <c r="W570" s="21">
        <v>0</v>
      </c>
      <c r="X570" s="21">
        <v>0</v>
      </c>
      <c r="Y570" s="21">
        <v>0</v>
      </c>
      <c r="AB570" s="21">
        <v>0</v>
      </c>
      <c r="AC570" s="21">
        <v>0</v>
      </c>
      <c r="AD570" s="21">
        <v>0</v>
      </c>
      <c r="AE570" s="21">
        <v>0</v>
      </c>
      <c r="AF570" s="21">
        <v>0</v>
      </c>
      <c r="AG570" s="21">
        <v>0</v>
      </c>
      <c r="AH570" s="21">
        <v>0</v>
      </c>
      <c r="AI570" s="21">
        <v>0</v>
      </c>
      <c r="AJ570" s="21">
        <v>0</v>
      </c>
      <c r="AK570" s="21">
        <v>0</v>
      </c>
      <c r="AL570" s="21">
        <v>0</v>
      </c>
      <c r="AM570" s="21">
        <v>0</v>
      </c>
      <c r="AN570" s="21">
        <v>0</v>
      </c>
      <c r="AP570" s="21">
        <v>1570</v>
      </c>
      <c r="AQ570" s="21">
        <v>14</v>
      </c>
      <c r="AR570" s="21">
        <v>5</v>
      </c>
      <c r="AS570" s="21">
        <v>9</v>
      </c>
      <c r="AU570" s="21">
        <v>0</v>
      </c>
      <c r="AV570" s="21">
        <v>0</v>
      </c>
    </row>
    <row r="571" spans="1:48" x14ac:dyDescent="0.15">
      <c r="A571" s="20" t="s">
        <v>57</v>
      </c>
      <c r="B571" s="20" t="s">
        <v>101</v>
      </c>
      <c r="C571" s="21">
        <v>0</v>
      </c>
      <c r="D571" s="21">
        <v>255</v>
      </c>
      <c r="E571" s="21">
        <v>128696</v>
      </c>
      <c r="F571" s="21">
        <v>128951</v>
      </c>
      <c r="G571" s="21">
        <v>13508</v>
      </c>
      <c r="H571" s="21">
        <v>17125</v>
      </c>
      <c r="I571" s="21">
        <v>31457</v>
      </c>
      <c r="J571" s="21">
        <v>47875</v>
      </c>
      <c r="K571" s="21">
        <v>2501</v>
      </c>
      <c r="L571" s="21">
        <v>412</v>
      </c>
      <c r="M571" s="21">
        <v>0.77910000000000001</v>
      </c>
      <c r="N571" s="21">
        <v>0.77200000000000002</v>
      </c>
      <c r="O571" s="21">
        <v>7.3599999999999999E-2</v>
      </c>
      <c r="P571" s="21">
        <v>650</v>
      </c>
      <c r="Q571" s="21">
        <v>0.68</v>
      </c>
      <c r="R571" s="21">
        <v>320</v>
      </c>
      <c r="S571" s="21">
        <v>198</v>
      </c>
      <c r="T571" s="21">
        <v>0.1003</v>
      </c>
      <c r="U571" s="21">
        <v>6.2399999999999997E-2</v>
      </c>
      <c r="V571" s="21">
        <v>0.79720000000000002</v>
      </c>
      <c r="W571" s="21">
        <v>220</v>
      </c>
      <c r="X571" s="21">
        <v>113</v>
      </c>
      <c r="Y571" s="21">
        <v>114</v>
      </c>
      <c r="Z571" s="21">
        <v>0.4</v>
      </c>
      <c r="AA571" s="21">
        <v>1</v>
      </c>
      <c r="AB571" s="21">
        <v>230</v>
      </c>
      <c r="AC571" s="21">
        <v>230</v>
      </c>
      <c r="AD571" s="21">
        <v>262</v>
      </c>
      <c r="AE571" s="21">
        <v>14</v>
      </c>
      <c r="AF571" s="21">
        <v>4.7600000000000003E-2</v>
      </c>
      <c r="AG571" s="21">
        <v>0</v>
      </c>
      <c r="AH571" s="21">
        <v>0</v>
      </c>
      <c r="AI571" s="21">
        <v>0</v>
      </c>
      <c r="AJ571" s="21">
        <v>0.40620000000000001</v>
      </c>
      <c r="AK571" s="21">
        <v>0</v>
      </c>
      <c r="AL571" s="21">
        <v>0</v>
      </c>
      <c r="AM571" s="21">
        <v>0</v>
      </c>
      <c r="AN571" s="21">
        <v>0</v>
      </c>
      <c r="AO571" s="21">
        <v>0.84789999999999999</v>
      </c>
      <c r="AP571" s="21">
        <v>194</v>
      </c>
      <c r="AQ571" s="21">
        <v>177</v>
      </c>
      <c r="AR571" s="21">
        <v>164</v>
      </c>
      <c r="AS571" s="21">
        <v>13</v>
      </c>
      <c r="AT571" s="21">
        <v>0</v>
      </c>
      <c r="AU571" s="21">
        <v>228</v>
      </c>
      <c r="AV571" s="21">
        <v>31</v>
      </c>
    </row>
    <row r="572" spans="1:48" x14ac:dyDescent="0.15">
      <c r="A572" s="20" t="s">
        <v>58</v>
      </c>
      <c r="B572" s="20" t="s">
        <v>101</v>
      </c>
      <c r="C572" s="21">
        <v>0</v>
      </c>
      <c r="D572" s="21">
        <v>0</v>
      </c>
      <c r="E572" s="21">
        <v>6328</v>
      </c>
      <c r="F572" s="21">
        <v>6328</v>
      </c>
      <c r="H572" s="21">
        <v>6328</v>
      </c>
      <c r="L572" s="21">
        <v>90</v>
      </c>
      <c r="M572" s="21">
        <v>0.68130000000000002</v>
      </c>
      <c r="N572" s="21">
        <v>0.68130000000000002</v>
      </c>
      <c r="O572" s="21">
        <v>0</v>
      </c>
      <c r="P572" s="21">
        <v>277</v>
      </c>
      <c r="Q572" s="21">
        <v>0.38629999999999998</v>
      </c>
      <c r="R572" s="21">
        <v>81</v>
      </c>
      <c r="S572" s="21">
        <v>23</v>
      </c>
      <c r="T572" s="21">
        <v>0.1467</v>
      </c>
      <c r="U572" s="21">
        <v>0</v>
      </c>
      <c r="AB572" s="21">
        <v>0</v>
      </c>
      <c r="AC572" s="21">
        <v>0</v>
      </c>
      <c r="AD572" s="21">
        <v>0</v>
      </c>
      <c r="AE572" s="21">
        <v>0</v>
      </c>
      <c r="AF572" s="21">
        <v>0</v>
      </c>
      <c r="AG572" s="21">
        <v>0</v>
      </c>
      <c r="AH572" s="21">
        <v>0</v>
      </c>
      <c r="AI572" s="21">
        <v>0</v>
      </c>
      <c r="AJ572" s="21">
        <v>0</v>
      </c>
      <c r="AK572" s="21">
        <v>0</v>
      </c>
      <c r="AL572" s="21">
        <v>0</v>
      </c>
      <c r="AM572" s="21">
        <v>0</v>
      </c>
      <c r="AN572" s="21">
        <v>0</v>
      </c>
      <c r="AP572" s="21">
        <v>17</v>
      </c>
      <c r="AQ572" s="21">
        <v>7</v>
      </c>
      <c r="AR572" s="21">
        <v>7</v>
      </c>
      <c r="AS572" s="21">
        <v>0</v>
      </c>
      <c r="AV572" s="21">
        <v>0</v>
      </c>
    </row>
    <row r="573" spans="1:48" x14ac:dyDescent="0.15">
      <c r="A573" s="20" t="s">
        <v>59</v>
      </c>
      <c r="B573" s="20" t="s">
        <v>101</v>
      </c>
      <c r="C573" s="21">
        <v>0</v>
      </c>
      <c r="D573" s="21">
        <v>0</v>
      </c>
      <c r="E573" s="21">
        <v>0</v>
      </c>
      <c r="F573" s="21">
        <v>0</v>
      </c>
      <c r="AB573" s="21">
        <v>0</v>
      </c>
      <c r="AC573" s="21">
        <v>0</v>
      </c>
      <c r="AD573" s="21">
        <v>0</v>
      </c>
      <c r="AE573" s="21">
        <v>0</v>
      </c>
      <c r="AF573" s="21">
        <v>0</v>
      </c>
      <c r="AG573" s="21">
        <v>0</v>
      </c>
      <c r="AH573" s="21">
        <v>0</v>
      </c>
      <c r="AI573" s="21">
        <v>0</v>
      </c>
      <c r="AJ573" s="21">
        <v>0</v>
      </c>
      <c r="AK573" s="21">
        <v>0</v>
      </c>
      <c r="AL573" s="21">
        <v>0</v>
      </c>
      <c r="AM573" s="21">
        <v>0</v>
      </c>
      <c r="AN573" s="21">
        <v>0</v>
      </c>
    </row>
    <row r="574" spans="1:48" x14ac:dyDescent="0.15">
      <c r="A574" s="20" t="s">
        <v>60</v>
      </c>
      <c r="B574" s="20" t="s">
        <v>101</v>
      </c>
      <c r="C574" s="21">
        <v>0</v>
      </c>
      <c r="D574" s="21">
        <v>8</v>
      </c>
      <c r="E574" s="21">
        <v>45053</v>
      </c>
      <c r="F574" s="21">
        <v>45061</v>
      </c>
      <c r="G574" s="21">
        <v>0</v>
      </c>
      <c r="H574" s="21">
        <v>11705</v>
      </c>
      <c r="I574" s="21">
        <v>10843</v>
      </c>
      <c r="J574" s="21">
        <v>19609</v>
      </c>
      <c r="K574" s="21">
        <v>2905</v>
      </c>
      <c r="L574" s="21">
        <v>240</v>
      </c>
      <c r="M574" s="21">
        <v>0.749</v>
      </c>
      <c r="N574" s="21">
        <v>0.749</v>
      </c>
      <c r="O574" s="21">
        <v>4.1000000000000003E-3</v>
      </c>
      <c r="P574" s="21">
        <v>316</v>
      </c>
      <c r="Q574" s="21">
        <v>0.73419999999999996</v>
      </c>
      <c r="R574" s="21">
        <v>191</v>
      </c>
      <c r="S574" s="21">
        <v>143</v>
      </c>
      <c r="T574" s="21">
        <v>9.06E-2</v>
      </c>
      <c r="U574" s="21">
        <v>6.4899999999999999E-2</v>
      </c>
      <c r="W574" s="21">
        <v>2</v>
      </c>
      <c r="X574" s="21">
        <v>1</v>
      </c>
      <c r="Y574" s="21">
        <v>1</v>
      </c>
      <c r="AA574" s="21">
        <v>0.9</v>
      </c>
      <c r="AB574" s="21">
        <v>0</v>
      </c>
      <c r="AC574" s="21">
        <v>0</v>
      </c>
      <c r="AD574" s="21">
        <v>0</v>
      </c>
      <c r="AE574" s="21">
        <v>0</v>
      </c>
      <c r="AF574" s="21">
        <v>0</v>
      </c>
      <c r="AG574" s="21">
        <v>0</v>
      </c>
      <c r="AH574" s="21">
        <v>0</v>
      </c>
      <c r="AI574" s="21">
        <v>0</v>
      </c>
      <c r="AJ574" s="21">
        <v>0</v>
      </c>
      <c r="AK574" s="21">
        <v>0</v>
      </c>
      <c r="AL574" s="21">
        <v>0</v>
      </c>
      <c r="AM574" s="21">
        <v>0</v>
      </c>
      <c r="AN574" s="21">
        <v>0</v>
      </c>
      <c r="AP574" s="21">
        <v>1712</v>
      </c>
      <c r="AQ574" s="21">
        <v>3</v>
      </c>
      <c r="AR574" s="21">
        <v>3</v>
      </c>
      <c r="AS574" s="21">
        <v>0</v>
      </c>
      <c r="AU574" s="21">
        <v>80</v>
      </c>
      <c r="AV574" s="21">
        <v>0</v>
      </c>
    </row>
    <row r="575" spans="1:48" x14ac:dyDescent="0.15">
      <c r="A575" s="20" t="s">
        <v>61</v>
      </c>
      <c r="B575" s="20" t="s">
        <v>101</v>
      </c>
      <c r="C575" s="21">
        <v>0</v>
      </c>
      <c r="D575" s="21">
        <v>8</v>
      </c>
      <c r="E575" s="21">
        <v>28256</v>
      </c>
      <c r="F575" s="21">
        <v>28264</v>
      </c>
      <c r="G575" s="21">
        <v>0</v>
      </c>
      <c r="H575" s="21">
        <v>5566</v>
      </c>
      <c r="I575" s="21">
        <v>8141</v>
      </c>
      <c r="J575" s="21">
        <v>10553</v>
      </c>
      <c r="K575" s="21">
        <v>1268</v>
      </c>
      <c r="L575" s="21">
        <v>154</v>
      </c>
      <c r="M575" s="21">
        <v>0.76280000000000003</v>
      </c>
      <c r="N575" s="21">
        <v>0.76280000000000003</v>
      </c>
      <c r="O575" s="21">
        <v>2.5600000000000001E-2</v>
      </c>
      <c r="P575" s="21">
        <v>180</v>
      </c>
      <c r="Q575" s="21">
        <v>0.91110000000000002</v>
      </c>
      <c r="R575" s="21">
        <v>188</v>
      </c>
      <c r="S575" s="21">
        <v>157</v>
      </c>
      <c r="T575" s="21">
        <v>6.8199999999999997E-2</v>
      </c>
      <c r="U575" s="21">
        <v>7.3700000000000002E-2</v>
      </c>
      <c r="V575" s="21">
        <v>0.91379999999999995</v>
      </c>
      <c r="W575" s="21">
        <v>2</v>
      </c>
      <c r="X575" s="21">
        <v>1</v>
      </c>
      <c r="Y575" s="21">
        <v>1</v>
      </c>
      <c r="AA575" s="21">
        <v>0.8</v>
      </c>
      <c r="AB575" s="21">
        <v>0</v>
      </c>
      <c r="AC575" s="21">
        <v>0</v>
      </c>
      <c r="AD575" s="21">
        <v>0</v>
      </c>
      <c r="AE575" s="21">
        <v>0</v>
      </c>
      <c r="AF575" s="21">
        <v>0</v>
      </c>
      <c r="AG575" s="21">
        <v>0</v>
      </c>
      <c r="AH575" s="21">
        <v>0</v>
      </c>
      <c r="AI575" s="21">
        <v>0</v>
      </c>
      <c r="AJ575" s="21">
        <v>0</v>
      </c>
      <c r="AK575" s="21">
        <v>0</v>
      </c>
      <c r="AL575" s="21">
        <v>0</v>
      </c>
      <c r="AM575" s="21">
        <v>0</v>
      </c>
      <c r="AN575" s="21">
        <v>0</v>
      </c>
      <c r="AP575" s="21">
        <v>1</v>
      </c>
      <c r="AQ575" s="21">
        <v>1</v>
      </c>
      <c r="AR575" s="21">
        <v>0</v>
      </c>
      <c r="AS575" s="21">
        <v>1</v>
      </c>
      <c r="AU575" s="21">
        <v>109</v>
      </c>
      <c r="AV575" s="21">
        <v>0</v>
      </c>
    </row>
    <row r="576" spans="1:48" x14ac:dyDescent="0.15">
      <c r="A576" s="20" t="s">
        <v>48</v>
      </c>
      <c r="B576" s="20" t="s">
        <v>102</v>
      </c>
      <c r="C576" s="21">
        <v>0</v>
      </c>
      <c r="D576" s="21">
        <v>0</v>
      </c>
      <c r="E576" s="21">
        <v>56244</v>
      </c>
      <c r="F576" s="21">
        <v>56244</v>
      </c>
      <c r="H576" s="21">
        <v>20265</v>
      </c>
      <c r="I576" s="21">
        <v>9808</v>
      </c>
      <c r="J576" s="21">
        <v>13708</v>
      </c>
      <c r="K576" s="21">
        <v>1049</v>
      </c>
      <c r="L576" s="21">
        <v>411</v>
      </c>
      <c r="M576" s="21">
        <v>0.68479999999999996</v>
      </c>
      <c r="N576" s="21">
        <v>0.68479999999999996</v>
      </c>
      <c r="O576" s="21">
        <v>0</v>
      </c>
      <c r="P576" s="21">
        <v>754</v>
      </c>
      <c r="Q576" s="21">
        <v>0.55169999999999997</v>
      </c>
      <c r="R576" s="21">
        <v>142</v>
      </c>
      <c r="S576" s="21">
        <v>75</v>
      </c>
      <c r="T576" s="21">
        <v>7.6300000000000007E-2</v>
      </c>
      <c r="U576" s="21">
        <v>4.5400000000000003E-2</v>
      </c>
      <c r="V576" s="21">
        <v>0.8</v>
      </c>
      <c r="W576" s="21">
        <v>259</v>
      </c>
      <c r="X576" s="21">
        <v>185</v>
      </c>
      <c r="Y576" s="21">
        <v>479</v>
      </c>
      <c r="Z576" s="21">
        <v>1.6</v>
      </c>
      <c r="AA576" s="21">
        <v>0.4</v>
      </c>
      <c r="AB576" s="21">
        <v>115</v>
      </c>
      <c r="AC576" s="21">
        <v>115</v>
      </c>
      <c r="AD576" s="21">
        <v>113</v>
      </c>
      <c r="AE576" s="21">
        <v>5</v>
      </c>
      <c r="AF576" s="21">
        <v>4.4999999999999998E-2</v>
      </c>
      <c r="AG576" s="21">
        <v>0</v>
      </c>
      <c r="AH576" s="21">
        <v>0</v>
      </c>
      <c r="AI576" s="21">
        <v>0</v>
      </c>
      <c r="AJ576" s="21">
        <v>0.6875</v>
      </c>
      <c r="AK576" s="21">
        <v>0</v>
      </c>
      <c r="AL576" s="21">
        <v>0</v>
      </c>
      <c r="AM576" s="21">
        <v>0</v>
      </c>
      <c r="AN576" s="21">
        <v>0</v>
      </c>
      <c r="AO576" s="21">
        <v>0.68500000000000005</v>
      </c>
      <c r="AP576" s="21">
        <v>9</v>
      </c>
      <c r="AQ576" s="21">
        <v>9</v>
      </c>
      <c r="AR576" s="21">
        <v>9</v>
      </c>
      <c r="AS576" s="21">
        <v>0</v>
      </c>
      <c r="AU576" s="21">
        <v>956</v>
      </c>
      <c r="AV576" s="21">
        <v>28</v>
      </c>
    </row>
    <row r="577" spans="1:48" x14ac:dyDescent="0.15">
      <c r="A577" s="20" t="s">
        <v>50</v>
      </c>
      <c r="B577" s="20" t="s">
        <v>102</v>
      </c>
      <c r="C577" s="21">
        <v>0</v>
      </c>
      <c r="D577" s="21">
        <v>3</v>
      </c>
      <c r="E577" s="21">
        <v>61550</v>
      </c>
      <c r="F577" s="21">
        <v>61553</v>
      </c>
      <c r="G577" s="21">
        <v>0</v>
      </c>
      <c r="H577" s="21">
        <v>38933</v>
      </c>
      <c r="I577" s="21">
        <v>0</v>
      </c>
      <c r="J577" s="21">
        <v>15659</v>
      </c>
      <c r="K577" s="21">
        <v>740</v>
      </c>
      <c r="L577" s="21">
        <v>438</v>
      </c>
      <c r="M577" s="21">
        <v>0.8659</v>
      </c>
      <c r="N577" s="21">
        <v>0.8659</v>
      </c>
      <c r="O577" s="21">
        <v>6.7999999999999996E-3</v>
      </c>
      <c r="P577" s="21">
        <v>884</v>
      </c>
      <c r="Q577" s="21">
        <v>0.70140000000000002</v>
      </c>
      <c r="R577" s="21">
        <v>148</v>
      </c>
      <c r="S577" s="21">
        <v>70</v>
      </c>
      <c r="T577" s="21">
        <v>8.4900000000000003E-2</v>
      </c>
      <c r="U577" s="21">
        <v>4.6300000000000001E-2</v>
      </c>
      <c r="V577" s="21">
        <v>1</v>
      </c>
      <c r="W577" s="21">
        <v>161</v>
      </c>
      <c r="X577" s="21">
        <v>77</v>
      </c>
      <c r="Y577" s="21">
        <v>77</v>
      </c>
      <c r="Z577" s="21">
        <v>0.5</v>
      </c>
      <c r="AA577" s="21">
        <v>1</v>
      </c>
      <c r="AB577" s="21">
        <v>163</v>
      </c>
      <c r="AC577" s="21">
        <v>163</v>
      </c>
      <c r="AD577" s="21">
        <v>156</v>
      </c>
      <c r="AE577" s="21">
        <v>16</v>
      </c>
      <c r="AF577" s="21">
        <v>0.1081</v>
      </c>
      <c r="AG577" s="21">
        <v>0</v>
      </c>
      <c r="AH577" s="21">
        <v>0</v>
      </c>
      <c r="AI577" s="21">
        <v>0</v>
      </c>
      <c r="AJ577" s="21">
        <v>0.52939999999999998</v>
      </c>
      <c r="AK577" s="21">
        <v>0</v>
      </c>
      <c r="AL577" s="21">
        <v>0</v>
      </c>
      <c r="AM577" s="21">
        <v>0</v>
      </c>
      <c r="AN577" s="21">
        <v>0</v>
      </c>
      <c r="AO577" s="21">
        <v>0.59319999999999995</v>
      </c>
      <c r="AP577" s="21">
        <v>2542</v>
      </c>
      <c r="AQ577" s="21">
        <v>105</v>
      </c>
      <c r="AR577" s="21">
        <v>63</v>
      </c>
      <c r="AS577" s="21">
        <v>0</v>
      </c>
      <c r="AT577" s="21">
        <v>42</v>
      </c>
      <c r="AU577" s="21">
        <v>361</v>
      </c>
      <c r="AV577" s="21">
        <v>13</v>
      </c>
    </row>
    <row r="578" spans="1:48" x14ac:dyDescent="0.15">
      <c r="A578" s="20" t="s">
        <v>51</v>
      </c>
      <c r="B578" s="20" t="s">
        <v>102</v>
      </c>
      <c r="C578" s="21">
        <v>0</v>
      </c>
      <c r="D578" s="21">
        <v>45</v>
      </c>
      <c r="E578" s="21">
        <v>125255</v>
      </c>
      <c r="F578" s="21">
        <v>125300</v>
      </c>
      <c r="G578" s="21">
        <v>0</v>
      </c>
      <c r="H578" s="21">
        <v>42021</v>
      </c>
      <c r="I578" s="21">
        <v>35157</v>
      </c>
      <c r="J578" s="21">
        <v>21348</v>
      </c>
      <c r="K578" s="21">
        <v>22811</v>
      </c>
      <c r="L578" s="21">
        <v>1542</v>
      </c>
      <c r="M578" s="21">
        <v>0.78069999999999995</v>
      </c>
      <c r="N578" s="21">
        <v>0.78069999999999995</v>
      </c>
      <c r="O578" s="21">
        <v>1.34E-2</v>
      </c>
      <c r="P578" s="21">
        <v>3185</v>
      </c>
      <c r="Q578" s="21">
        <v>0.64929999999999999</v>
      </c>
      <c r="R578" s="21">
        <v>82</v>
      </c>
      <c r="S578" s="21">
        <v>39</v>
      </c>
      <c r="T578" s="21">
        <v>0.107</v>
      </c>
      <c r="U578" s="21">
        <v>6.4100000000000004E-2</v>
      </c>
      <c r="V578" s="21">
        <v>0.80179999999999996</v>
      </c>
      <c r="W578" s="21">
        <v>983</v>
      </c>
      <c r="X578" s="21">
        <v>498</v>
      </c>
      <c r="Y578" s="21">
        <v>807</v>
      </c>
      <c r="Z578" s="21">
        <v>0.7</v>
      </c>
      <c r="AA578" s="21">
        <v>0.6</v>
      </c>
      <c r="AB578" s="21">
        <v>746</v>
      </c>
      <c r="AC578" s="21">
        <v>746</v>
      </c>
      <c r="AD578" s="21">
        <v>710</v>
      </c>
      <c r="AE578" s="21">
        <v>92</v>
      </c>
      <c r="AF578" s="21">
        <v>0.13650000000000001</v>
      </c>
      <c r="AG578" s="21">
        <v>0</v>
      </c>
      <c r="AH578" s="21">
        <v>0</v>
      </c>
      <c r="AI578" s="21">
        <v>0</v>
      </c>
      <c r="AJ578" s="21">
        <v>0.74760000000000004</v>
      </c>
      <c r="AK578" s="21">
        <v>0</v>
      </c>
      <c r="AL578" s="21">
        <v>0</v>
      </c>
      <c r="AM578" s="21">
        <v>0</v>
      </c>
      <c r="AN578" s="21">
        <v>0</v>
      </c>
      <c r="AP578" s="21">
        <v>1259</v>
      </c>
      <c r="AQ578" s="21">
        <v>102</v>
      </c>
      <c r="AR578" s="21">
        <v>86</v>
      </c>
      <c r="AS578" s="21">
        <v>16</v>
      </c>
      <c r="AT578" s="21">
        <v>0</v>
      </c>
      <c r="AU578" s="21">
        <v>878</v>
      </c>
      <c r="AV578" s="21">
        <v>63</v>
      </c>
    </row>
    <row r="579" spans="1:48" x14ac:dyDescent="0.15">
      <c r="A579" s="20" t="s">
        <v>52</v>
      </c>
      <c r="B579" s="20" t="s">
        <v>102</v>
      </c>
      <c r="C579" s="21">
        <v>0</v>
      </c>
      <c r="D579" s="21">
        <v>0</v>
      </c>
      <c r="E579" s="21">
        <v>115489</v>
      </c>
      <c r="F579" s="21">
        <v>115489</v>
      </c>
      <c r="G579" s="21">
        <v>0</v>
      </c>
      <c r="H579" s="21">
        <v>28061</v>
      </c>
      <c r="I579" s="21">
        <v>27197</v>
      </c>
      <c r="J579" s="21">
        <v>26668</v>
      </c>
      <c r="K579" s="21">
        <v>9990</v>
      </c>
      <c r="L579" s="21">
        <v>581</v>
      </c>
      <c r="M579" s="21">
        <v>0.89129999999999998</v>
      </c>
      <c r="N579" s="21">
        <v>0.89129999999999998</v>
      </c>
      <c r="O579" s="21">
        <v>1.6999999999999999E-3</v>
      </c>
      <c r="P579" s="21">
        <v>1638</v>
      </c>
      <c r="Q579" s="21">
        <v>0.65690000000000004</v>
      </c>
      <c r="R579" s="21">
        <v>202</v>
      </c>
      <c r="S579" s="21">
        <v>71</v>
      </c>
      <c r="T579" s="21">
        <v>8.5800000000000001E-2</v>
      </c>
      <c r="U579" s="21">
        <v>6.8199999999999997E-2</v>
      </c>
      <c r="V579" s="21">
        <v>0.73529999999999995</v>
      </c>
      <c r="W579" s="21">
        <v>305</v>
      </c>
      <c r="X579" s="21">
        <v>133</v>
      </c>
      <c r="Y579" s="21">
        <v>110</v>
      </c>
      <c r="Z579" s="21">
        <v>0.7</v>
      </c>
      <c r="AA579" s="21">
        <v>1.2</v>
      </c>
      <c r="AB579" s="21">
        <v>192</v>
      </c>
      <c r="AC579" s="21">
        <v>192</v>
      </c>
      <c r="AD579" s="21">
        <v>185</v>
      </c>
      <c r="AE579" s="21">
        <v>29</v>
      </c>
      <c r="AF579" s="21">
        <v>0.16289999999999999</v>
      </c>
      <c r="AG579" s="21">
        <v>0</v>
      </c>
      <c r="AH579" s="21">
        <v>0</v>
      </c>
      <c r="AI579" s="21">
        <v>0</v>
      </c>
      <c r="AJ579" s="21">
        <v>0.64290000000000003</v>
      </c>
      <c r="AK579" s="21">
        <v>0</v>
      </c>
      <c r="AL579" s="21">
        <v>0</v>
      </c>
      <c r="AM579" s="21">
        <v>0</v>
      </c>
      <c r="AN579" s="21">
        <v>0</v>
      </c>
      <c r="AO579" s="21">
        <v>0.87070000000000003</v>
      </c>
      <c r="AP579" s="21">
        <v>8</v>
      </c>
      <c r="AQ579" s="21">
        <v>8</v>
      </c>
      <c r="AR579" s="21">
        <v>7</v>
      </c>
      <c r="AS579" s="21">
        <v>1</v>
      </c>
      <c r="AT579" s="21">
        <v>0</v>
      </c>
      <c r="AU579" s="21">
        <v>458</v>
      </c>
      <c r="AV579" s="21">
        <v>31</v>
      </c>
    </row>
    <row r="580" spans="1:48" x14ac:dyDescent="0.15">
      <c r="A580" s="20" t="s">
        <v>53</v>
      </c>
      <c r="B580" s="20" t="s">
        <v>102</v>
      </c>
      <c r="C580" s="21">
        <v>0</v>
      </c>
      <c r="D580" s="21">
        <v>0</v>
      </c>
      <c r="E580" s="21">
        <v>0</v>
      </c>
      <c r="F580" s="21">
        <v>0</v>
      </c>
      <c r="L580" s="21">
        <v>3</v>
      </c>
      <c r="M580" s="21">
        <v>0</v>
      </c>
      <c r="N580" s="21">
        <v>0</v>
      </c>
      <c r="O580" s="21">
        <v>0</v>
      </c>
      <c r="P580" s="21">
        <v>0</v>
      </c>
      <c r="R580" s="21">
        <v>0</v>
      </c>
      <c r="AB580" s="21">
        <v>0</v>
      </c>
      <c r="AC580" s="21">
        <v>0</v>
      </c>
      <c r="AD580" s="21">
        <v>0</v>
      </c>
      <c r="AE580" s="21">
        <v>0</v>
      </c>
      <c r="AF580" s="21">
        <v>0</v>
      </c>
      <c r="AG580" s="21">
        <v>0</v>
      </c>
      <c r="AH580" s="21">
        <v>0</v>
      </c>
      <c r="AI580" s="21">
        <v>0</v>
      </c>
      <c r="AJ580" s="21">
        <v>0</v>
      </c>
      <c r="AK580" s="21">
        <v>0</v>
      </c>
      <c r="AL580" s="21">
        <v>0</v>
      </c>
      <c r="AM580" s="21">
        <v>0</v>
      </c>
      <c r="AN580" s="21">
        <v>0</v>
      </c>
    </row>
    <row r="581" spans="1:48" x14ac:dyDescent="0.15">
      <c r="A581" s="20" t="s">
        <v>0</v>
      </c>
      <c r="B581" s="20" t="s">
        <v>102</v>
      </c>
      <c r="C581" s="21">
        <v>0</v>
      </c>
      <c r="D581" s="21">
        <v>494</v>
      </c>
      <c r="E581" s="21">
        <v>676348</v>
      </c>
      <c r="F581" s="21">
        <v>676842</v>
      </c>
      <c r="G581" s="21">
        <v>12752</v>
      </c>
      <c r="H581" s="21">
        <v>204854</v>
      </c>
      <c r="I581" s="21">
        <v>124212</v>
      </c>
      <c r="J581" s="21">
        <v>194186</v>
      </c>
      <c r="K581" s="21">
        <v>60360</v>
      </c>
      <c r="L581" s="21">
        <v>4198</v>
      </c>
      <c r="M581" s="21">
        <v>0.77610000000000001</v>
      </c>
      <c r="N581" s="21">
        <v>0.7742</v>
      </c>
      <c r="O581" s="21">
        <v>1.26E-2</v>
      </c>
      <c r="P581" s="21">
        <v>8537</v>
      </c>
      <c r="Q581" s="21">
        <v>0.6411</v>
      </c>
      <c r="R581" s="21">
        <v>168</v>
      </c>
      <c r="S581" s="21">
        <v>79</v>
      </c>
      <c r="T581" s="21">
        <v>8.5099999999999995E-2</v>
      </c>
      <c r="U581" s="21">
        <v>5.9299999999999999E-2</v>
      </c>
      <c r="V581" s="21">
        <v>0.79339999999999999</v>
      </c>
      <c r="W581" s="21">
        <v>2342</v>
      </c>
      <c r="X581" s="21">
        <v>1137</v>
      </c>
      <c r="Y581" s="21">
        <v>1750</v>
      </c>
      <c r="Z581" s="21">
        <v>0.8</v>
      </c>
      <c r="AA581" s="21">
        <v>0.6</v>
      </c>
      <c r="AB581" s="21">
        <v>1486</v>
      </c>
      <c r="AC581" s="21">
        <v>1486</v>
      </c>
      <c r="AD581" s="21">
        <v>1414</v>
      </c>
      <c r="AE581" s="21">
        <v>184</v>
      </c>
      <c r="AF581" s="21">
        <v>0.13719999999999999</v>
      </c>
      <c r="AG581" s="21">
        <v>0</v>
      </c>
      <c r="AH581" s="21">
        <v>0</v>
      </c>
      <c r="AI581" s="21">
        <v>0</v>
      </c>
      <c r="AJ581" s="21">
        <v>0.6804</v>
      </c>
      <c r="AK581" s="21">
        <v>0</v>
      </c>
      <c r="AL581" s="21">
        <v>0</v>
      </c>
      <c r="AM581" s="21">
        <v>0</v>
      </c>
      <c r="AN581" s="21">
        <v>0</v>
      </c>
      <c r="AO581" s="21">
        <v>0.7651</v>
      </c>
      <c r="AP581" s="21">
        <v>15075</v>
      </c>
      <c r="AQ581" s="21">
        <v>579</v>
      </c>
      <c r="AR581" s="21">
        <v>506</v>
      </c>
      <c r="AS581" s="21">
        <v>31</v>
      </c>
      <c r="AT581" s="21">
        <v>42</v>
      </c>
      <c r="AU581" s="21">
        <v>4200</v>
      </c>
      <c r="AV581" s="21">
        <v>202</v>
      </c>
    </row>
    <row r="582" spans="1:48" x14ac:dyDescent="0.15">
      <c r="A582" s="20" t="s">
        <v>54</v>
      </c>
      <c r="B582" s="20" t="s">
        <v>102</v>
      </c>
      <c r="C582" s="21">
        <v>0</v>
      </c>
      <c r="D582" s="21">
        <v>0</v>
      </c>
      <c r="E582" s="21">
        <v>2100</v>
      </c>
      <c r="F582" s="21">
        <v>2100</v>
      </c>
      <c r="I582" s="21">
        <v>2100</v>
      </c>
      <c r="J582" s="21">
        <v>0</v>
      </c>
      <c r="L582" s="21">
        <v>111</v>
      </c>
      <c r="M582" s="21">
        <v>0.1802</v>
      </c>
      <c r="N582" s="21">
        <v>0.1802</v>
      </c>
      <c r="O582" s="21">
        <v>0</v>
      </c>
      <c r="P582" s="21">
        <v>53</v>
      </c>
      <c r="Q582" s="21">
        <v>0.434</v>
      </c>
      <c r="R582" s="21">
        <v>29</v>
      </c>
      <c r="S582" s="21">
        <v>40</v>
      </c>
      <c r="T582" s="21">
        <v>0.14380000000000001</v>
      </c>
      <c r="U582" s="21">
        <v>0</v>
      </c>
      <c r="W582" s="21">
        <v>2</v>
      </c>
      <c r="X582" s="21">
        <v>1</v>
      </c>
      <c r="Y582" s="21">
        <v>1</v>
      </c>
      <c r="AA582" s="21">
        <v>0.9</v>
      </c>
      <c r="AB582" s="21">
        <v>0</v>
      </c>
      <c r="AC582" s="21">
        <v>0</v>
      </c>
      <c r="AD582" s="21">
        <v>0</v>
      </c>
      <c r="AE582" s="21">
        <v>0</v>
      </c>
      <c r="AF582" s="21">
        <v>0</v>
      </c>
      <c r="AG582" s="21">
        <v>0</v>
      </c>
      <c r="AH582" s="21">
        <v>0</v>
      </c>
      <c r="AI582" s="21">
        <v>0</v>
      </c>
      <c r="AJ582" s="21">
        <v>0</v>
      </c>
      <c r="AK582" s="21">
        <v>0</v>
      </c>
      <c r="AL582" s="21">
        <v>0</v>
      </c>
      <c r="AM582" s="21">
        <v>0</v>
      </c>
      <c r="AN582" s="21">
        <v>0</v>
      </c>
      <c r="AP582" s="21">
        <v>10032</v>
      </c>
      <c r="AQ582" s="21">
        <v>16</v>
      </c>
      <c r="AR582" s="21">
        <v>16</v>
      </c>
      <c r="AS582" s="21">
        <v>0</v>
      </c>
      <c r="AV582" s="21">
        <v>0</v>
      </c>
    </row>
    <row r="583" spans="1:48" x14ac:dyDescent="0.15">
      <c r="A583" s="20" t="s">
        <v>55</v>
      </c>
      <c r="B583" s="20" t="s">
        <v>102</v>
      </c>
      <c r="C583" s="21">
        <v>0</v>
      </c>
      <c r="D583" s="21">
        <v>0</v>
      </c>
      <c r="E583" s="21">
        <v>0</v>
      </c>
      <c r="F583" s="21">
        <v>0</v>
      </c>
      <c r="AB583" s="21">
        <v>0</v>
      </c>
      <c r="AC583" s="21">
        <v>0</v>
      </c>
      <c r="AD583" s="21">
        <v>0</v>
      </c>
      <c r="AE583" s="21">
        <v>0</v>
      </c>
      <c r="AF583" s="21">
        <v>0</v>
      </c>
      <c r="AG583" s="21">
        <v>0</v>
      </c>
      <c r="AH583" s="21">
        <v>0</v>
      </c>
      <c r="AI583" s="21">
        <v>0</v>
      </c>
      <c r="AJ583" s="21">
        <v>0</v>
      </c>
      <c r="AK583" s="21">
        <v>0</v>
      </c>
      <c r="AL583" s="21">
        <v>0</v>
      </c>
      <c r="AM583" s="21">
        <v>0</v>
      </c>
      <c r="AN583" s="21">
        <v>0</v>
      </c>
    </row>
    <row r="584" spans="1:48" x14ac:dyDescent="0.15">
      <c r="A584" s="20" t="s">
        <v>56</v>
      </c>
      <c r="B584" s="20" t="s">
        <v>102</v>
      </c>
      <c r="C584" s="21">
        <v>0</v>
      </c>
      <c r="D584" s="21">
        <v>0</v>
      </c>
      <c r="E584" s="21">
        <v>45096</v>
      </c>
      <c r="F584" s="21">
        <v>45096</v>
      </c>
      <c r="H584" s="21">
        <v>1809</v>
      </c>
      <c r="J584" s="21">
        <v>10860</v>
      </c>
      <c r="K584" s="21">
        <v>21275</v>
      </c>
      <c r="L584" s="21">
        <v>127</v>
      </c>
      <c r="M584" s="21">
        <v>0.86050000000000004</v>
      </c>
      <c r="N584" s="21">
        <v>0.86050000000000004</v>
      </c>
      <c r="O584" s="21">
        <v>0</v>
      </c>
      <c r="P584" s="21">
        <v>599</v>
      </c>
      <c r="Q584" s="21">
        <v>0.46910000000000002</v>
      </c>
      <c r="R584" s="21">
        <v>390</v>
      </c>
      <c r="S584" s="21">
        <v>75</v>
      </c>
      <c r="T584" s="21">
        <v>4.9799999999999997E-2</v>
      </c>
      <c r="U584" s="21">
        <v>1.7000000000000001E-2</v>
      </c>
      <c r="W584" s="21">
        <v>1</v>
      </c>
      <c r="X584" s="21">
        <v>1</v>
      </c>
      <c r="Y584" s="21">
        <v>3</v>
      </c>
      <c r="AA584" s="21">
        <v>0.4</v>
      </c>
      <c r="AB584" s="21">
        <v>0</v>
      </c>
      <c r="AC584" s="21">
        <v>0</v>
      </c>
      <c r="AD584" s="21">
        <v>0</v>
      </c>
      <c r="AE584" s="21">
        <v>0</v>
      </c>
      <c r="AF584" s="21">
        <v>0</v>
      </c>
      <c r="AG584" s="21">
        <v>0</v>
      </c>
      <c r="AH584" s="21">
        <v>0</v>
      </c>
      <c r="AI584" s="21">
        <v>0</v>
      </c>
      <c r="AJ584" s="21">
        <v>0</v>
      </c>
      <c r="AK584" s="21">
        <v>0</v>
      </c>
      <c r="AL584" s="21">
        <v>0</v>
      </c>
      <c r="AM584" s="21">
        <v>0</v>
      </c>
      <c r="AN584" s="21">
        <v>0</v>
      </c>
      <c r="AP584" s="21">
        <v>165</v>
      </c>
      <c r="AQ584" s="21">
        <v>15</v>
      </c>
      <c r="AR584" s="21">
        <v>6</v>
      </c>
      <c r="AS584" s="21">
        <v>9</v>
      </c>
      <c r="AU584" s="21">
        <v>0</v>
      </c>
      <c r="AV584" s="21">
        <v>0</v>
      </c>
    </row>
    <row r="585" spans="1:48" x14ac:dyDescent="0.15">
      <c r="A585" s="20" t="s">
        <v>57</v>
      </c>
      <c r="B585" s="20" t="s">
        <v>102</v>
      </c>
      <c r="C585" s="21">
        <v>0</v>
      </c>
      <c r="D585" s="21">
        <v>440</v>
      </c>
      <c r="E585" s="21">
        <v>188433</v>
      </c>
      <c r="F585" s="21">
        <v>188874</v>
      </c>
      <c r="G585" s="21">
        <v>12752</v>
      </c>
      <c r="H585" s="21">
        <v>34289</v>
      </c>
      <c r="I585" s="21">
        <v>34139</v>
      </c>
      <c r="J585" s="21">
        <v>86463</v>
      </c>
      <c r="K585" s="21">
        <v>411</v>
      </c>
      <c r="L585" s="21">
        <v>426</v>
      </c>
      <c r="M585" s="21">
        <v>0.76429999999999998</v>
      </c>
      <c r="N585" s="21">
        <v>0.746</v>
      </c>
      <c r="O585" s="21">
        <v>5.9499999999999997E-2</v>
      </c>
      <c r="P585" s="21">
        <v>651</v>
      </c>
      <c r="Q585" s="21">
        <v>0.69120000000000004</v>
      </c>
      <c r="R585" s="21">
        <v>451</v>
      </c>
      <c r="S585" s="21">
        <v>290</v>
      </c>
      <c r="T585" s="21">
        <v>7.4499999999999997E-2</v>
      </c>
      <c r="U585" s="21">
        <v>5.8000000000000003E-2</v>
      </c>
      <c r="V585" s="21">
        <v>0.83620000000000005</v>
      </c>
      <c r="W585" s="21">
        <v>193</v>
      </c>
      <c r="X585" s="21">
        <v>66</v>
      </c>
      <c r="Y585" s="21">
        <v>115</v>
      </c>
      <c r="Z585" s="21">
        <v>0.3</v>
      </c>
      <c r="AA585" s="21">
        <v>0.6</v>
      </c>
      <c r="AB585" s="21">
        <v>270</v>
      </c>
      <c r="AC585" s="21">
        <v>270</v>
      </c>
      <c r="AD585" s="21">
        <v>250</v>
      </c>
      <c r="AE585" s="21">
        <v>42</v>
      </c>
      <c r="AF585" s="21">
        <v>0.18260000000000001</v>
      </c>
      <c r="AG585" s="21">
        <v>0</v>
      </c>
      <c r="AH585" s="21">
        <v>0</v>
      </c>
      <c r="AI585" s="21">
        <v>0</v>
      </c>
      <c r="AJ585" s="21">
        <v>0.59089999999999998</v>
      </c>
      <c r="AK585" s="21">
        <v>0</v>
      </c>
      <c r="AL585" s="21">
        <v>0</v>
      </c>
      <c r="AM585" s="21">
        <v>0</v>
      </c>
      <c r="AN585" s="21">
        <v>0</v>
      </c>
      <c r="AO585" s="21">
        <v>0.78069999999999995</v>
      </c>
      <c r="AP585" s="21">
        <v>410</v>
      </c>
      <c r="AQ585" s="21">
        <v>287</v>
      </c>
      <c r="AR585" s="21">
        <v>286</v>
      </c>
      <c r="AS585" s="21">
        <v>1</v>
      </c>
      <c r="AT585" s="21">
        <v>0</v>
      </c>
      <c r="AU585" s="21">
        <v>726</v>
      </c>
      <c r="AV585" s="21">
        <v>67</v>
      </c>
    </row>
    <row r="586" spans="1:48" x14ac:dyDescent="0.15">
      <c r="A586" s="20" t="s">
        <v>58</v>
      </c>
      <c r="B586" s="20" t="s">
        <v>102</v>
      </c>
      <c r="C586" s="21">
        <v>0</v>
      </c>
      <c r="D586" s="21">
        <v>0</v>
      </c>
      <c r="E586" s="21">
        <v>22042</v>
      </c>
      <c r="F586" s="21">
        <v>22042</v>
      </c>
      <c r="H586" s="21">
        <v>22042</v>
      </c>
      <c r="L586" s="21">
        <v>153</v>
      </c>
      <c r="M586" s="21">
        <v>0.75609999999999999</v>
      </c>
      <c r="N586" s="21">
        <v>0.75609999999999999</v>
      </c>
      <c r="O586" s="21">
        <v>0</v>
      </c>
      <c r="P586" s="21">
        <v>276</v>
      </c>
      <c r="Q586" s="21">
        <v>0.52539999999999998</v>
      </c>
      <c r="R586" s="21">
        <v>181</v>
      </c>
      <c r="S586" s="21">
        <v>80</v>
      </c>
      <c r="T586" s="21">
        <v>0.1595</v>
      </c>
      <c r="U586" s="21">
        <v>1.6000000000000001E-3</v>
      </c>
      <c r="AB586" s="21">
        <v>0</v>
      </c>
      <c r="AC586" s="21">
        <v>0</v>
      </c>
      <c r="AD586" s="21">
        <v>0</v>
      </c>
      <c r="AE586" s="21">
        <v>0</v>
      </c>
      <c r="AF586" s="21">
        <v>0</v>
      </c>
      <c r="AG586" s="21">
        <v>0</v>
      </c>
      <c r="AH586" s="21">
        <v>0</v>
      </c>
      <c r="AI586" s="21">
        <v>0</v>
      </c>
      <c r="AJ586" s="21">
        <v>0</v>
      </c>
      <c r="AK586" s="21">
        <v>0</v>
      </c>
      <c r="AL586" s="21">
        <v>0</v>
      </c>
      <c r="AM586" s="21">
        <v>0</v>
      </c>
      <c r="AN586" s="21">
        <v>0</v>
      </c>
      <c r="AP586" s="21">
        <v>31</v>
      </c>
      <c r="AQ586" s="21">
        <v>11</v>
      </c>
      <c r="AR586" s="21">
        <v>11</v>
      </c>
      <c r="AS586" s="21">
        <v>0</v>
      </c>
      <c r="AV586" s="21">
        <v>0</v>
      </c>
    </row>
    <row r="587" spans="1:48" x14ac:dyDescent="0.15">
      <c r="A587" s="20" t="s">
        <v>59</v>
      </c>
      <c r="B587" s="20" t="s">
        <v>102</v>
      </c>
      <c r="C587" s="21">
        <v>0</v>
      </c>
      <c r="D587" s="21">
        <v>0</v>
      </c>
      <c r="E587" s="21">
        <v>0</v>
      </c>
      <c r="F587" s="21">
        <v>0</v>
      </c>
      <c r="AB587" s="21">
        <v>0</v>
      </c>
      <c r="AC587" s="21">
        <v>0</v>
      </c>
      <c r="AD587" s="21">
        <v>0</v>
      </c>
      <c r="AE587" s="21">
        <v>0</v>
      </c>
      <c r="AF587" s="21">
        <v>0</v>
      </c>
      <c r="AG587" s="21">
        <v>0</v>
      </c>
      <c r="AH587" s="21">
        <v>0</v>
      </c>
      <c r="AI587" s="21">
        <v>0</v>
      </c>
      <c r="AJ587" s="21">
        <v>0</v>
      </c>
      <c r="AK587" s="21">
        <v>0</v>
      </c>
      <c r="AL587" s="21">
        <v>0</v>
      </c>
      <c r="AM587" s="21">
        <v>0</v>
      </c>
      <c r="AN587" s="21">
        <v>0</v>
      </c>
    </row>
    <row r="588" spans="1:48" x14ac:dyDescent="0.15">
      <c r="A588" s="20" t="s">
        <v>60</v>
      </c>
      <c r="B588" s="20" t="s">
        <v>102</v>
      </c>
      <c r="C588" s="21">
        <v>0</v>
      </c>
      <c r="D588" s="21">
        <v>0</v>
      </c>
      <c r="E588" s="21">
        <v>30575</v>
      </c>
      <c r="F588" s="21">
        <v>30575</v>
      </c>
      <c r="G588" s="21">
        <v>0</v>
      </c>
      <c r="H588" s="21">
        <v>12461</v>
      </c>
      <c r="I588" s="21">
        <v>4869</v>
      </c>
      <c r="J588" s="21">
        <v>10433</v>
      </c>
      <c r="K588" s="21">
        <v>2812</v>
      </c>
      <c r="L588" s="21">
        <v>247</v>
      </c>
      <c r="M588" s="21">
        <v>0.71760000000000002</v>
      </c>
      <c r="N588" s="21">
        <v>0.71760000000000002</v>
      </c>
      <c r="O588" s="21">
        <v>0</v>
      </c>
      <c r="P588" s="21">
        <v>316</v>
      </c>
      <c r="Q588" s="21">
        <v>0.72470000000000001</v>
      </c>
      <c r="R588" s="21">
        <v>126</v>
      </c>
      <c r="S588" s="21">
        <v>97</v>
      </c>
      <c r="T588" s="21">
        <v>7.22E-2</v>
      </c>
      <c r="U588" s="21">
        <v>6.4399999999999999E-2</v>
      </c>
      <c r="V588" s="21">
        <v>0.45900000000000002</v>
      </c>
      <c r="W588" s="21">
        <v>230</v>
      </c>
      <c r="X588" s="21">
        <v>92</v>
      </c>
      <c r="Y588" s="21">
        <v>73</v>
      </c>
      <c r="AA588" s="21">
        <v>1.3</v>
      </c>
      <c r="AB588" s="21">
        <v>0</v>
      </c>
      <c r="AC588" s="21">
        <v>0</v>
      </c>
      <c r="AD588" s="21">
        <v>0</v>
      </c>
      <c r="AE588" s="21">
        <v>0</v>
      </c>
      <c r="AF588" s="21">
        <v>0</v>
      </c>
      <c r="AG588" s="21">
        <v>0</v>
      </c>
      <c r="AH588" s="21">
        <v>0</v>
      </c>
      <c r="AI588" s="21">
        <v>0</v>
      </c>
      <c r="AJ588" s="21">
        <v>0</v>
      </c>
      <c r="AK588" s="21">
        <v>0</v>
      </c>
      <c r="AL588" s="21">
        <v>0</v>
      </c>
      <c r="AM588" s="21">
        <v>0</v>
      </c>
      <c r="AN588" s="21">
        <v>0</v>
      </c>
      <c r="AP588" s="21">
        <v>284</v>
      </c>
      <c r="AQ588" s="21">
        <v>23</v>
      </c>
      <c r="AR588" s="21">
        <v>23</v>
      </c>
      <c r="AS588" s="21">
        <v>1</v>
      </c>
      <c r="AU588" s="21">
        <v>475</v>
      </c>
      <c r="AV588" s="21">
        <v>0</v>
      </c>
    </row>
    <row r="589" spans="1:48" x14ac:dyDescent="0.15">
      <c r="A589" s="20" t="s">
        <v>61</v>
      </c>
      <c r="B589" s="20" t="s">
        <v>102</v>
      </c>
      <c r="C589" s="21">
        <v>0</v>
      </c>
      <c r="D589" s="21">
        <v>6</v>
      </c>
      <c r="E589" s="21">
        <v>29565</v>
      </c>
      <c r="F589" s="21">
        <v>29571</v>
      </c>
      <c r="G589" s="21">
        <v>0</v>
      </c>
      <c r="H589" s="21">
        <v>4973</v>
      </c>
      <c r="I589" s="21">
        <v>10941</v>
      </c>
      <c r="J589" s="21">
        <v>9047</v>
      </c>
      <c r="K589" s="21">
        <v>1272</v>
      </c>
      <c r="L589" s="21">
        <v>159</v>
      </c>
      <c r="M589" s="21">
        <v>0.79879999999999995</v>
      </c>
      <c r="N589" s="21">
        <v>0.79879999999999995</v>
      </c>
      <c r="O589" s="21">
        <v>1.83E-2</v>
      </c>
      <c r="P589" s="21">
        <v>181</v>
      </c>
      <c r="Q589" s="21">
        <v>0.91159999999999997</v>
      </c>
      <c r="R589" s="21">
        <v>189</v>
      </c>
      <c r="S589" s="21">
        <v>163</v>
      </c>
      <c r="T589" s="21">
        <v>7.1099999999999997E-2</v>
      </c>
      <c r="U589" s="21">
        <v>7.1099999999999997E-2</v>
      </c>
      <c r="V589" s="21">
        <v>0.56410000000000005</v>
      </c>
      <c r="W589" s="21">
        <v>209</v>
      </c>
      <c r="X589" s="21">
        <v>84</v>
      </c>
      <c r="Y589" s="21">
        <v>85</v>
      </c>
      <c r="AA589" s="21">
        <v>1</v>
      </c>
      <c r="AB589" s="21">
        <v>0</v>
      </c>
      <c r="AC589" s="21">
        <v>0</v>
      </c>
      <c r="AD589" s="21">
        <v>0</v>
      </c>
      <c r="AE589" s="21">
        <v>0</v>
      </c>
      <c r="AF589" s="21">
        <v>0</v>
      </c>
      <c r="AG589" s="21">
        <v>0</v>
      </c>
      <c r="AH589" s="21">
        <v>0</v>
      </c>
      <c r="AI589" s="21">
        <v>0</v>
      </c>
      <c r="AJ589" s="21">
        <v>0</v>
      </c>
      <c r="AK589" s="21">
        <v>0</v>
      </c>
      <c r="AL589" s="21">
        <v>0</v>
      </c>
      <c r="AM589" s="21">
        <v>0</v>
      </c>
      <c r="AN589" s="21">
        <v>0</v>
      </c>
      <c r="AP589" s="21">
        <v>335</v>
      </c>
      <c r="AQ589" s="21">
        <v>0</v>
      </c>
      <c r="AR589" s="21">
        <v>0</v>
      </c>
      <c r="AS589" s="21">
        <v>0</v>
      </c>
      <c r="AU589" s="21">
        <v>346</v>
      </c>
      <c r="AV589" s="21">
        <v>0</v>
      </c>
    </row>
    <row r="590" spans="1:48" x14ac:dyDescent="0.15">
      <c r="A590" s="20" t="s">
        <v>48</v>
      </c>
      <c r="B590" s="20" t="s">
        <v>103</v>
      </c>
      <c r="C590" s="21">
        <v>0</v>
      </c>
      <c r="D590" s="21">
        <v>0</v>
      </c>
      <c r="E590" s="21">
        <v>83731</v>
      </c>
      <c r="F590" s="21">
        <v>83731</v>
      </c>
      <c r="H590" s="21">
        <v>28319</v>
      </c>
      <c r="I590" s="21">
        <v>11278</v>
      </c>
      <c r="J590" s="21">
        <v>9439</v>
      </c>
      <c r="K590" s="21">
        <v>21182</v>
      </c>
      <c r="L590" s="21">
        <v>444</v>
      </c>
      <c r="M590" s="21">
        <v>0.71299999999999997</v>
      </c>
      <c r="N590" s="21">
        <v>0.71299999999999997</v>
      </c>
      <c r="O590" s="21">
        <v>2.2000000000000001E-3</v>
      </c>
      <c r="P590" s="21">
        <v>756</v>
      </c>
      <c r="Q590" s="21">
        <v>0.60709999999999997</v>
      </c>
      <c r="R590" s="21">
        <v>196</v>
      </c>
      <c r="S590" s="21">
        <v>111</v>
      </c>
      <c r="T590" s="21">
        <v>4.7300000000000002E-2</v>
      </c>
      <c r="U590" s="21">
        <v>4.53E-2</v>
      </c>
      <c r="V590" s="21">
        <v>0.86770000000000003</v>
      </c>
      <c r="W590" s="21">
        <v>184</v>
      </c>
      <c r="X590" s="21">
        <v>103</v>
      </c>
      <c r="Y590" s="21">
        <v>183</v>
      </c>
      <c r="Z590" s="21">
        <v>0.9</v>
      </c>
      <c r="AA590" s="21">
        <v>0.6</v>
      </c>
      <c r="AB590" s="21">
        <v>127</v>
      </c>
      <c r="AC590" s="21">
        <v>127</v>
      </c>
      <c r="AD590" s="21">
        <v>121</v>
      </c>
      <c r="AE590" s="21">
        <v>29</v>
      </c>
      <c r="AF590" s="21">
        <v>0.25219999999999998</v>
      </c>
      <c r="AG590" s="21">
        <v>0</v>
      </c>
      <c r="AH590" s="21">
        <v>0</v>
      </c>
      <c r="AI590" s="21">
        <v>0</v>
      </c>
      <c r="AJ590" s="21">
        <v>0.92310000000000003</v>
      </c>
      <c r="AK590" s="21">
        <v>0</v>
      </c>
      <c r="AL590" s="21">
        <v>0</v>
      </c>
      <c r="AM590" s="21">
        <v>0</v>
      </c>
      <c r="AN590" s="21">
        <v>0</v>
      </c>
      <c r="AO590" s="21">
        <v>0.65700000000000003</v>
      </c>
      <c r="AP590" s="21">
        <v>1077</v>
      </c>
      <c r="AQ590" s="21">
        <v>14</v>
      </c>
      <c r="AR590" s="21">
        <v>12</v>
      </c>
      <c r="AS590" s="21">
        <v>2</v>
      </c>
      <c r="AU590" s="21">
        <v>1057</v>
      </c>
      <c r="AV590" s="21">
        <v>36</v>
      </c>
    </row>
    <row r="591" spans="1:48" x14ac:dyDescent="0.15">
      <c r="A591" s="20" t="s">
        <v>50</v>
      </c>
      <c r="B591" s="20" t="s">
        <v>103</v>
      </c>
      <c r="C591" s="21">
        <v>0</v>
      </c>
      <c r="D591" s="21">
        <v>1</v>
      </c>
      <c r="E591" s="21">
        <v>107377</v>
      </c>
      <c r="F591" s="21">
        <v>107378</v>
      </c>
      <c r="G591" s="21">
        <v>794</v>
      </c>
      <c r="H591" s="21">
        <v>46273</v>
      </c>
      <c r="I591" s="21">
        <v>0</v>
      </c>
      <c r="J591" s="21">
        <v>18302</v>
      </c>
      <c r="K591" s="21">
        <v>31923</v>
      </c>
      <c r="L591" s="21">
        <v>489</v>
      </c>
      <c r="M591" s="21">
        <v>0.875</v>
      </c>
      <c r="N591" s="21">
        <v>0.875</v>
      </c>
      <c r="O591" s="21">
        <v>4.0000000000000001E-3</v>
      </c>
      <c r="P591" s="21">
        <v>928</v>
      </c>
      <c r="Q591" s="21">
        <v>0.6875</v>
      </c>
      <c r="R591" s="21">
        <v>232</v>
      </c>
      <c r="S591" s="21">
        <v>116</v>
      </c>
      <c r="T591" s="21">
        <v>5.2600000000000001E-2</v>
      </c>
      <c r="U591" s="21">
        <v>4.4400000000000002E-2</v>
      </c>
      <c r="V591" s="21">
        <v>0.93930000000000002</v>
      </c>
      <c r="W591" s="21">
        <v>737</v>
      </c>
      <c r="X591" s="21">
        <v>153</v>
      </c>
      <c r="Y591" s="21">
        <v>94</v>
      </c>
      <c r="Z591" s="21">
        <v>0.9</v>
      </c>
      <c r="AA591" s="21">
        <v>1.6</v>
      </c>
      <c r="AB591" s="21">
        <v>160</v>
      </c>
      <c r="AC591" s="21">
        <v>160</v>
      </c>
      <c r="AD591" s="21">
        <v>162</v>
      </c>
      <c r="AE591" s="21">
        <v>37</v>
      </c>
      <c r="AF591" s="21">
        <v>0.22700000000000001</v>
      </c>
      <c r="AG591" s="21">
        <v>0</v>
      </c>
      <c r="AH591" s="21">
        <v>0</v>
      </c>
      <c r="AI591" s="21">
        <v>0</v>
      </c>
      <c r="AJ591" s="21">
        <v>0.55559999999999998</v>
      </c>
      <c r="AK591" s="21">
        <v>0</v>
      </c>
      <c r="AL591" s="21">
        <v>0</v>
      </c>
      <c r="AM591" s="21">
        <v>0</v>
      </c>
      <c r="AN591" s="21">
        <v>0</v>
      </c>
      <c r="AO591" s="21">
        <v>0.50019999999999998</v>
      </c>
      <c r="AP591" s="21">
        <v>1207</v>
      </c>
      <c r="AQ591" s="21">
        <v>59</v>
      </c>
      <c r="AR591" s="21">
        <v>34</v>
      </c>
      <c r="AS591" s="21">
        <v>0</v>
      </c>
      <c r="AT591" s="21">
        <v>24</v>
      </c>
      <c r="AU591" s="21">
        <v>1062</v>
      </c>
      <c r="AV591" s="21">
        <v>47</v>
      </c>
    </row>
    <row r="592" spans="1:48" x14ac:dyDescent="0.15">
      <c r="A592" s="20" t="s">
        <v>51</v>
      </c>
      <c r="B592" s="20" t="s">
        <v>103</v>
      </c>
      <c r="C592" s="21">
        <v>0</v>
      </c>
      <c r="D592" s="21">
        <v>20</v>
      </c>
      <c r="E592" s="21">
        <v>221599</v>
      </c>
      <c r="F592" s="21">
        <v>221619</v>
      </c>
      <c r="G592" s="21">
        <v>1943</v>
      </c>
      <c r="H592" s="21">
        <v>60316</v>
      </c>
      <c r="I592" s="21">
        <v>43862</v>
      </c>
      <c r="J592" s="21">
        <v>29935</v>
      </c>
      <c r="K592" s="21">
        <v>80880</v>
      </c>
      <c r="L592" s="21">
        <v>1633</v>
      </c>
      <c r="M592" s="21">
        <v>0.77780000000000005</v>
      </c>
      <c r="N592" s="21">
        <v>0.77780000000000005</v>
      </c>
      <c r="O592" s="21">
        <v>1.15E-2</v>
      </c>
      <c r="P592" s="21">
        <v>3330</v>
      </c>
      <c r="Q592" s="21">
        <v>0.66369999999999996</v>
      </c>
      <c r="R592" s="21">
        <v>140</v>
      </c>
      <c r="S592" s="21">
        <v>67</v>
      </c>
      <c r="T592" s="21">
        <v>7.2499999999999995E-2</v>
      </c>
      <c r="U592" s="21">
        <v>6.5100000000000005E-2</v>
      </c>
      <c r="V592" s="21">
        <v>0.83050000000000002</v>
      </c>
      <c r="W592" s="21">
        <v>862</v>
      </c>
      <c r="X592" s="21">
        <v>528</v>
      </c>
      <c r="Y592" s="21">
        <v>1058</v>
      </c>
      <c r="Z592" s="21">
        <v>0.5</v>
      </c>
      <c r="AA592" s="21">
        <v>0.5</v>
      </c>
      <c r="AB592" s="21">
        <v>1484</v>
      </c>
      <c r="AC592" s="21">
        <v>1053</v>
      </c>
      <c r="AD592" s="21">
        <v>1115</v>
      </c>
      <c r="AE592" s="21">
        <v>769</v>
      </c>
      <c r="AF592" s="21">
        <v>1.0307999999999999</v>
      </c>
      <c r="AG592" s="21">
        <v>0</v>
      </c>
      <c r="AH592" s="21">
        <v>0</v>
      </c>
      <c r="AI592" s="21">
        <v>0</v>
      </c>
      <c r="AJ592" s="21">
        <v>0.66669999999999996</v>
      </c>
      <c r="AK592" s="21">
        <v>0</v>
      </c>
      <c r="AL592" s="21">
        <v>0</v>
      </c>
      <c r="AM592" s="21">
        <v>0</v>
      </c>
      <c r="AN592" s="21">
        <v>0</v>
      </c>
      <c r="AP592" s="21">
        <v>883</v>
      </c>
      <c r="AQ592" s="21">
        <v>30</v>
      </c>
      <c r="AR592" s="21">
        <v>28</v>
      </c>
      <c r="AS592" s="21">
        <v>3</v>
      </c>
      <c r="AT592" s="21">
        <v>0</v>
      </c>
      <c r="AU592" s="21">
        <v>2204</v>
      </c>
      <c r="AV592" s="21">
        <v>28</v>
      </c>
    </row>
    <row r="593" spans="1:48" x14ac:dyDescent="0.15">
      <c r="A593" s="20" t="s">
        <v>52</v>
      </c>
      <c r="B593" s="20" t="s">
        <v>103</v>
      </c>
      <c r="C593" s="21">
        <v>0</v>
      </c>
      <c r="D593" s="21">
        <v>-10</v>
      </c>
      <c r="E593" s="21">
        <v>151221</v>
      </c>
      <c r="F593" s="21">
        <v>151211</v>
      </c>
      <c r="G593" s="21">
        <v>12290</v>
      </c>
      <c r="H593" s="21">
        <v>42281</v>
      </c>
      <c r="I593" s="21">
        <v>21444</v>
      </c>
      <c r="J593" s="21">
        <v>33045</v>
      </c>
      <c r="K593" s="21">
        <v>5876</v>
      </c>
      <c r="L593" s="21">
        <v>578</v>
      </c>
      <c r="M593" s="21">
        <v>0.94910000000000005</v>
      </c>
      <c r="N593" s="21">
        <v>0.94910000000000005</v>
      </c>
      <c r="O593" s="21">
        <v>0</v>
      </c>
      <c r="P593" s="21">
        <v>1657</v>
      </c>
      <c r="Q593" s="21">
        <v>0.69579999999999997</v>
      </c>
      <c r="R593" s="21">
        <v>261</v>
      </c>
      <c r="S593" s="21">
        <v>91</v>
      </c>
      <c r="T593" s="21">
        <v>7.1300000000000002E-2</v>
      </c>
      <c r="U593" s="21">
        <v>6.8099999999999994E-2</v>
      </c>
      <c r="V593" s="21">
        <v>0.87819999999999998</v>
      </c>
      <c r="W593" s="21">
        <v>190</v>
      </c>
      <c r="X593" s="21">
        <v>116</v>
      </c>
      <c r="Y593" s="21">
        <v>127</v>
      </c>
      <c r="Z593" s="21">
        <v>0.5</v>
      </c>
      <c r="AA593" s="21">
        <v>0.9</v>
      </c>
      <c r="AB593" s="21">
        <v>267</v>
      </c>
      <c r="AC593" s="21">
        <v>223</v>
      </c>
      <c r="AD593" s="21">
        <v>230</v>
      </c>
      <c r="AE593" s="21">
        <v>91</v>
      </c>
      <c r="AF593" s="21">
        <v>0.47399999999999998</v>
      </c>
      <c r="AG593" s="21">
        <v>0</v>
      </c>
      <c r="AH593" s="21">
        <v>0</v>
      </c>
      <c r="AI593" s="21">
        <v>0</v>
      </c>
      <c r="AJ593" s="21">
        <v>0.375</v>
      </c>
      <c r="AK593" s="21">
        <v>0</v>
      </c>
      <c r="AL593" s="21">
        <v>0</v>
      </c>
      <c r="AM593" s="21">
        <v>0</v>
      </c>
      <c r="AN593" s="21">
        <v>0</v>
      </c>
      <c r="AO593" s="21">
        <v>0.71309999999999996</v>
      </c>
      <c r="AP593" s="21">
        <v>17</v>
      </c>
      <c r="AQ593" s="21">
        <v>17</v>
      </c>
      <c r="AR593" s="21">
        <v>14</v>
      </c>
      <c r="AS593" s="21">
        <v>3</v>
      </c>
      <c r="AU593" s="21">
        <v>1107</v>
      </c>
      <c r="AV593" s="21">
        <v>11</v>
      </c>
    </row>
    <row r="594" spans="1:48" x14ac:dyDescent="0.15">
      <c r="A594" s="20" t="s">
        <v>53</v>
      </c>
      <c r="B594" s="20" t="s">
        <v>103</v>
      </c>
      <c r="C594" s="21">
        <v>0</v>
      </c>
      <c r="D594" s="21">
        <v>0</v>
      </c>
      <c r="E594" s="21">
        <v>2</v>
      </c>
      <c r="F594" s="21">
        <v>2</v>
      </c>
      <c r="K594" s="21">
        <v>2</v>
      </c>
      <c r="L594" s="21">
        <v>14</v>
      </c>
      <c r="M594" s="21">
        <v>0.1429</v>
      </c>
      <c r="N594" s="21">
        <v>0.1429</v>
      </c>
      <c r="O594" s="21">
        <v>0</v>
      </c>
      <c r="P594" s="21">
        <v>7</v>
      </c>
      <c r="Q594" s="21">
        <v>0.1429</v>
      </c>
      <c r="R594" s="21">
        <v>0</v>
      </c>
      <c r="S594" s="21">
        <v>0</v>
      </c>
      <c r="T594" s="21">
        <v>0</v>
      </c>
      <c r="U594" s="21">
        <v>0</v>
      </c>
      <c r="AB594" s="21">
        <v>0</v>
      </c>
      <c r="AC594" s="21">
        <v>0</v>
      </c>
      <c r="AD594" s="21">
        <v>0</v>
      </c>
      <c r="AE594" s="21">
        <v>0</v>
      </c>
      <c r="AF594" s="21">
        <v>0</v>
      </c>
      <c r="AG594" s="21">
        <v>0</v>
      </c>
      <c r="AH594" s="21">
        <v>0</v>
      </c>
      <c r="AI594" s="21">
        <v>0</v>
      </c>
      <c r="AJ594" s="21">
        <v>0</v>
      </c>
      <c r="AK594" s="21">
        <v>0</v>
      </c>
      <c r="AL594" s="21">
        <v>0</v>
      </c>
      <c r="AM594" s="21">
        <v>0</v>
      </c>
      <c r="AN594" s="21">
        <v>0</v>
      </c>
      <c r="AP594" s="21">
        <v>1</v>
      </c>
      <c r="AQ594" s="21">
        <v>0</v>
      </c>
      <c r="AS594" s="21">
        <v>0</v>
      </c>
    </row>
    <row r="595" spans="1:48" x14ac:dyDescent="0.15">
      <c r="A595" s="20" t="s">
        <v>0</v>
      </c>
      <c r="B595" s="20" t="s">
        <v>103</v>
      </c>
      <c r="C595" s="21">
        <v>0</v>
      </c>
      <c r="D595" s="21">
        <v>223</v>
      </c>
      <c r="E595" s="21">
        <v>920693</v>
      </c>
      <c r="F595" s="21">
        <v>920915</v>
      </c>
      <c r="G595" s="21">
        <v>29450</v>
      </c>
      <c r="H595" s="21">
        <v>268483</v>
      </c>
      <c r="I595" s="21">
        <v>141449</v>
      </c>
      <c r="J595" s="21">
        <v>204286</v>
      </c>
      <c r="K595" s="21">
        <v>175465</v>
      </c>
      <c r="L595" s="21">
        <v>4587</v>
      </c>
      <c r="M595" s="21">
        <v>0.77180000000000004</v>
      </c>
      <c r="N595" s="21">
        <v>0.77180000000000004</v>
      </c>
      <c r="O595" s="21">
        <v>1.2699999999999999E-2</v>
      </c>
      <c r="P595" s="21">
        <v>9121</v>
      </c>
      <c r="Q595" s="21">
        <v>0.63849999999999996</v>
      </c>
      <c r="R595" s="21">
        <v>210</v>
      </c>
      <c r="S595" s="21">
        <v>101</v>
      </c>
      <c r="T595" s="21">
        <v>7.5200000000000003E-2</v>
      </c>
      <c r="U595" s="21">
        <v>5.8400000000000001E-2</v>
      </c>
      <c r="V595" s="21">
        <v>0.84389999999999998</v>
      </c>
      <c r="W595" s="21">
        <v>2922</v>
      </c>
      <c r="X595" s="21">
        <v>1172</v>
      </c>
      <c r="Y595" s="21">
        <v>1805</v>
      </c>
      <c r="Z595" s="21">
        <v>0.5</v>
      </c>
      <c r="AA595" s="21">
        <v>0.6</v>
      </c>
      <c r="AB595" s="21">
        <v>3298</v>
      </c>
      <c r="AC595" s="21">
        <v>1955</v>
      </c>
      <c r="AD595" s="21">
        <v>2392</v>
      </c>
      <c r="AE595" s="21">
        <v>1988</v>
      </c>
      <c r="AF595" s="21">
        <v>1.3378000000000001</v>
      </c>
      <c r="AG595" s="21">
        <v>0</v>
      </c>
      <c r="AH595" s="21">
        <v>0</v>
      </c>
      <c r="AI595" s="21">
        <v>0</v>
      </c>
      <c r="AJ595" s="21">
        <v>0.63480000000000003</v>
      </c>
      <c r="AK595" s="21">
        <v>0</v>
      </c>
      <c r="AL595" s="21">
        <v>0</v>
      </c>
      <c r="AM595" s="21">
        <v>0</v>
      </c>
      <c r="AN595" s="21">
        <v>0</v>
      </c>
      <c r="AO595" s="21">
        <v>0.65790000000000004</v>
      </c>
      <c r="AP595" s="21">
        <v>10225</v>
      </c>
      <c r="AQ595" s="21">
        <v>614</v>
      </c>
      <c r="AR595" s="21">
        <v>554</v>
      </c>
      <c r="AS595" s="21">
        <v>36</v>
      </c>
      <c r="AT595" s="21">
        <v>24</v>
      </c>
      <c r="AU595" s="21">
        <v>7228</v>
      </c>
      <c r="AV595" s="21">
        <v>136</v>
      </c>
    </row>
    <row r="596" spans="1:48" x14ac:dyDescent="0.15">
      <c r="A596" s="20" t="s">
        <v>54</v>
      </c>
      <c r="B596" s="20" t="s">
        <v>103</v>
      </c>
      <c r="C596" s="21">
        <v>0</v>
      </c>
      <c r="D596" s="21">
        <v>0</v>
      </c>
      <c r="E596" s="21">
        <v>2727</v>
      </c>
      <c r="F596" s="21">
        <v>2727</v>
      </c>
      <c r="I596" s="21">
        <v>2540</v>
      </c>
      <c r="J596" s="21">
        <v>111</v>
      </c>
      <c r="K596" s="21">
        <v>76</v>
      </c>
      <c r="L596" s="21">
        <v>178</v>
      </c>
      <c r="M596" s="21">
        <v>0.2389</v>
      </c>
      <c r="N596" s="21">
        <v>0.2389</v>
      </c>
      <c r="O596" s="21">
        <v>0</v>
      </c>
      <c r="P596" s="21">
        <v>327</v>
      </c>
      <c r="Q596" s="21">
        <v>0.16819999999999999</v>
      </c>
      <c r="R596" s="21">
        <v>19</v>
      </c>
      <c r="S596" s="21">
        <v>8</v>
      </c>
      <c r="T596" s="21">
        <v>0.16930000000000001</v>
      </c>
      <c r="U596" s="21">
        <v>0</v>
      </c>
      <c r="W596" s="21">
        <v>4</v>
      </c>
      <c r="X596" s="21">
        <v>2</v>
      </c>
      <c r="Y596" s="21">
        <v>2</v>
      </c>
      <c r="AA596" s="21">
        <v>0.9</v>
      </c>
      <c r="AB596" s="21">
        <v>0</v>
      </c>
      <c r="AC596" s="21">
        <v>0</v>
      </c>
      <c r="AD596" s="21">
        <v>0</v>
      </c>
      <c r="AE596" s="21">
        <v>0</v>
      </c>
      <c r="AF596" s="21">
        <v>0</v>
      </c>
      <c r="AG596" s="21">
        <v>0</v>
      </c>
      <c r="AH596" s="21">
        <v>0</v>
      </c>
      <c r="AI596" s="21">
        <v>0</v>
      </c>
      <c r="AJ596" s="21">
        <v>0</v>
      </c>
      <c r="AK596" s="21">
        <v>0</v>
      </c>
      <c r="AL596" s="21">
        <v>0</v>
      </c>
      <c r="AM596" s="21">
        <v>0</v>
      </c>
      <c r="AN596" s="21">
        <v>0</v>
      </c>
      <c r="AP596" s="21">
        <v>23</v>
      </c>
      <c r="AQ596" s="21">
        <v>20</v>
      </c>
      <c r="AR596" s="21">
        <v>19</v>
      </c>
      <c r="AS596" s="21">
        <v>1</v>
      </c>
      <c r="AV596" s="21">
        <v>0</v>
      </c>
    </row>
    <row r="597" spans="1:48" x14ac:dyDescent="0.15">
      <c r="A597" s="20" t="s">
        <v>55</v>
      </c>
      <c r="B597" s="20" t="s">
        <v>103</v>
      </c>
      <c r="C597" s="21">
        <v>0</v>
      </c>
      <c r="D597" s="21">
        <v>0</v>
      </c>
      <c r="E597" s="21">
        <v>0</v>
      </c>
      <c r="F597" s="21">
        <v>0</v>
      </c>
      <c r="AB597" s="21">
        <v>0</v>
      </c>
      <c r="AC597" s="21">
        <v>0</v>
      </c>
      <c r="AD597" s="21">
        <v>0</v>
      </c>
      <c r="AE597" s="21">
        <v>0</v>
      </c>
      <c r="AF597" s="21">
        <v>0</v>
      </c>
      <c r="AG597" s="21">
        <v>0</v>
      </c>
      <c r="AH597" s="21">
        <v>0</v>
      </c>
      <c r="AI597" s="21">
        <v>0</v>
      </c>
      <c r="AJ597" s="21">
        <v>0</v>
      </c>
      <c r="AK597" s="21">
        <v>0</v>
      </c>
      <c r="AL597" s="21">
        <v>0</v>
      </c>
      <c r="AM597" s="21">
        <v>0</v>
      </c>
      <c r="AN597" s="21">
        <v>0</v>
      </c>
    </row>
    <row r="598" spans="1:48" x14ac:dyDescent="0.15">
      <c r="A598" s="20" t="s">
        <v>56</v>
      </c>
      <c r="B598" s="20" t="s">
        <v>103</v>
      </c>
      <c r="C598" s="21">
        <v>0</v>
      </c>
      <c r="D598" s="21">
        <v>0</v>
      </c>
      <c r="E598" s="21">
        <v>38483</v>
      </c>
      <c r="F598" s="21">
        <v>38483</v>
      </c>
      <c r="H598" s="21">
        <v>1234</v>
      </c>
      <c r="J598" s="21">
        <v>7483</v>
      </c>
      <c r="K598" s="21">
        <v>22334</v>
      </c>
      <c r="L598" s="21">
        <v>149</v>
      </c>
      <c r="M598" s="21">
        <v>0.75839999999999996</v>
      </c>
      <c r="N598" s="21">
        <v>0.75839999999999996</v>
      </c>
      <c r="O598" s="21">
        <v>0</v>
      </c>
      <c r="P598" s="21">
        <v>653</v>
      </c>
      <c r="Q598" s="21">
        <v>0.40579999999999999</v>
      </c>
      <c r="R598" s="21">
        <v>279</v>
      </c>
      <c r="S598" s="21">
        <v>59</v>
      </c>
      <c r="T598" s="21">
        <v>8.72E-2</v>
      </c>
      <c r="U598" s="21">
        <v>1.6299999999999999E-2</v>
      </c>
      <c r="W598" s="21">
        <v>195</v>
      </c>
      <c r="X598" s="21">
        <v>39</v>
      </c>
      <c r="Y598" s="21">
        <v>59</v>
      </c>
      <c r="Z598" s="21">
        <v>0.6</v>
      </c>
      <c r="AA598" s="21">
        <v>0.7</v>
      </c>
      <c r="AB598" s="21">
        <v>143</v>
      </c>
      <c r="AC598" s="21">
        <v>98</v>
      </c>
      <c r="AD598" s="21">
        <v>72</v>
      </c>
      <c r="AE598" s="21">
        <v>158</v>
      </c>
      <c r="AF598" s="21">
        <v>0</v>
      </c>
      <c r="AG598" s="21">
        <v>0</v>
      </c>
      <c r="AH598" s="21">
        <v>0</v>
      </c>
      <c r="AI598" s="21">
        <v>0</v>
      </c>
      <c r="AJ598" s="21">
        <v>0</v>
      </c>
      <c r="AK598" s="21">
        <v>0</v>
      </c>
      <c r="AL598" s="21">
        <v>0</v>
      </c>
      <c r="AM598" s="21">
        <v>0</v>
      </c>
      <c r="AN598" s="21">
        <v>0</v>
      </c>
      <c r="AP598" s="21">
        <v>136</v>
      </c>
      <c r="AQ598" s="21">
        <v>6</v>
      </c>
      <c r="AR598" s="21">
        <v>1</v>
      </c>
      <c r="AS598" s="21">
        <v>5</v>
      </c>
      <c r="AU598" s="21">
        <v>0</v>
      </c>
      <c r="AV598" s="21">
        <v>0</v>
      </c>
    </row>
    <row r="599" spans="1:48" x14ac:dyDescent="0.15">
      <c r="A599" s="20" t="s">
        <v>57</v>
      </c>
      <c r="B599" s="20" t="s">
        <v>103</v>
      </c>
      <c r="C599" s="21">
        <v>0</v>
      </c>
      <c r="D599" s="21">
        <v>203</v>
      </c>
      <c r="E599" s="21">
        <v>193853</v>
      </c>
      <c r="F599" s="21">
        <v>194056</v>
      </c>
      <c r="G599" s="21">
        <v>8443</v>
      </c>
      <c r="H599" s="21">
        <v>41330</v>
      </c>
      <c r="I599" s="21">
        <v>34708</v>
      </c>
      <c r="J599" s="21">
        <v>78032</v>
      </c>
      <c r="K599" s="21">
        <v>9717</v>
      </c>
      <c r="L599" s="21">
        <v>443</v>
      </c>
      <c r="M599" s="21">
        <v>0.78490000000000004</v>
      </c>
      <c r="N599" s="21">
        <v>0.78490000000000004</v>
      </c>
      <c r="O599" s="21">
        <v>7.7600000000000002E-2</v>
      </c>
      <c r="P599" s="21">
        <v>656</v>
      </c>
      <c r="Q599" s="21">
        <v>0.71650000000000003</v>
      </c>
      <c r="R599" s="21">
        <v>447</v>
      </c>
      <c r="S599" s="21">
        <v>296</v>
      </c>
      <c r="T599" s="21">
        <v>9.3899999999999997E-2</v>
      </c>
      <c r="U599" s="21">
        <v>5.6599999999999998E-2</v>
      </c>
      <c r="V599" s="21">
        <v>0.81010000000000004</v>
      </c>
      <c r="W599" s="21">
        <v>239</v>
      </c>
      <c r="X599" s="21">
        <v>91</v>
      </c>
      <c r="Y599" s="21">
        <v>135</v>
      </c>
      <c r="Z599" s="21">
        <v>0.3</v>
      </c>
      <c r="AA599" s="21">
        <v>0.7</v>
      </c>
      <c r="AB599" s="21">
        <v>294</v>
      </c>
      <c r="AC599" s="21">
        <v>294</v>
      </c>
      <c r="AD599" s="21">
        <v>282</v>
      </c>
      <c r="AE599" s="21">
        <v>63</v>
      </c>
      <c r="AF599" s="21">
        <v>0.23330000000000001</v>
      </c>
      <c r="AG599" s="21">
        <v>0</v>
      </c>
      <c r="AH599" s="21">
        <v>0</v>
      </c>
      <c r="AI599" s="21">
        <v>0</v>
      </c>
      <c r="AJ599" s="21">
        <v>0</v>
      </c>
      <c r="AK599" s="21">
        <v>0</v>
      </c>
      <c r="AL599" s="21">
        <v>0</v>
      </c>
      <c r="AM599" s="21">
        <v>0</v>
      </c>
      <c r="AN599" s="21">
        <v>0</v>
      </c>
      <c r="AO599" s="21">
        <v>0.81430000000000002</v>
      </c>
      <c r="AP599" s="21">
        <v>6704</v>
      </c>
      <c r="AQ599" s="21">
        <v>443</v>
      </c>
      <c r="AR599" s="21">
        <v>421</v>
      </c>
      <c r="AS599" s="21">
        <v>22</v>
      </c>
      <c r="AT599" s="21">
        <v>0</v>
      </c>
      <c r="AU599" s="21">
        <v>1255</v>
      </c>
      <c r="AV599" s="21">
        <v>13</v>
      </c>
    </row>
    <row r="600" spans="1:48" x14ac:dyDescent="0.15">
      <c r="A600" s="20" t="s">
        <v>58</v>
      </c>
      <c r="B600" s="20" t="s">
        <v>103</v>
      </c>
      <c r="C600" s="21">
        <v>0</v>
      </c>
      <c r="D600" s="21">
        <v>0</v>
      </c>
      <c r="E600" s="21">
        <v>24852</v>
      </c>
      <c r="F600" s="21">
        <v>24852</v>
      </c>
      <c r="G600" s="21">
        <v>730</v>
      </c>
      <c r="H600" s="21">
        <v>24122</v>
      </c>
      <c r="L600" s="21">
        <v>207</v>
      </c>
      <c r="M600" s="21">
        <v>0.68120000000000003</v>
      </c>
      <c r="N600" s="21">
        <v>0.68120000000000003</v>
      </c>
      <c r="O600" s="21">
        <v>0</v>
      </c>
      <c r="P600" s="21">
        <v>310</v>
      </c>
      <c r="Q600" s="21">
        <v>0.50970000000000004</v>
      </c>
      <c r="R600" s="21">
        <v>138</v>
      </c>
      <c r="S600" s="21">
        <v>80</v>
      </c>
      <c r="T600" s="21">
        <v>0.15640000000000001</v>
      </c>
      <c r="U600" s="21">
        <v>4.0000000000000001E-3</v>
      </c>
      <c r="W600" s="21">
        <v>45</v>
      </c>
      <c r="X600" s="21">
        <v>6</v>
      </c>
      <c r="Y600" s="21">
        <v>4</v>
      </c>
      <c r="Z600" s="21">
        <v>0.1</v>
      </c>
      <c r="AA600" s="21">
        <v>1.5</v>
      </c>
      <c r="AB600" s="21">
        <v>155</v>
      </c>
      <c r="AC600" s="21">
        <v>0</v>
      </c>
      <c r="AD600" s="21">
        <v>78</v>
      </c>
      <c r="AE600" s="21">
        <v>155</v>
      </c>
      <c r="AF600" s="21">
        <v>0</v>
      </c>
      <c r="AG600" s="21">
        <v>0</v>
      </c>
      <c r="AH600" s="21">
        <v>0</v>
      </c>
      <c r="AI600" s="21">
        <v>0</v>
      </c>
      <c r="AJ600" s="21">
        <v>0</v>
      </c>
      <c r="AK600" s="21">
        <v>0</v>
      </c>
      <c r="AL600" s="21">
        <v>0</v>
      </c>
      <c r="AM600" s="21">
        <v>0</v>
      </c>
      <c r="AN600" s="21">
        <v>0</v>
      </c>
      <c r="AP600" s="21">
        <v>67</v>
      </c>
      <c r="AQ600" s="21">
        <v>15</v>
      </c>
      <c r="AR600" s="21">
        <v>15</v>
      </c>
      <c r="AS600" s="21">
        <v>0</v>
      </c>
      <c r="AV600" s="21">
        <v>0</v>
      </c>
    </row>
    <row r="601" spans="1:48" x14ac:dyDescent="0.15">
      <c r="A601" s="20" t="s">
        <v>59</v>
      </c>
      <c r="B601" s="20" t="s">
        <v>103</v>
      </c>
      <c r="C601" s="21">
        <v>0</v>
      </c>
      <c r="D601" s="21">
        <v>0</v>
      </c>
      <c r="E601" s="21">
        <v>0</v>
      </c>
      <c r="F601" s="21">
        <v>0</v>
      </c>
      <c r="AB601" s="21">
        <v>0</v>
      </c>
      <c r="AC601" s="21">
        <v>0</v>
      </c>
      <c r="AD601" s="21">
        <v>0</v>
      </c>
      <c r="AE601" s="21">
        <v>0</v>
      </c>
      <c r="AF601" s="21">
        <v>0</v>
      </c>
      <c r="AG601" s="21">
        <v>0</v>
      </c>
      <c r="AH601" s="21">
        <v>0</v>
      </c>
      <c r="AI601" s="21">
        <v>0</v>
      </c>
      <c r="AJ601" s="21">
        <v>0</v>
      </c>
      <c r="AK601" s="21">
        <v>0</v>
      </c>
      <c r="AL601" s="21">
        <v>0</v>
      </c>
      <c r="AM601" s="21">
        <v>0</v>
      </c>
      <c r="AN601" s="21">
        <v>0</v>
      </c>
    </row>
    <row r="602" spans="1:48" x14ac:dyDescent="0.15">
      <c r="A602" s="20" t="s">
        <v>60</v>
      </c>
      <c r="B602" s="20" t="s">
        <v>103</v>
      </c>
      <c r="C602" s="21">
        <v>0</v>
      </c>
      <c r="D602" s="21">
        <v>0</v>
      </c>
      <c r="E602" s="21">
        <v>55556</v>
      </c>
      <c r="F602" s="21">
        <v>55556</v>
      </c>
      <c r="G602" s="21">
        <v>2022</v>
      </c>
      <c r="H602" s="21">
        <v>17194</v>
      </c>
      <c r="I602" s="21">
        <v>16444</v>
      </c>
      <c r="J602" s="21">
        <v>17202</v>
      </c>
      <c r="K602" s="21">
        <v>2694</v>
      </c>
      <c r="L602" s="21">
        <v>278</v>
      </c>
      <c r="M602" s="21">
        <v>0.72240000000000004</v>
      </c>
      <c r="N602" s="21">
        <v>0.72240000000000004</v>
      </c>
      <c r="O602" s="21">
        <v>0</v>
      </c>
      <c r="P602" s="21">
        <v>314</v>
      </c>
      <c r="Q602" s="21">
        <v>0.75480000000000003</v>
      </c>
      <c r="R602" s="21">
        <v>212</v>
      </c>
      <c r="S602" s="21">
        <v>177</v>
      </c>
      <c r="T602" s="21">
        <v>4.9299999999999997E-2</v>
      </c>
      <c r="U602" s="21">
        <v>6.2399999999999997E-2</v>
      </c>
      <c r="V602" s="21">
        <v>0.88180000000000003</v>
      </c>
      <c r="W602" s="21">
        <v>379</v>
      </c>
      <c r="X602" s="21">
        <v>84</v>
      </c>
      <c r="Y602" s="21">
        <v>48</v>
      </c>
      <c r="Z602" s="21">
        <v>0.3</v>
      </c>
      <c r="AA602" s="21">
        <v>1.8</v>
      </c>
      <c r="AB602" s="21">
        <v>488</v>
      </c>
      <c r="AC602" s="21">
        <v>0</v>
      </c>
      <c r="AD602" s="21">
        <v>244</v>
      </c>
      <c r="AE602" s="21">
        <v>498</v>
      </c>
      <c r="AF602" s="21">
        <v>0</v>
      </c>
      <c r="AG602" s="21">
        <v>0</v>
      </c>
      <c r="AH602" s="21">
        <v>0</v>
      </c>
      <c r="AI602" s="21">
        <v>0</v>
      </c>
      <c r="AJ602" s="21">
        <v>0</v>
      </c>
      <c r="AK602" s="21">
        <v>0</v>
      </c>
      <c r="AL602" s="21">
        <v>0</v>
      </c>
      <c r="AM602" s="21">
        <v>0</v>
      </c>
      <c r="AN602" s="21">
        <v>0</v>
      </c>
      <c r="AP602" s="21">
        <v>66</v>
      </c>
      <c r="AQ602" s="21">
        <v>10</v>
      </c>
      <c r="AR602" s="21">
        <v>9</v>
      </c>
      <c r="AS602" s="21">
        <v>1</v>
      </c>
      <c r="AU602" s="21">
        <v>125</v>
      </c>
      <c r="AV602" s="21">
        <v>0</v>
      </c>
    </row>
    <row r="603" spans="1:48" x14ac:dyDescent="0.15">
      <c r="A603" s="20" t="s">
        <v>61</v>
      </c>
      <c r="B603" s="20" t="s">
        <v>103</v>
      </c>
      <c r="C603" s="21">
        <v>0</v>
      </c>
      <c r="D603" s="21">
        <v>8</v>
      </c>
      <c r="E603" s="21">
        <v>41294</v>
      </c>
      <c r="F603" s="21">
        <v>41302</v>
      </c>
      <c r="G603" s="21">
        <v>3229</v>
      </c>
      <c r="H603" s="21">
        <v>7413</v>
      </c>
      <c r="I603" s="21">
        <v>11174</v>
      </c>
      <c r="J603" s="21">
        <v>10738</v>
      </c>
      <c r="K603" s="21">
        <v>783</v>
      </c>
      <c r="L603" s="21">
        <v>174</v>
      </c>
      <c r="M603" s="21">
        <v>0.74009999999999998</v>
      </c>
      <c r="N603" s="21">
        <v>0.74009999999999998</v>
      </c>
      <c r="O603" s="21">
        <v>1.1299999999999999E-2</v>
      </c>
      <c r="P603" s="21">
        <v>183</v>
      </c>
      <c r="Q603" s="21">
        <v>0.97270000000000001</v>
      </c>
      <c r="R603" s="21">
        <v>248</v>
      </c>
      <c r="S603" s="21">
        <v>226</v>
      </c>
      <c r="T603" s="21">
        <v>8.8400000000000006E-2</v>
      </c>
      <c r="U603" s="21">
        <v>6.7299999999999999E-2</v>
      </c>
      <c r="V603" s="21">
        <v>0.66930000000000001</v>
      </c>
      <c r="W603" s="21">
        <v>88</v>
      </c>
      <c r="X603" s="21">
        <v>49</v>
      </c>
      <c r="Y603" s="21">
        <v>95</v>
      </c>
      <c r="Z603" s="21">
        <v>0.5</v>
      </c>
      <c r="AA603" s="21">
        <v>0.5</v>
      </c>
      <c r="AB603" s="21">
        <v>180</v>
      </c>
      <c r="AC603" s="21">
        <v>0</v>
      </c>
      <c r="AD603" s="21">
        <v>90</v>
      </c>
      <c r="AE603" s="21">
        <v>188</v>
      </c>
      <c r="AF603" s="21">
        <v>0</v>
      </c>
      <c r="AG603" s="21">
        <v>0</v>
      </c>
      <c r="AH603" s="21">
        <v>0</v>
      </c>
      <c r="AI603" s="21">
        <v>0</v>
      </c>
      <c r="AJ603" s="21">
        <v>0</v>
      </c>
      <c r="AK603" s="21">
        <v>0</v>
      </c>
      <c r="AL603" s="21">
        <v>0</v>
      </c>
      <c r="AM603" s="21">
        <v>0</v>
      </c>
      <c r="AN603" s="21">
        <v>0</v>
      </c>
      <c r="AP603" s="21">
        <v>43</v>
      </c>
      <c r="AQ603" s="21">
        <v>0</v>
      </c>
      <c r="AR603" s="21">
        <v>0</v>
      </c>
      <c r="AS603" s="21">
        <v>0</v>
      </c>
      <c r="AU603" s="21">
        <v>418</v>
      </c>
      <c r="AV603" s="21">
        <v>0</v>
      </c>
    </row>
    <row r="604" spans="1:48" x14ac:dyDescent="0.15">
      <c r="A604" s="20" t="s">
        <v>48</v>
      </c>
      <c r="B604" s="20" t="s">
        <v>104</v>
      </c>
      <c r="C604" s="21">
        <v>0</v>
      </c>
      <c r="D604" s="21">
        <v>0</v>
      </c>
      <c r="E604" s="21">
        <v>104892</v>
      </c>
      <c r="F604" s="21">
        <v>104893</v>
      </c>
      <c r="G604" s="21">
        <v>0</v>
      </c>
      <c r="H604" s="21">
        <v>31120</v>
      </c>
      <c r="I604" s="21">
        <v>19303</v>
      </c>
      <c r="J604" s="21">
        <v>14320</v>
      </c>
      <c r="K604" s="21">
        <v>25562</v>
      </c>
      <c r="L604" s="21">
        <v>461</v>
      </c>
      <c r="M604" s="21">
        <v>0.72160000000000002</v>
      </c>
      <c r="N604" s="21">
        <v>0.71950000000000003</v>
      </c>
      <c r="O604" s="21">
        <v>2.0999999999999999E-3</v>
      </c>
      <c r="P604" s="21">
        <v>787</v>
      </c>
      <c r="Q604" s="21">
        <v>0.63660000000000005</v>
      </c>
      <c r="R604" s="21">
        <v>232</v>
      </c>
      <c r="S604" s="21">
        <v>133</v>
      </c>
      <c r="T604" s="21">
        <v>8.8300000000000003E-2</v>
      </c>
      <c r="U604" s="21">
        <v>6.4899999999999999E-2</v>
      </c>
      <c r="V604" s="21">
        <v>0.93340000000000001</v>
      </c>
      <c r="W604" s="21">
        <v>118</v>
      </c>
      <c r="X604" s="21">
        <v>39</v>
      </c>
      <c r="Y604" s="21">
        <v>66</v>
      </c>
      <c r="Z604" s="21">
        <v>0.3</v>
      </c>
      <c r="AA604" s="21">
        <v>0.6</v>
      </c>
      <c r="AB604" s="21">
        <v>109</v>
      </c>
      <c r="AC604" s="21">
        <v>109</v>
      </c>
      <c r="AD604" s="21">
        <v>118</v>
      </c>
      <c r="AE604" s="21">
        <v>1</v>
      </c>
      <c r="AF604" s="21">
        <v>7.9000000000000008E-3</v>
      </c>
      <c r="AG604" s="21">
        <v>0</v>
      </c>
      <c r="AH604" s="21">
        <v>0</v>
      </c>
      <c r="AI604" s="21">
        <v>0</v>
      </c>
      <c r="AJ604" s="21">
        <v>0.57140000000000002</v>
      </c>
      <c r="AK604" s="21">
        <v>0</v>
      </c>
      <c r="AL604" s="21">
        <v>0</v>
      </c>
      <c r="AM604" s="21">
        <v>0</v>
      </c>
      <c r="AN604" s="21">
        <v>0</v>
      </c>
      <c r="AO604" s="21">
        <v>0.79659999999999997</v>
      </c>
      <c r="AP604" s="21">
        <v>1322</v>
      </c>
      <c r="AQ604" s="21">
        <v>37</v>
      </c>
      <c r="AR604" s="21">
        <v>33</v>
      </c>
      <c r="AS604" s="21">
        <v>3</v>
      </c>
      <c r="AU604" s="21">
        <v>123</v>
      </c>
      <c r="AV604" s="21">
        <v>97</v>
      </c>
    </row>
    <row r="605" spans="1:48" x14ac:dyDescent="0.15">
      <c r="A605" s="20" t="s">
        <v>50</v>
      </c>
      <c r="B605" s="20" t="s">
        <v>104</v>
      </c>
      <c r="C605" s="21">
        <v>0</v>
      </c>
      <c r="D605" s="21">
        <v>1</v>
      </c>
      <c r="E605" s="21">
        <v>149136</v>
      </c>
      <c r="F605" s="21">
        <v>149137</v>
      </c>
      <c r="G605" s="21">
        <v>2053</v>
      </c>
      <c r="H605" s="21">
        <v>82463</v>
      </c>
      <c r="I605" s="21">
        <v>0</v>
      </c>
      <c r="J605" s="21">
        <v>20243</v>
      </c>
      <c r="K605" s="21">
        <v>35575</v>
      </c>
      <c r="L605" s="21">
        <v>495</v>
      </c>
      <c r="M605" s="21">
        <v>0.89680000000000004</v>
      </c>
      <c r="N605" s="21">
        <v>0.89680000000000004</v>
      </c>
      <c r="O605" s="21">
        <v>2E-3</v>
      </c>
      <c r="P605" s="21">
        <v>975</v>
      </c>
      <c r="Q605" s="21">
        <v>0.72819999999999996</v>
      </c>
      <c r="R605" s="21">
        <v>303</v>
      </c>
      <c r="S605" s="21">
        <v>153</v>
      </c>
      <c r="T605" s="21">
        <v>7.2800000000000004E-2</v>
      </c>
      <c r="U605" s="21">
        <v>7.4099999999999999E-2</v>
      </c>
      <c r="V605" s="21">
        <v>0.93569999999999998</v>
      </c>
      <c r="W605" s="21">
        <v>359</v>
      </c>
      <c r="X605" s="21">
        <v>63</v>
      </c>
      <c r="Y605" s="21">
        <v>73</v>
      </c>
      <c r="Z605" s="21">
        <v>0.4</v>
      </c>
      <c r="AA605" s="21">
        <v>0.9</v>
      </c>
      <c r="AB605" s="21">
        <v>144</v>
      </c>
      <c r="AC605" s="21">
        <v>144</v>
      </c>
      <c r="AD605" s="21">
        <v>152</v>
      </c>
      <c r="AE605" s="21">
        <v>2</v>
      </c>
      <c r="AF605" s="21">
        <v>1.2500000000000001E-2</v>
      </c>
      <c r="AG605" s="21">
        <v>0</v>
      </c>
      <c r="AH605" s="21">
        <v>0</v>
      </c>
      <c r="AI605" s="21">
        <v>0</v>
      </c>
      <c r="AJ605" s="21">
        <v>0.53849999999999998</v>
      </c>
      <c r="AK605" s="21">
        <v>0</v>
      </c>
      <c r="AL605" s="21">
        <v>0</v>
      </c>
      <c r="AM605" s="21">
        <v>0</v>
      </c>
      <c r="AN605" s="21">
        <v>0</v>
      </c>
      <c r="AO605" s="21">
        <v>0.625</v>
      </c>
      <c r="AP605" s="21">
        <v>1759</v>
      </c>
      <c r="AQ605" s="21">
        <v>184</v>
      </c>
      <c r="AR605" s="21">
        <v>151</v>
      </c>
      <c r="AS605" s="21">
        <v>0</v>
      </c>
      <c r="AT605" s="21">
        <v>33</v>
      </c>
      <c r="AU605" s="21">
        <v>151</v>
      </c>
      <c r="AV605" s="21">
        <v>141</v>
      </c>
    </row>
    <row r="606" spans="1:48" x14ac:dyDescent="0.15">
      <c r="A606" s="20" t="s">
        <v>51</v>
      </c>
      <c r="B606" s="20" t="s">
        <v>104</v>
      </c>
      <c r="C606" s="21">
        <v>0</v>
      </c>
      <c r="D606" s="21">
        <v>6</v>
      </c>
      <c r="E606" s="21">
        <v>356854</v>
      </c>
      <c r="F606" s="21">
        <v>356861</v>
      </c>
      <c r="G606" s="21">
        <v>4253</v>
      </c>
      <c r="H606" s="21">
        <v>72458</v>
      </c>
      <c r="I606" s="21">
        <v>72752</v>
      </c>
      <c r="J606" s="21">
        <v>54198</v>
      </c>
      <c r="K606" s="21">
        <v>146361</v>
      </c>
      <c r="L606" s="21">
        <v>1683</v>
      </c>
      <c r="M606" s="21">
        <v>0.81640000000000001</v>
      </c>
      <c r="N606" s="21">
        <v>0.81640000000000001</v>
      </c>
      <c r="O606" s="21">
        <v>3.5000000000000001E-3</v>
      </c>
      <c r="P606" s="21">
        <v>3111</v>
      </c>
      <c r="Q606" s="21">
        <v>0.75760000000000005</v>
      </c>
      <c r="R606" s="21">
        <v>215</v>
      </c>
      <c r="S606" s="21">
        <v>115</v>
      </c>
      <c r="T606" s="21">
        <v>6.2899999999999998E-2</v>
      </c>
      <c r="U606" s="21">
        <v>0.1153</v>
      </c>
      <c r="V606" s="21">
        <v>0.86229999999999996</v>
      </c>
      <c r="W606" s="21">
        <v>1261</v>
      </c>
      <c r="X606" s="21">
        <v>461</v>
      </c>
      <c r="Y606" s="21">
        <v>746</v>
      </c>
      <c r="Z606" s="21">
        <v>0.3</v>
      </c>
      <c r="AA606" s="21">
        <v>0.6</v>
      </c>
      <c r="AB606" s="21">
        <v>1460</v>
      </c>
      <c r="AC606" s="21">
        <v>1243</v>
      </c>
      <c r="AD606" s="21">
        <v>1472</v>
      </c>
      <c r="AE606" s="21">
        <v>231</v>
      </c>
      <c r="AF606" s="21">
        <v>0.15570000000000001</v>
      </c>
      <c r="AG606" s="21">
        <v>0</v>
      </c>
      <c r="AH606" s="21">
        <v>0</v>
      </c>
      <c r="AI606" s="21">
        <v>0</v>
      </c>
      <c r="AJ606" s="21">
        <v>0.55689999999999995</v>
      </c>
      <c r="AK606" s="21">
        <v>0</v>
      </c>
      <c r="AL606" s="21">
        <v>0</v>
      </c>
      <c r="AM606" s="21">
        <v>0</v>
      </c>
      <c r="AN606" s="21">
        <v>0</v>
      </c>
      <c r="AO606" s="21">
        <v>0.73599999999999999</v>
      </c>
      <c r="AP606" s="21">
        <v>2404</v>
      </c>
      <c r="AQ606" s="21">
        <v>84</v>
      </c>
      <c r="AR606" s="21">
        <v>36</v>
      </c>
      <c r="AS606" s="21">
        <v>48</v>
      </c>
      <c r="AT606" s="21">
        <v>0</v>
      </c>
      <c r="AU606" s="21">
        <v>257</v>
      </c>
      <c r="AV606" s="21">
        <v>69</v>
      </c>
    </row>
    <row r="607" spans="1:48" x14ac:dyDescent="0.15">
      <c r="A607" s="20" t="s">
        <v>52</v>
      </c>
      <c r="B607" s="20" t="s">
        <v>104</v>
      </c>
      <c r="C607" s="21">
        <v>0</v>
      </c>
      <c r="D607" s="21">
        <v>0</v>
      </c>
      <c r="E607" s="21">
        <v>193720</v>
      </c>
      <c r="F607" s="21">
        <v>193720</v>
      </c>
      <c r="G607" s="21">
        <v>19335</v>
      </c>
      <c r="H607" s="21">
        <v>32554</v>
      </c>
      <c r="I607" s="21">
        <v>14937</v>
      </c>
      <c r="J607" s="21">
        <v>50828</v>
      </c>
      <c r="K607" s="21">
        <v>28919</v>
      </c>
      <c r="L607" s="21">
        <v>579</v>
      </c>
      <c r="M607" s="21">
        <v>0.9153</v>
      </c>
      <c r="N607" s="21">
        <v>0.9153</v>
      </c>
      <c r="O607" s="21">
        <v>0</v>
      </c>
      <c r="P607" s="21">
        <v>1707</v>
      </c>
      <c r="Q607" s="21">
        <v>0.6391</v>
      </c>
      <c r="R607" s="21">
        <v>335</v>
      </c>
      <c r="S607" s="21">
        <v>113</v>
      </c>
      <c r="T607" s="21">
        <v>6.3700000000000007E-2</v>
      </c>
      <c r="U607" s="21">
        <v>8.1799999999999998E-2</v>
      </c>
      <c r="V607" s="21">
        <v>0.8397</v>
      </c>
      <c r="W607" s="21">
        <v>626</v>
      </c>
      <c r="X607" s="21">
        <v>203</v>
      </c>
      <c r="Y607" s="21">
        <v>179</v>
      </c>
      <c r="Z607" s="21">
        <v>0.8</v>
      </c>
      <c r="AA607" s="21">
        <v>1.1000000000000001</v>
      </c>
      <c r="AB607" s="21">
        <v>239</v>
      </c>
      <c r="AC607" s="21">
        <v>239</v>
      </c>
      <c r="AD607" s="21">
        <v>253</v>
      </c>
      <c r="AE607" s="21">
        <v>19</v>
      </c>
      <c r="AF607" s="21">
        <v>7.1199999999999999E-2</v>
      </c>
      <c r="AG607" s="21">
        <v>0</v>
      </c>
      <c r="AH607" s="21">
        <v>0</v>
      </c>
      <c r="AI607" s="21">
        <v>0</v>
      </c>
      <c r="AJ607" s="21">
        <v>0.28570000000000001</v>
      </c>
      <c r="AK607" s="21">
        <v>0</v>
      </c>
      <c r="AL607" s="21">
        <v>0</v>
      </c>
      <c r="AM607" s="21">
        <v>0</v>
      </c>
      <c r="AN607" s="21">
        <v>0</v>
      </c>
      <c r="AO607" s="21">
        <v>0.80600000000000005</v>
      </c>
      <c r="AP607" s="21">
        <v>2403</v>
      </c>
      <c r="AQ607" s="21">
        <v>11</v>
      </c>
      <c r="AR607" s="21">
        <v>9</v>
      </c>
      <c r="AS607" s="21">
        <v>2</v>
      </c>
      <c r="AU607" s="21">
        <v>204</v>
      </c>
      <c r="AV607" s="21">
        <v>59</v>
      </c>
    </row>
    <row r="608" spans="1:48" x14ac:dyDescent="0.15">
      <c r="A608" s="20" t="s">
        <v>53</v>
      </c>
      <c r="B608" s="20" t="s">
        <v>104</v>
      </c>
      <c r="C608" s="21">
        <v>0</v>
      </c>
      <c r="D608" s="21">
        <v>0</v>
      </c>
      <c r="E608" s="21">
        <v>2410</v>
      </c>
      <c r="F608" s="21">
        <v>2410</v>
      </c>
      <c r="K608" s="21">
        <v>2410</v>
      </c>
      <c r="L608" s="21">
        <v>34</v>
      </c>
      <c r="M608" s="21">
        <v>0.44119999999999998</v>
      </c>
      <c r="N608" s="21">
        <v>0.44119999999999998</v>
      </c>
      <c r="O608" s="21">
        <v>0</v>
      </c>
      <c r="P608" s="21">
        <v>5</v>
      </c>
      <c r="Q608" s="21">
        <v>0.2</v>
      </c>
      <c r="R608" s="21">
        <v>100</v>
      </c>
      <c r="S608" s="21">
        <v>482</v>
      </c>
      <c r="T608" s="21">
        <v>1.5900000000000001E-2</v>
      </c>
      <c r="U608" s="21">
        <v>0</v>
      </c>
      <c r="AB608" s="21">
        <v>0</v>
      </c>
      <c r="AC608" s="21">
        <v>0</v>
      </c>
      <c r="AD608" s="21">
        <v>0</v>
      </c>
      <c r="AE608" s="21">
        <v>0</v>
      </c>
      <c r="AF608" s="21">
        <v>0</v>
      </c>
      <c r="AG608" s="21">
        <v>0</v>
      </c>
      <c r="AH608" s="21">
        <v>0</v>
      </c>
      <c r="AI608" s="21">
        <v>0</v>
      </c>
      <c r="AJ608" s="21">
        <v>0</v>
      </c>
      <c r="AK608" s="21">
        <v>0</v>
      </c>
      <c r="AL608" s="21">
        <v>0</v>
      </c>
      <c r="AM608" s="21">
        <v>0</v>
      </c>
      <c r="AN608" s="21">
        <v>0</v>
      </c>
      <c r="AP608" s="21">
        <v>1520</v>
      </c>
      <c r="AQ608" s="21">
        <v>56</v>
      </c>
      <c r="AS608" s="21">
        <v>56</v>
      </c>
      <c r="AU608" s="21">
        <v>0</v>
      </c>
      <c r="AV608" s="21">
        <v>0</v>
      </c>
    </row>
    <row r="609" spans="1:48" x14ac:dyDescent="0.15">
      <c r="A609" s="20" t="s">
        <v>0</v>
      </c>
      <c r="B609" s="20" t="s">
        <v>104</v>
      </c>
      <c r="C609" s="21">
        <v>0</v>
      </c>
      <c r="D609" s="21">
        <v>123</v>
      </c>
      <c r="E609" s="21">
        <v>1242637</v>
      </c>
      <c r="F609" s="21">
        <v>1242757</v>
      </c>
      <c r="G609" s="21">
        <v>45497</v>
      </c>
      <c r="H609" s="21">
        <v>304346</v>
      </c>
      <c r="I609" s="21">
        <v>187622</v>
      </c>
      <c r="J609" s="21">
        <v>244007</v>
      </c>
      <c r="K609" s="21">
        <v>350625</v>
      </c>
      <c r="L609" s="21">
        <v>4739</v>
      </c>
      <c r="M609" s="21">
        <v>0.78680000000000005</v>
      </c>
      <c r="N609" s="21">
        <v>0.78639999999999999</v>
      </c>
      <c r="O609" s="21">
        <v>4.4000000000000003E-3</v>
      </c>
      <c r="P609" s="21">
        <v>9831</v>
      </c>
      <c r="Q609" s="21">
        <v>0.63</v>
      </c>
      <c r="R609" s="21">
        <v>267</v>
      </c>
      <c r="S609" s="21">
        <v>126</v>
      </c>
      <c r="T609" s="21">
        <v>7.2599999999999998E-2</v>
      </c>
      <c r="U609" s="21">
        <v>8.0299999999999996E-2</v>
      </c>
      <c r="V609" s="21">
        <v>0.87970000000000004</v>
      </c>
      <c r="W609" s="21">
        <v>4950</v>
      </c>
      <c r="X609" s="21">
        <v>1488</v>
      </c>
      <c r="Y609" s="21">
        <v>2004</v>
      </c>
      <c r="Z609" s="21">
        <v>0.5</v>
      </c>
      <c r="AA609" s="21">
        <v>0.7</v>
      </c>
      <c r="AB609" s="21">
        <v>2963</v>
      </c>
      <c r="AC609" s="21">
        <v>2698</v>
      </c>
      <c r="AD609" s="21">
        <v>3130</v>
      </c>
      <c r="AE609" s="21">
        <v>358</v>
      </c>
      <c r="AF609" s="21">
        <v>0.1086</v>
      </c>
      <c r="AG609" s="21">
        <v>0</v>
      </c>
      <c r="AH609" s="21">
        <v>0</v>
      </c>
      <c r="AI609" s="21">
        <v>0</v>
      </c>
      <c r="AJ609" s="21">
        <v>0.52170000000000005</v>
      </c>
      <c r="AK609" s="21">
        <v>0</v>
      </c>
      <c r="AL609" s="21">
        <v>0</v>
      </c>
      <c r="AM609" s="21">
        <v>0</v>
      </c>
      <c r="AN609" s="21">
        <v>0</v>
      </c>
      <c r="AO609" s="21">
        <v>0.75039999999999996</v>
      </c>
      <c r="AP609" s="21">
        <v>28886</v>
      </c>
      <c r="AQ609" s="21">
        <v>1155</v>
      </c>
      <c r="AR609" s="21">
        <v>990</v>
      </c>
      <c r="AS609" s="21">
        <v>132</v>
      </c>
      <c r="AT609" s="21">
        <v>33</v>
      </c>
      <c r="AU609" s="21">
        <v>1502</v>
      </c>
      <c r="AV609" s="21">
        <v>572</v>
      </c>
    </row>
    <row r="610" spans="1:48" x14ac:dyDescent="0.15">
      <c r="A610" s="20" t="s">
        <v>54</v>
      </c>
      <c r="B610" s="20" t="s">
        <v>104</v>
      </c>
      <c r="C610" s="21">
        <v>0</v>
      </c>
      <c r="D610" s="21">
        <v>0</v>
      </c>
      <c r="E610" s="21">
        <v>54522</v>
      </c>
      <c r="F610" s="21">
        <v>54522</v>
      </c>
      <c r="I610" s="21">
        <v>5348</v>
      </c>
      <c r="J610" s="21">
        <v>181</v>
      </c>
      <c r="K610" s="21">
        <v>48586</v>
      </c>
      <c r="L610" s="21">
        <v>209</v>
      </c>
      <c r="M610" s="21">
        <v>0.33800000000000002</v>
      </c>
      <c r="N610" s="21">
        <v>0.33800000000000002</v>
      </c>
      <c r="O610" s="21">
        <v>0</v>
      </c>
      <c r="P610" s="21">
        <v>432</v>
      </c>
      <c r="Q610" s="21">
        <v>0.47689999999999999</v>
      </c>
      <c r="R610" s="21">
        <v>282</v>
      </c>
      <c r="S610" s="21">
        <v>126</v>
      </c>
      <c r="T610" s="21">
        <v>3.1899999999999998E-2</v>
      </c>
      <c r="U610" s="21">
        <v>7.4000000000000003E-3</v>
      </c>
      <c r="AB610" s="21">
        <v>0</v>
      </c>
      <c r="AC610" s="21">
        <v>0</v>
      </c>
      <c r="AD610" s="21">
        <v>0</v>
      </c>
      <c r="AE610" s="21">
        <v>0</v>
      </c>
      <c r="AF610" s="21">
        <v>0</v>
      </c>
      <c r="AG610" s="21">
        <v>0</v>
      </c>
      <c r="AH610" s="21">
        <v>0</v>
      </c>
      <c r="AI610" s="21">
        <v>0</v>
      </c>
      <c r="AJ610" s="21">
        <v>0</v>
      </c>
      <c r="AK610" s="21">
        <v>0</v>
      </c>
      <c r="AL610" s="21">
        <v>0</v>
      </c>
      <c r="AM610" s="21">
        <v>0</v>
      </c>
      <c r="AN610" s="21">
        <v>0</v>
      </c>
      <c r="AP610" s="21">
        <v>277</v>
      </c>
      <c r="AQ610" s="21">
        <v>36</v>
      </c>
      <c r="AR610" s="21">
        <v>35</v>
      </c>
      <c r="AS610" s="21">
        <v>1</v>
      </c>
      <c r="AU610" s="21">
        <v>0</v>
      </c>
      <c r="AV610" s="21">
        <v>0</v>
      </c>
    </row>
    <row r="611" spans="1:48" x14ac:dyDescent="0.15">
      <c r="A611" s="20" t="s">
        <v>55</v>
      </c>
      <c r="B611" s="20" t="s">
        <v>104</v>
      </c>
      <c r="C611" s="21">
        <v>0</v>
      </c>
      <c r="D611" s="21">
        <v>0</v>
      </c>
      <c r="E611" s="21">
        <v>0</v>
      </c>
      <c r="F611" s="21">
        <v>0</v>
      </c>
      <c r="AB611" s="21">
        <v>0</v>
      </c>
      <c r="AC611" s="21">
        <v>0</v>
      </c>
      <c r="AD611" s="21">
        <v>0</v>
      </c>
      <c r="AE611" s="21">
        <v>0</v>
      </c>
      <c r="AF611" s="21">
        <v>0</v>
      </c>
      <c r="AG611" s="21">
        <v>0</v>
      </c>
      <c r="AH611" s="21">
        <v>0</v>
      </c>
      <c r="AI611" s="21">
        <v>0</v>
      </c>
      <c r="AJ611" s="21">
        <v>0</v>
      </c>
      <c r="AK611" s="21">
        <v>0</v>
      </c>
      <c r="AL611" s="21">
        <v>0</v>
      </c>
      <c r="AM611" s="21">
        <v>0</v>
      </c>
      <c r="AN611" s="21">
        <v>0</v>
      </c>
      <c r="AU611" s="21">
        <v>0</v>
      </c>
      <c r="AV611" s="21">
        <v>0</v>
      </c>
    </row>
    <row r="612" spans="1:48" x14ac:dyDescent="0.15">
      <c r="A612" s="20" t="s">
        <v>56</v>
      </c>
      <c r="B612" s="20" t="s">
        <v>104</v>
      </c>
      <c r="C612" s="21">
        <v>0</v>
      </c>
      <c r="D612" s="21">
        <v>0</v>
      </c>
      <c r="E612" s="21">
        <v>83600</v>
      </c>
      <c r="F612" s="21">
        <v>83600</v>
      </c>
      <c r="H612" s="21">
        <v>5767</v>
      </c>
      <c r="J612" s="21">
        <v>17911</v>
      </c>
      <c r="K612" s="21">
        <v>52896</v>
      </c>
      <c r="L612" s="21">
        <v>152</v>
      </c>
      <c r="M612" s="21">
        <v>0.85619999999999996</v>
      </c>
      <c r="N612" s="21">
        <v>0.85619999999999996</v>
      </c>
      <c r="O612" s="21">
        <v>0</v>
      </c>
      <c r="P612" s="21">
        <v>652</v>
      </c>
      <c r="Q612" s="21">
        <v>0.46629999999999999</v>
      </c>
      <c r="R612" s="21">
        <v>555</v>
      </c>
      <c r="S612" s="21">
        <v>128</v>
      </c>
      <c r="T612" s="21">
        <v>4.4600000000000001E-2</v>
      </c>
      <c r="U612" s="21">
        <v>7.6E-3</v>
      </c>
      <c r="W612" s="21">
        <v>70</v>
      </c>
      <c r="X612" s="21">
        <v>46</v>
      </c>
      <c r="Y612" s="21">
        <v>64</v>
      </c>
      <c r="Z612" s="21">
        <v>0.3</v>
      </c>
      <c r="AA612" s="21">
        <v>0.7</v>
      </c>
      <c r="AB612" s="21">
        <v>124</v>
      </c>
      <c r="AC612" s="21">
        <v>76</v>
      </c>
      <c r="AD612" s="21">
        <v>134</v>
      </c>
      <c r="AE612" s="21">
        <v>54</v>
      </c>
      <c r="AF612" s="21">
        <v>0.37759999999999999</v>
      </c>
      <c r="AG612" s="21">
        <v>0</v>
      </c>
      <c r="AH612" s="21">
        <v>0</v>
      </c>
      <c r="AI612" s="21">
        <v>0</v>
      </c>
      <c r="AJ612" s="21">
        <v>0</v>
      </c>
      <c r="AK612" s="21">
        <v>0</v>
      </c>
      <c r="AL612" s="21">
        <v>0</v>
      </c>
      <c r="AM612" s="21">
        <v>0</v>
      </c>
      <c r="AN612" s="21">
        <v>0</v>
      </c>
      <c r="AP612" s="21">
        <v>13393</v>
      </c>
      <c r="AQ612" s="21">
        <v>19</v>
      </c>
      <c r="AR612" s="21">
        <v>13</v>
      </c>
      <c r="AS612" s="21">
        <v>6</v>
      </c>
      <c r="AU612" s="21">
        <v>0</v>
      </c>
      <c r="AV612" s="21">
        <v>0</v>
      </c>
    </row>
    <row r="613" spans="1:48" x14ac:dyDescent="0.15">
      <c r="A613" s="20" t="s">
        <v>57</v>
      </c>
      <c r="B613" s="20" t="s">
        <v>104</v>
      </c>
      <c r="C613" s="21">
        <v>0</v>
      </c>
      <c r="D613" s="21">
        <v>114</v>
      </c>
      <c r="E613" s="21">
        <v>150831</v>
      </c>
      <c r="F613" s="21">
        <v>150943</v>
      </c>
      <c r="G613" s="21">
        <v>10733</v>
      </c>
      <c r="H613" s="21">
        <v>28572</v>
      </c>
      <c r="I613" s="21">
        <v>32692</v>
      </c>
      <c r="J613" s="21">
        <v>52996</v>
      </c>
      <c r="K613" s="21">
        <v>832</v>
      </c>
      <c r="L613" s="21">
        <v>438</v>
      </c>
      <c r="M613" s="21">
        <v>0.75509999999999999</v>
      </c>
      <c r="N613" s="21">
        <v>0.75280000000000002</v>
      </c>
      <c r="O613" s="21">
        <v>2.47E-2</v>
      </c>
      <c r="P613" s="21">
        <v>649</v>
      </c>
      <c r="Q613" s="21">
        <v>0.64870000000000005</v>
      </c>
      <c r="R613" s="21">
        <v>343</v>
      </c>
      <c r="S613" s="21">
        <v>233</v>
      </c>
      <c r="T613" s="21">
        <v>0.1147</v>
      </c>
      <c r="U613" s="21">
        <v>7.3099999999999998E-2</v>
      </c>
      <c r="V613" s="21">
        <v>0.86919999999999997</v>
      </c>
      <c r="W613" s="21">
        <v>388</v>
      </c>
      <c r="X613" s="21">
        <v>139</v>
      </c>
      <c r="Y613" s="21">
        <v>173</v>
      </c>
      <c r="Z613" s="21">
        <v>0.5</v>
      </c>
      <c r="AA613" s="21">
        <v>0.8</v>
      </c>
      <c r="AB613" s="21">
        <v>278</v>
      </c>
      <c r="AC613" s="21">
        <v>278</v>
      </c>
      <c r="AD613" s="21">
        <v>286</v>
      </c>
      <c r="AE613" s="21">
        <v>18</v>
      </c>
      <c r="AF613" s="21">
        <v>6.1199999999999997E-2</v>
      </c>
      <c r="AG613" s="21">
        <v>0</v>
      </c>
      <c r="AH613" s="21">
        <v>0</v>
      </c>
      <c r="AI613" s="21">
        <v>0</v>
      </c>
      <c r="AJ613" s="21">
        <v>0.38890000000000002</v>
      </c>
      <c r="AK613" s="21">
        <v>0</v>
      </c>
      <c r="AL613" s="21">
        <v>0</v>
      </c>
      <c r="AM613" s="21">
        <v>0</v>
      </c>
      <c r="AN613" s="21">
        <v>0</v>
      </c>
      <c r="AO613" s="21">
        <v>0.80859999999999999</v>
      </c>
      <c r="AP613" s="21">
        <v>2875</v>
      </c>
      <c r="AQ613" s="21">
        <v>673</v>
      </c>
      <c r="AR613" s="21">
        <v>661</v>
      </c>
      <c r="AS613" s="21">
        <v>12</v>
      </c>
      <c r="AT613" s="21">
        <v>0</v>
      </c>
      <c r="AU613" s="21">
        <v>576</v>
      </c>
      <c r="AV613" s="21">
        <v>207</v>
      </c>
    </row>
    <row r="614" spans="1:48" x14ac:dyDescent="0.15">
      <c r="A614" s="20" t="s">
        <v>58</v>
      </c>
      <c r="B614" s="20" t="s">
        <v>104</v>
      </c>
      <c r="C614" s="21">
        <v>0</v>
      </c>
      <c r="D614" s="21">
        <v>0</v>
      </c>
      <c r="E614" s="21">
        <v>42439</v>
      </c>
      <c r="F614" s="21">
        <v>42439</v>
      </c>
      <c r="G614" s="21">
        <v>5798</v>
      </c>
      <c r="H614" s="21">
        <v>34380</v>
      </c>
      <c r="J614" s="21">
        <v>2262</v>
      </c>
      <c r="L614" s="21">
        <v>213</v>
      </c>
      <c r="M614" s="21">
        <v>0.74890000000000001</v>
      </c>
      <c r="N614" s="21">
        <v>0.74890000000000001</v>
      </c>
      <c r="O614" s="21">
        <v>0</v>
      </c>
      <c r="P614" s="21">
        <v>310</v>
      </c>
      <c r="Q614" s="21">
        <v>0.57420000000000004</v>
      </c>
      <c r="R614" s="21">
        <v>202</v>
      </c>
      <c r="S614" s="21">
        <v>137</v>
      </c>
      <c r="T614" s="21">
        <v>0.1012</v>
      </c>
      <c r="U614" s="21">
        <v>9.1999999999999998E-3</v>
      </c>
      <c r="W614" s="21">
        <v>550</v>
      </c>
      <c r="X614" s="21">
        <v>155</v>
      </c>
      <c r="Y614" s="21">
        <v>211</v>
      </c>
      <c r="Z614" s="21">
        <v>1.1000000000000001</v>
      </c>
      <c r="AA614" s="21">
        <v>0.7</v>
      </c>
      <c r="AB614" s="21">
        <v>130</v>
      </c>
      <c r="AC614" s="21">
        <v>130</v>
      </c>
      <c r="AD614" s="21">
        <v>142</v>
      </c>
      <c r="AE614" s="21">
        <v>9</v>
      </c>
      <c r="AF614" s="21">
        <v>5.8099999999999999E-2</v>
      </c>
      <c r="AG614" s="21">
        <v>0</v>
      </c>
      <c r="AH614" s="21">
        <v>0</v>
      </c>
      <c r="AI614" s="21">
        <v>0</v>
      </c>
      <c r="AJ614" s="21">
        <v>0</v>
      </c>
      <c r="AK614" s="21">
        <v>0</v>
      </c>
      <c r="AL614" s="21">
        <v>0</v>
      </c>
      <c r="AM614" s="21">
        <v>0</v>
      </c>
      <c r="AN614" s="21">
        <v>0</v>
      </c>
      <c r="AP614" s="21">
        <v>310</v>
      </c>
      <c r="AQ614" s="21">
        <v>36</v>
      </c>
      <c r="AR614" s="21">
        <v>35</v>
      </c>
      <c r="AS614" s="21">
        <v>0</v>
      </c>
      <c r="AU614" s="21">
        <v>0</v>
      </c>
      <c r="AV614" s="21">
        <v>0</v>
      </c>
    </row>
    <row r="615" spans="1:48" x14ac:dyDescent="0.15">
      <c r="A615" s="20" t="s">
        <v>59</v>
      </c>
      <c r="B615" s="20" t="s">
        <v>104</v>
      </c>
      <c r="C615" s="21">
        <v>0</v>
      </c>
      <c r="D615" s="21">
        <v>0</v>
      </c>
      <c r="E615" s="21">
        <v>0</v>
      </c>
      <c r="F615" s="21">
        <v>0</v>
      </c>
      <c r="L615" s="21">
        <v>15</v>
      </c>
      <c r="M615" s="21">
        <v>0</v>
      </c>
      <c r="N615" s="21">
        <v>0</v>
      </c>
      <c r="O615" s="21">
        <v>0</v>
      </c>
      <c r="P615" s="21">
        <v>712</v>
      </c>
      <c r="Q615" s="21">
        <v>0</v>
      </c>
      <c r="R615" s="21">
        <v>0</v>
      </c>
      <c r="S615" s="21">
        <v>0</v>
      </c>
      <c r="AB615" s="21">
        <v>0</v>
      </c>
      <c r="AC615" s="21">
        <v>0</v>
      </c>
      <c r="AD615" s="21">
        <v>0</v>
      </c>
      <c r="AE615" s="21">
        <v>0</v>
      </c>
      <c r="AF615" s="21">
        <v>0</v>
      </c>
      <c r="AG615" s="21">
        <v>0</v>
      </c>
      <c r="AH615" s="21">
        <v>0</v>
      </c>
      <c r="AI615" s="21">
        <v>0</v>
      </c>
      <c r="AJ615" s="21">
        <v>0</v>
      </c>
      <c r="AK615" s="21">
        <v>0</v>
      </c>
      <c r="AL615" s="21">
        <v>0</v>
      </c>
      <c r="AM615" s="21">
        <v>0</v>
      </c>
      <c r="AN615" s="21">
        <v>0</v>
      </c>
      <c r="AU615" s="21">
        <v>0</v>
      </c>
      <c r="AV615" s="21">
        <v>0</v>
      </c>
    </row>
    <row r="616" spans="1:48" x14ac:dyDescent="0.15">
      <c r="A616" s="20" t="s">
        <v>60</v>
      </c>
      <c r="B616" s="20" t="s">
        <v>104</v>
      </c>
      <c r="C616" s="21">
        <v>0</v>
      </c>
      <c r="D616" s="21">
        <v>0</v>
      </c>
      <c r="E616" s="21">
        <v>66042</v>
      </c>
      <c r="F616" s="21">
        <v>66042</v>
      </c>
      <c r="G616" s="21">
        <v>897</v>
      </c>
      <c r="H616" s="21">
        <v>11180</v>
      </c>
      <c r="I616" s="21">
        <v>30232</v>
      </c>
      <c r="J616" s="21">
        <v>18827</v>
      </c>
      <c r="K616" s="21">
        <v>4906</v>
      </c>
      <c r="L616" s="21">
        <v>284</v>
      </c>
      <c r="M616" s="21">
        <v>0.74229999999999996</v>
      </c>
      <c r="N616" s="21">
        <v>0.74229999999999996</v>
      </c>
      <c r="O616" s="21">
        <v>0</v>
      </c>
      <c r="P616" s="21">
        <v>314</v>
      </c>
      <c r="Q616" s="21">
        <v>0.77390000000000003</v>
      </c>
      <c r="R616" s="21">
        <v>235</v>
      </c>
      <c r="S616" s="21">
        <v>210</v>
      </c>
      <c r="T616" s="21">
        <v>7.0699999999999999E-2</v>
      </c>
      <c r="U616" s="21">
        <v>6.3299999999999995E-2</v>
      </c>
      <c r="V616" s="21">
        <v>0.88439999999999996</v>
      </c>
      <c r="W616" s="21">
        <v>1399</v>
      </c>
      <c r="X616" s="21">
        <v>278</v>
      </c>
      <c r="Y616" s="21">
        <v>356</v>
      </c>
      <c r="Z616" s="21">
        <v>0.7</v>
      </c>
      <c r="AA616" s="21">
        <v>0.8</v>
      </c>
      <c r="AB616" s="21">
        <v>305</v>
      </c>
      <c r="AC616" s="21">
        <v>305</v>
      </c>
      <c r="AD616" s="21">
        <v>396</v>
      </c>
      <c r="AE616" s="21">
        <v>18</v>
      </c>
      <c r="AF616" s="21">
        <v>3.6900000000000002E-2</v>
      </c>
      <c r="AG616" s="21">
        <v>0</v>
      </c>
      <c r="AH616" s="21">
        <v>0</v>
      </c>
      <c r="AI616" s="21">
        <v>0</v>
      </c>
      <c r="AJ616" s="21">
        <v>0</v>
      </c>
      <c r="AK616" s="21">
        <v>0</v>
      </c>
      <c r="AL616" s="21">
        <v>0</v>
      </c>
      <c r="AM616" s="21">
        <v>0</v>
      </c>
      <c r="AN616" s="21">
        <v>0</v>
      </c>
      <c r="AP616" s="21">
        <v>1566</v>
      </c>
      <c r="AQ616" s="21">
        <v>15</v>
      </c>
      <c r="AR616" s="21">
        <v>15</v>
      </c>
      <c r="AS616" s="21">
        <v>0</v>
      </c>
      <c r="AU616" s="21">
        <v>52</v>
      </c>
      <c r="AV616" s="21">
        <v>0</v>
      </c>
    </row>
    <row r="617" spans="1:48" x14ac:dyDescent="0.15">
      <c r="A617" s="20" t="s">
        <v>61</v>
      </c>
      <c r="B617" s="20" t="s">
        <v>104</v>
      </c>
      <c r="C617" s="21">
        <v>0</v>
      </c>
      <c r="D617" s="21">
        <v>1</v>
      </c>
      <c r="E617" s="21">
        <v>38189</v>
      </c>
      <c r="F617" s="21">
        <v>38190</v>
      </c>
      <c r="G617" s="21">
        <v>2427</v>
      </c>
      <c r="H617" s="21">
        <v>5853</v>
      </c>
      <c r="I617" s="21">
        <v>12357</v>
      </c>
      <c r="J617" s="21">
        <v>12241</v>
      </c>
      <c r="K617" s="21">
        <v>4578</v>
      </c>
      <c r="L617" s="21">
        <v>176</v>
      </c>
      <c r="M617" s="21">
        <v>0.75419999999999998</v>
      </c>
      <c r="N617" s="21">
        <v>0.75419999999999998</v>
      </c>
      <c r="O617" s="21">
        <v>1.12E-2</v>
      </c>
      <c r="P617" s="21">
        <v>177</v>
      </c>
      <c r="Q617" s="21">
        <v>1.0282</v>
      </c>
      <c r="R617" s="21">
        <v>218</v>
      </c>
      <c r="S617" s="21">
        <v>216</v>
      </c>
      <c r="T617" s="21">
        <v>7.7899999999999997E-2</v>
      </c>
      <c r="U617" s="21">
        <v>7.1199999999999999E-2</v>
      </c>
      <c r="V617" s="21">
        <v>0.80559999999999998</v>
      </c>
      <c r="W617" s="21">
        <v>179</v>
      </c>
      <c r="X617" s="21">
        <v>104</v>
      </c>
      <c r="Y617" s="21">
        <v>136</v>
      </c>
      <c r="Z617" s="21">
        <v>0.6</v>
      </c>
      <c r="AA617" s="21">
        <v>0.8</v>
      </c>
      <c r="AB617" s="21">
        <v>174</v>
      </c>
      <c r="AC617" s="21">
        <v>174</v>
      </c>
      <c r="AD617" s="21">
        <v>177</v>
      </c>
      <c r="AE617" s="21">
        <v>6</v>
      </c>
      <c r="AF617" s="21">
        <v>3.3300000000000003E-2</v>
      </c>
      <c r="AG617" s="21">
        <v>0</v>
      </c>
      <c r="AH617" s="21">
        <v>0</v>
      </c>
      <c r="AI617" s="21">
        <v>0</v>
      </c>
      <c r="AJ617" s="21">
        <v>0</v>
      </c>
      <c r="AK617" s="21">
        <v>0</v>
      </c>
      <c r="AL617" s="21">
        <v>0</v>
      </c>
      <c r="AM617" s="21">
        <v>0</v>
      </c>
      <c r="AN617" s="21">
        <v>0</v>
      </c>
      <c r="AP617" s="21">
        <v>1057</v>
      </c>
      <c r="AQ617" s="21">
        <v>2</v>
      </c>
      <c r="AR617" s="21">
        <v>0</v>
      </c>
      <c r="AS617" s="21">
        <v>2</v>
      </c>
      <c r="AU617" s="21">
        <v>139</v>
      </c>
      <c r="AV617" s="21">
        <v>0</v>
      </c>
    </row>
    <row r="618" spans="1:48" x14ac:dyDescent="0.15">
      <c r="A618" s="20" t="s">
        <v>48</v>
      </c>
      <c r="B618" s="20" t="s">
        <v>105</v>
      </c>
      <c r="C618" s="21">
        <v>0</v>
      </c>
      <c r="D618" s="21">
        <v>0</v>
      </c>
      <c r="E618" s="21">
        <v>92948</v>
      </c>
      <c r="F618" s="21">
        <v>92948</v>
      </c>
      <c r="G618" s="21">
        <v>177</v>
      </c>
      <c r="H618" s="21">
        <v>22389</v>
      </c>
      <c r="I618" s="21">
        <v>10670</v>
      </c>
      <c r="J618" s="21">
        <v>13448</v>
      </c>
      <c r="K618" s="21">
        <v>15082</v>
      </c>
      <c r="L618" s="21">
        <v>454</v>
      </c>
      <c r="M618" s="21">
        <v>0.77969999999999995</v>
      </c>
      <c r="N618" s="21">
        <v>0.77969999999999995</v>
      </c>
      <c r="O618" s="21">
        <v>0</v>
      </c>
      <c r="P618" s="21">
        <v>789</v>
      </c>
      <c r="Q618" s="21">
        <v>0.66539999999999999</v>
      </c>
      <c r="R618" s="21">
        <v>203</v>
      </c>
      <c r="S618" s="21">
        <v>118</v>
      </c>
      <c r="T618" s="21">
        <v>5.1200000000000002E-2</v>
      </c>
      <c r="U618" s="21">
        <v>4.36E-2</v>
      </c>
      <c r="V618" s="21">
        <v>0.90059999999999996</v>
      </c>
      <c r="W618" s="21">
        <v>32</v>
      </c>
      <c r="X618" s="21">
        <v>19</v>
      </c>
      <c r="Y618" s="21">
        <v>39</v>
      </c>
      <c r="Z618" s="21">
        <v>0.2</v>
      </c>
      <c r="AA618" s="21">
        <v>0.5</v>
      </c>
      <c r="AB618" s="21">
        <v>110</v>
      </c>
      <c r="AC618" s="21">
        <v>110</v>
      </c>
      <c r="AD618" s="21">
        <v>110</v>
      </c>
      <c r="AE618" s="21">
        <v>1</v>
      </c>
      <c r="AF618" s="21">
        <v>9.1999999999999998E-3</v>
      </c>
      <c r="AG618" s="21">
        <v>0</v>
      </c>
      <c r="AH618" s="21">
        <v>0</v>
      </c>
      <c r="AI618" s="21">
        <v>0</v>
      </c>
      <c r="AJ618" s="21">
        <v>0.6</v>
      </c>
      <c r="AK618" s="21">
        <v>0</v>
      </c>
      <c r="AL618" s="21">
        <v>0</v>
      </c>
      <c r="AM618" s="21">
        <v>0</v>
      </c>
      <c r="AN618" s="21">
        <v>0</v>
      </c>
      <c r="AO618" s="21">
        <v>0.75760000000000005</v>
      </c>
      <c r="AP618" s="21">
        <v>694</v>
      </c>
      <c r="AQ618" s="21">
        <v>4</v>
      </c>
      <c r="AR618" s="21">
        <v>4</v>
      </c>
      <c r="AS618" s="21">
        <v>0</v>
      </c>
      <c r="AU618" s="21">
        <v>54</v>
      </c>
      <c r="AV618" s="21">
        <v>22</v>
      </c>
    </row>
    <row r="619" spans="1:48" x14ac:dyDescent="0.15">
      <c r="A619" s="20" t="s">
        <v>50</v>
      </c>
      <c r="B619" s="20" t="s">
        <v>105</v>
      </c>
      <c r="C619" s="21">
        <v>0</v>
      </c>
      <c r="D619" s="21">
        <v>12</v>
      </c>
      <c r="E619" s="21">
        <v>138171</v>
      </c>
      <c r="F619" s="21">
        <v>138171</v>
      </c>
      <c r="G619" s="21">
        <v>6345</v>
      </c>
      <c r="H619" s="21">
        <v>77896</v>
      </c>
      <c r="I619" s="21">
        <v>0</v>
      </c>
      <c r="J619" s="21">
        <v>28233</v>
      </c>
      <c r="K619" s="21">
        <v>17898</v>
      </c>
      <c r="L619" s="21">
        <v>485</v>
      </c>
      <c r="M619" s="21">
        <v>0.92110000000000003</v>
      </c>
      <c r="N619" s="21">
        <v>0.92110000000000003</v>
      </c>
      <c r="O619" s="21">
        <v>6.1000000000000004E-3</v>
      </c>
      <c r="P619" s="21">
        <v>909</v>
      </c>
      <c r="Q619" s="21">
        <v>0.76570000000000005</v>
      </c>
      <c r="R619" s="21">
        <v>282</v>
      </c>
      <c r="S619" s="21">
        <v>152</v>
      </c>
      <c r="T619" s="21">
        <v>4.3299999999999998E-2</v>
      </c>
      <c r="U619" s="21">
        <v>6.13E-2</v>
      </c>
      <c r="V619" s="21">
        <v>0.78049999999999997</v>
      </c>
      <c r="W619" s="21">
        <v>27</v>
      </c>
      <c r="X619" s="21">
        <v>17</v>
      </c>
      <c r="Y619" s="21">
        <v>39</v>
      </c>
      <c r="Z619" s="21">
        <v>0.1</v>
      </c>
      <c r="AA619" s="21">
        <v>0.4</v>
      </c>
      <c r="AB619" s="21">
        <v>131</v>
      </c>
      <c r="AC619" s="21">
        <v>131</v>
      </c>
      <c r="AD619" s="21">
        <v>138</v>
      </c>
      <c r="AE619" s="21">
        <v>0</v>
      </c>
      <c r="AF619" s="21">
        <v>0</v>
      </c>
      <c r="AG619" s="21">
        <v>0</v>
      </c>
      <c r="AH619" s="21">
        <v>0</v>
      </c>
      <c r="AI619" s="21">
        <v>0</v>
      </c>
      <c r="AJ619" s="21">
        <v>0.62860000000000005</v>
      </c>
      <c r="AK619" s="21">
        <v>0</v>
      </c>
      <c r="AL619" s="21">
        <v>0</v>
      </c>
      <c r="AM619" s="21">
        <v>0</v>
      </c>
      <c r="AN619" s="21">
        <v>0</v>
      </c>
      <c r="AO619" s="21">
        <v>0.76160000000000005</v>
      </c>
      <c r="AP619" s="21">
        <v>615</v>
      </c>
      <c r="AQ619" s="21">
        <v>66</v>
      </c>
      <c r="AR619" s="21">
        <v>25</v>
      </c>
      <c r="AS619" s="21">
        <v>0</v>
      </c>
      <c r="AT619" s="21">
        <v>40</v>
      </c>
      <c r="AU619" s="21">
        <v>165</v>
      </c>
      <c r="AV619" s="21">
        <v>54</v>
      </c>
    </row>
    <row r="620" spans="1:48" x14ac:dyDescent="0.15">
      <c r="A620" s="20" t="s">
        <v>51</v>
      </c>
      <c r="B620" s="20" t="s">
        <v>105</v>
      </c>
      <c r="C620" s="21">
        <v>0</v>
      </c>
      <c r="D620" s="21">
        <v>13</v>
      </c>
      <c r="E620" s="21">
        <v>439776</v>
      </c>
      <c r="F620" s="21">
        <v>439789</v>
      </c>
      <c r="G620" s="21">
        <v>6459</v>
      </c>
      <c r="H620" s="21">
        <v>130232</v>
      </c>
      <c r="I620" s="21">
        <v>93554</v>
      </c>
      <c r="J620" s="21">
        <v>71586</v>
      </c>
      <c r="K620" s="21">
        <v>125750</v>
      </c>
      <c r="L620" s="21">
        <v>1692</v>
      </c>
      <c r="M620" s="21">
        <v>0.83740000000000003</v>
      </c>
      <c r="N620" s="21">
        <v>0.83740000000000003</v>
      </c>
      <c r="O620" s="21">
        <v>5.8999999999999999E-3</v>
      </c>
      <c r="P620" s="21">
        <v>3165</v>
      </c>
      <c r="Q620" s="21">
        <v>0.75800000000000001</v>
      </c>
      <c r="R620" s="21">
        <v>261</v>
      </c>
      <c r="S620" s="21">
        <v>139</v>
      </c>
      <c r="T620" s="21">
        <v>6.3600000000000004E-2</v>
      </c>
      <c r="U620" s="21">
        <v>9.35E-2</v>
      </c>
      <c r="V620" s="21">
        <v>0.79369999999999996</v>
      </c>
      <c r="W620" s="21">
        <v>641</v>
      </c>
      <c r="X620" s="21">
        <v>483</v>
      </c>
      <c r="Y620" s="21">
        <v>825</v>
      </c>
      <c r="Z620" s="21">
        <v>0.3</v>
      </c>
      <c r="AA620" s="21">
        <v>0.6</v>
      </c>
      <c r="AB620" s="21">
        <v>1458</v>
      </c>
      <c r="AC620" s="21">
        <v>1443</v>
      </c>
      <c r="AD620" s="21">
        <v>1459</v>
      </c>
      <c r="AE620" s="21">
        <v>37</v>
      </c>
      <c r="AF620" s="21">
        <v>2.53E-2</v>
      </c>
      <c r="AG620" s="21">
        <v>0</v>
      </c>
      <c r="AH620" s="21">
        <v>0</v>
      </c>
      <c r="AI620" s="21">
        <v>0</v>
      </c>
      <c r="AJ620" s="21">
        <v>0.67830000000000001</v>
      </c>
      <c r="AK620" s="21">
        <v>0</v>
      </c>
      <c r="AL620" s="21">
        <v>0</v>
      </c>
      <c r="AM620" s="21">
        <v>0</v>
      </c>
      <c r="AN620" s="21">
        <v>0</v>
      </c>
      <c r="AO620" s="21">
        <v>0.54810000000000003</v>
      </c>
      <c r="AP620" s="21">
        <v>1118</v>
      </c>
      <c r="AQ620" s="21">
        <v>26</v>
      </c>
      <c r="AR620" s="21">
        <v>19</v>
      </c>
      <c r="AS620" s="21">
        <v>2</v>
      </c>
      <c r="AT620" s="21">
        <v>5</v>
      </c>
      <c r="AU620" s="21">
        <v>356</v>
      </c>
      <c r="AV620" s="21">
        <v>59</v>
      </c>
    </row>
    <row r="621" spans="1:48" x14ac:dyDescent="0.15">
      <c r="A621" s="20" t="s">
        <v>52</v>
      </c>
      <c r="B621" s="20" t="s">
        <v>105</v>
      </c>
      <c r="C621" s="21">
        <v>0</v>
      </c>
      <c r="D621" s="21">
        <v>1</v>
      </c>
      <c r="E621" s="21">
        <v>169263</v>
      </c>
      <c r="F621" s="21">
        <v>169264</v>
      </c>
      <c r="G621" s="21">
        <v>16987</v>
      </c>
      <c r="H621" s="21">
        <v>34920</v>
      </c>
      <c r="I621" s="21">
        <v>14747</v>
      </c>
      <c r="J621" s="21">
        <v>48192</v>
      </c>
      <c r="K621" s="21">
        <v>12956</v>
      </c>
      <c r="L621" s="21">
        <v>570</v>
      </c>
      <c r="M621" s="21">
        <v>0.89019999999999999</v>
      </c>
      <c r="N621" s="21">
        <v>0.89019999999999999</v>
      </c>
      <c r="O621" s="21">
        <v>3.3999999999999998E-3</v>
      </c>
      <c r="P621" s="21">
        <v>1760</v>
      </c>
      <c r="Q621" s="21">
        <v>0.60229999999999995</v>
      </c>
      <c r="R621" s="21">
        <v>295</v>
      </c>
      <c r="S621" s="21">
        <v>96</v>
      </c>
      <c r="T621" s="21">
        <v>4.9700000000000001E-2</v>
      </c>
      <c r="U621" s="21">
        <v>5.8099999999999999E-2</v>
      </c>
      <c r="V621" s="21">
        <v>0.71740000000000004</v>
      </c>
      <c r="W621" s="21">
        <v>286</v>
      </c>
      <c r="X621" s="21">
        <v>119</v>
      </c>
      <c r="Y621" s="21">
        <v>108</v>
      </c>
      <c r="Z621" s="21">
        <v>0.5</v>
      </c>
      <c r="AA621" s="21">
        <v>1.1000000000000001</v>
      </c>
      <c r="AB621" s="21">
        <v>239</v>
      </c>
      <c r="AC621" s="21">
        <v>239</v>
      </c>
      <c r="AD621" s="21">
        <v>239</v>
      </c>
      <c r="AE621" s="21">
        <v>0</v>
      </c>
      <c r="AF621" s="21">
        <v>0</v>
      </c>
      <c r="AG621" s="21">
        <v>0</v>
      </c>
      <c r="AH621" s="21">
        <v>0</v>
      </c>
      <c r="AI621" s="21">
        <v>0</v>
      </c>
      <c r="AJ621" s="21">
        <v>0.60940000000000005</v>
      </c>
      <c r="AK621" s="21">
        <v>0</v>
      </c>
      <c r="AL621" s="21">
        <v>0</v>
      </c>
      <c r="AM621" s="21">
        <v>0</v>
      </c>
      <c r="AN621" s="21">
        <v>0</v>
      </c>
      <c r="AO621" s="21">
        <v>0.83789999999999998</v>
      </c>
      <c r="AP621" s="21">
        <v>1510</v>
      </c>
      <c r="AQ621" s="21">
        <v>11</v>
      </c>
      <c r="AR621" s="21">
        <v>11</v>
      </c>
      <c r="AS621" s="21">
        <v>0</v>
      </c>
      <c r="AU621" s="21">
        <v>171</v>
      </c>
      <c r="AV621" s="21">
        <v>26</v>
      </c>
    </row>
    <row r="622" spans="1:48" x14ac:dyDescent="0.15">
      <c r="A622" s="20" t="s">
        <v>53</v>
      </c>
      <c r="B622" s="20" t="s">
        <v>105</v>
      </c>
      <c r="C622" s="21">
        <v>0</v>
      </c>
      <c r="D622" s="21">
        <v>0</v>
      </c>
      <c r="E622" s="21">
        <v>0</v>
      </c>
      <c r="F622" s="21">
        <v>0</v>
      </c>
      <c r="K622" s="21">
        <v>0</v>
      </c>
      <c r="L622" s="21">
        <v>43</v>
      </c>
      <c r="M622" s="21">
        <v>0</v>
      </c>
      <c r="N622" s="21">
        <v>0</v>
      </c>
      <c r="O622" s="21">
        <v>0</v>
      </c>
      <c r="P622" s="21">
        <v>5</v>
      </c>
      <c r="Q622" s="21">
        <v>0</v>
      </c>
      <c r="R622" s="21">
        <v>0</v>
      </c>
      <c r="S622" s="21">
        <v>0</v>
      </c>
      <c r="U622" s="21">
        <v>0</v>
      </c>
      <c r="AB622" s="21">
        <v>0</v>
      </c>
      <c r="AC622" s="21">
        <v>0</v>
      </c>
      <c r="AD622" s="21">
        <v>0</v>
      </c>
      <c r="AE622" s="21">
        <v>0</v>
      </c>
      <c r="AF622" s="21">
        <v>0</v>
      </c>
      <c r="AG622" s="21">
        <v>0</v>
      </c>
      <c r="AH622" s="21">
        <v>0</v>
      </c>
      <c r="AI622" s="21">
        <v>0</v>
      </c>
      <c r="AJ622" s="21">
        <v>0</v>
      </c>
      <c r="AK622" s="21">
        <v>0</v>
      </c>
      <c r="AL622" s="21">
        <v>0</v>
      </c>
      <c r="AM622" s="21">
        <v>0</v>
      </c>
      <c r="AN622" s="21">
        <v>0</v>
      </c>
      <c r="AP622" s="21">
        <v>547</v>
      </c>
      <c r="AQ622" s="21">
        <v>10</v>
      </c>
      <c r="AR622" s="21">
        <v>9</v>
      </c>
      <c r="AS622" s="21">
        <v>0</v>
      </c>
      <c r="AU622" s="21">
        <v>0</v>
      </c>
      <c r="AV622" s="21">
        <v>0</v>
      </c>
    </row>
    <row r="623" spans="1:48" x14ac:dyDescent="0.15">
      <c r="A623" s="20" t="s">
        <v>0</v>
      </c>
      <c r="B623" s="20" t="s">
        <v>105</v>
      </c>
      <c r="C623" s="21">
        <v>0</v>
      </c>
      <c r="D623" s="21">
        <v>95</v>
      </c>
      <c r="E623" s="21">
        <v>1443036</v>
      </c>
      <c r="F623" s="21">
        <v>1443120</v>
      </c>
      <c r="G623" s="21">
        <v>52571</v>
      </c>
      <c r="H623" s="21">
        <v>368026</v>
      </c>
      <c r="I623" s="21">
        <v>218640</v>
      </c>
      <c r="J623" s="21">
        <v>296832</v>
      </c>
      <c r="K623" s="21">
        <v>383164</v>
      </c>
      <c r="L623" s="21">
        <v>4775</v>
      </c>
      <c r="M623" s="21">
        <v>0.81210000000000004</v>
      </c>
      <c r="N623" s="21">
        <v>0.81210000000000004</v>
      </c>
      <c r="O623" s="21">
        <v>6.1999999999999998E-3</v>
      </c>
      <c r="P623" s="21">
        <v>10265</v>
      </c>
      <c r="Q623" s="21">
        <v>0.63959999999999995</v>
      </c>
      <c r="R623" s="21">
        <v>303</v>
      </c>
      <c r="S623" s="21">
        <v>141</v>
      </c>
      <c r="T623" s="21">
        <v>5.4199999999999998E-2</v>
      </c>
      <c r="U623" s="21">
        <v>6.1199999999999997E-2</v>
      </c>
      <c r="V623" s="21">
        <v>0.78290000000000004</v>
      </c>
      <c r="W623" s="21">
        <v>1329</v>
      </c>
      <c r="X623" s="21">
        <v>931</v>
      </c>
      <c r="Y623" s="21">
        <v>1442</v>
      </c>
      <c r="Z623" s="21">
        <v>0.3</v>
      </c>
      <c r="AA623" s="21">
        <v>0.6</v>
      </c>
      <c r="AB623" s="21">
        <v>2931</v>
      </c>
      <c r="AC623" s="21">
        <v>2901</v>
      </c>
      <c r="AD623" s="21">
        <v>2947</v>
      </c>
      <c r="AE623" s="21">
        <v>74</v>
      </c>
      <c r="AF623" s="21">
        <v>2.5000000000000001E-2</v>
      </c>
      <c r="AG623" s="21">
        <v>0</v>
      </c>
      <c r="AH623" s="21">
        <v>0</v>
      </c>
      <c r="AI623" s="21">
        <v>0</v>
      </c>
      <c r="AJ623" s="21">
        <v>0.63300000000000001</v>
      </c>
      <c r="AK623" s="21">
        <v>0</v>
      </c>
      <c r="AL623" s="21">
        <v>0</v>
      </c>
      <c r="AM623" s="21">
        <v>0</v>
      </c>
      <c r="AN623" s="21">
        <v>0</v>
      </c>
      <c r="AO623" s="21">
        <v>0.6462</v>
      </c>
      <c r="AP623" s="21">
        <v>15551</v>
      </c>
      <c r="AQ623" s="21">
        <v>604</v>
      </c>
      <c r="AR623" s="21">
        <v>535</v>
      </c>
      <c r="AS623" s="21">
        <v>23</v>
      </c>
      <c r="AT623" s="21">
        <v>45</v>
      </c>
      <c r="AU623" s="21">
        <v>1044</v>
      </c>
      <c r="AV623" s="21">
        <v>253</v>
      </c>
    </row>
    <row r="624" spans="1:48" x14ac:dyDescent="0.15">
      <c r="A624" s="20" t="s">
        <v>54</v>
      </c>
      <c r="B624" s="20" t="s">
        <v>105</v>
      </c>
      <c r="C624" s="21">
        <v>0</v>
      </c>
      <c r="D624" s="21">
        <v>0</v>
      </c>
      <c r="E624" s="21">
        <v>125623</v>
      </c>
      <c r="F624" s="21">
        <v>125623</v>
      </c>
      <c r="I624" s="21">
        <v>19818</v>
      </c>
      <c r="J624" s="21">
        <v>988</v>
      </c>
      <c r="K624" s="21">
        <v>100351</v>
      </c>
      <c r="L624" s="21">
        <v>222</v>
      </c>
      <c r="M624" s="21">
        <v>0.63439999999999996</v>
      </c>
      <c r="N624" s="21">
        <v>0.63439999999999996</v>
      </c>
      <c r="O624" s="21">
        <v>0</v>
      </c>
      <c r="P624" s="21">
        <v>822</v>
      </c>
      <c r="Q624" s="21">
        <v>0.4672</v>
      </c>
      <c r="R624" s="21">
        <v>583</v>
      </c>
      <c r="S624" s="21">
        <v>153</v>
      </c>
      <c r="T624" s="21">
        <v>4.7500000000000001E-2</v>
      </c>
      <c r="U624" s="21">
        <v>1.8E-3</v>
      </c>
      <c r="AB624" s="21">
        <v>0</v>
      </c>
      <c r="AC624" s="21">
        <v>0</v>
      </c>
      <c r="AD624" s="21">
        <v>0</v>
      </c>
      <c r="AE624" s="21">
        <v>0</v>
      </c>
      <c r="AF624" s="21">
        <v>0</v>
      </c>
      <c r="AG624" s="21">
        <v>0</v>
      </c>
      <c r="AH624" s="21">
        <v>0</v>
      </c>
      <c r="AI624" s="21">
        <v>0</v>
      </c>
      <c r="AJ624" s="21">
        <v>0</v>
      </c>
      <c r="AK624" s="21">
        <v>0</v>
      </c>
      <c r="AL624" s="21">
        <v>0</v>
      </c>
      <c r="AM624" s="21">
        <v>0</v>
      </c>
      <c r="AN624" s="21">
        <v>0</v>
      </c>
      <c r="AP624" s="21">
        <v>3438</v>
      </c>
      <c r="AQ624" s="21">
        <v>5</v>
      </c>
      <c r="AR624" s="21">
        <v>5</v>
      </c>
      <c r="AS624" s="21">
        <v>0</v>
      </c>
      <c r="AU624" s="21">
        <v>0</v>
      </c>
      <c r="AV624" s="21">
        <v>0</v>
      </c>
    </row>
    <row r="625" spans="1:48" x14ac:dyDescent="0.15">
      <c r="A625" s="20" t="s">
        <v>55</v>
      </c>
      <c r="B625" s="20" t="s">
        <v>105</v>
      </c>
      <c r="C625" s="21">
        <v>0</v>
      </c>
      <c r="D625" s="21">
        <v>0</v>
      </c>
      <c r="E625" s="21">
        <v>0</v>
      </c>
      <c r="F625" s="21">
        <v>0</v>
      </c>
      <c r="AB625" s="21">
        <v>0</v>
      </c>
      <c r="AC625" s="21">
        <v>0</v>
      </c>
      <c r="AD625" s="21">
        <v>0</v>
      </c>
      <c r="AE625" s="21">
        <v>0</v>
      </c>
      <c r="AF625" s="21">
        <v>0</v>
      </c>
      <c r="AG625" s="21">
        <v>0</v>
      </c>
      <c r="AH625" s="21">
        <v>0</v>
      </c>
      <c r="AI625" s="21">
        <v>0</v>
      </c>
      <c r="AJ625" s="21">
        <v>0</v>
      </c>
      <c r="AK625" s="21">
        <v>0</v>
      </c>
      <c r="AL625" s="21">
        <v>0</v>
      </c>
      <c r="AM625" s="21">
        <v>0</v>
      </c>
      <c r="AN625" s="21">
        <v>0</v>
      </c>
      <c r="AU625" s="21">
        <v>0</v>
      </c>
      <c r="AV625" s="21">
        <v>0</v>
      </c>
    </row>
    <row r="626" spans="1:48" x14ac:dyDescent="0.15">
      <c r="A626" s="20" t="s">
        <v>56</v>
      </c>
      <c r="B626" s="20" t="s">
        <v>105</v>
      </c>
      <c r="C626" s="21">
        <v>0</v>
      </c>
      <c r="D626" s="21">
        <v>1</v>
      </c>
      <c r="E626" s="21">
        <v>108042</v>
      </c>
      <c r="F626" s="21">
        <v>108042</v>
      </c>
      <c r="H626" s="21">
        <v>4755</v>
      </c>
      <c r="J626" s="21">
        <v>21169</v>
      </c>
      <c r="K626" s="21">
        <v>76803</v>
      </c>
      <c r="L626" s="21">
        <v>153</v>
      </c>
      <c r="M626" s="21">
        <v>0.84619999999999995</v>
      </c>
      <c r="N626" s="21">
        <v>0.84619999999999995</v>
      </c>
      <c r="O626" s="21">
        <v>6.4000000000000003E-3</v>
      </c>
      <c r="P626" s="21">
        <v>663</v>
      </c>
      <c r="Q626" s="21">
        <v>0.45850000000000002</v>
      </c>
      <c r="R626" s="21">
        <v>708</v>
      </c>
      <c r="S626" s="21">
        <v>163</v>
      </c>
      <c r="T626" s="21">
        <v>3.5999999999999997E-2</v>
      </c>
      <c r="U626" s="21">
        <v>1.15E-2</v>
      </c>
      <c r="W626" s="21">
        <v>63</v>
      </c>
      <c r="X626" s="21">
        <v>41</v>
      </c>
      <c r="Y626" s="21">
        <v>55</v>
      </c>
      <c r="Z626" s="21">
        <v>0.3</v>
      </c>
      <c r="AA626" s="21">
        <v>0.7</v>
      </c>
      <c r="AB626" s="21">
        <v>120</v>
      </c>
      <c r="AC626" s="21">
        <v>119</v>
      </c>
      <c r="AD626" s="21">
        <v>122</v>
      </c>
      <c r="AE626" s="21">
        <v>5</v>
      </c>
      <c r="AF626" s="21">
        <v>4.0300000000000002E-2</v>
      </c>
      <c r="AG626" s="21">
        <v>0</v>
      </c>
      <c r="AH626" s="21">
        <v>0</v>
      </c>
      <c r="AI626" s="21">
        <v>0</v>
      </c>
      <c r="AJ626" s="21">
        <v>0</v>
      </c>
      <c r="AK626" s="21">
        <v>0</v>
      </c>
      <c r="AL626" s="21">
        <v>0</v>
      </c>
      <c r="AM626" s="21">
        <v>0</v>
      </c>
      <c r="AN626" s="21">
        <v>0</v>
      </c>
      <c r="AP626" s="21">
        <v>5813</v>
      </c>
      <c r="AQ626" s="21">
        <v>29</v>
      </c>
      <c r="AR626" s="21">
        <v>27</v>
      </c>
      <c r="AS626" s="21">
        <v>3</v>
      </c>
      <c r="AU626" s="21">
        <v>1</v>
      </c>
      <c r="AV626" s="21">
        <v>0</v>
      </c>
    </row>
    <row r="627" spans="1:48" x14ac:dyDescent="0.15">
      <c r="A627" s="20" t="s">
        <v>57</v>
      </c>
      <c r="B627" s="20" t="s">
        <v>105</v>
      </c>
      <c r="C627" s="21">
        <v>0</v>
      </c>
      <c r="D627" s="21">
        <v>67</v>
      </c>
      <c r="E627" s="21">
        <v>171098</v>
      </c>
      <c r="F627" s="21">
        <v>171166</v>
      </c>
      <c r="G627" s="21">
        <v>11451</v>
      </c>
      <c r="H627" s="21">
        <v>30109</v>
      </c>
      <c r="I627" s="21">
        <v>32925</v>
      </c>
      <c r="J627" s="21">
        <v>77144</v>
      </c>
      <c r="K627" s="21">
        <v>1157</v>
      </c>
      <c r="L627" s="21">
        <v>443</v>
      </c>
      <c r="M627" s="21">
        <v>0.78569999999999995</v>
      </c>
      <c r="N627" s="21">
        <v>0.78569999999999995</v>
      </c>
      <c r="O627" s="21">
        <v>2.9000000000000001E-2</v>
      </c>
      <c r="P627" s="21">
        <v>650</v>
      </c>
      <c r="Q627" s="21">
        <v>0.69850000000000001</v>
      </c>
      <c r="R627" s="21">
        <v>389</v>
      </c>
      <c r="S627" s="21">
        <v>263</v>
      </c>
      <c r="T627" s="21">
        <v>5.4800000000000001E-2</v>
      </c>
      <c r="U627" s="21">
        <v>5.1799999999999999E-2</v>
      </c>
      <c r="V627" s="21">
        <v>0.80730000000000002</v>
      </c>
      <c r="W627" s="21">
        <v>97</v>
      </c>
      <c r="X627" s="21">
        <v>78</v>
      </c>
      <c r="Y627" s="21">
        <v>104</v>
      </c>
      <c r="Z627" s="21">
        <v>0.3</v>
      </c>
      <c r="AA627" s="21">
        <v>0.8</v>
      </c>
      <c r="AB627" s="21">
        <v>278</v>
      </c>
      <c r="AC627" s="21">
        <v>278</v>
      </c>
      <c r="AD627" s="21">
        <v>278</v>
      </c>
      <c r="AE627" s="21">
        <v>0</v>
      </c>
      <c r="AF627" s="21">
        <v>0</v>
      </c>
      <c r="AG627" s="21">
        <v>0</v>
      </c>
      <c r="AH627" s="21">
        <v>0</v>
      </c>
      <c r="AI627" s="21">
        <v>0</v>
      </c>
      <c r="AJ627" s="21">
        <v>0.4</v>
      </c>
      <c r="AK627" s="21">
        <v>0</v>
      </c>
      <c r="AL627" s="21">
        <v>0</v>
      </c>
      <c r="AM627" s="21">
        <v>0</v>
      </c>
      <c r="AN627" s="21">
        <v>0</v>
      </c>
      <c r="AO627" s="21">
        <v>0.67279999999999995</v>
      </c>
      <c r="AP627" s="21">
        <v>572</v>
      </c>
      <c r="AQ627" s="21">
        <v>418</v>
      </c>
      <c r="AR627" s="21">
        <v>414</v>
      </c>
      <c r="AS627" s="21">
        <v>4</v>
      </c>
      <c r="AT627" s="21">
        <v>0</v>
      </c>
      <c r="AU627" s="21">
        <v>217</v>
      </c>
      <c r="AV627" s="21">
        <v>91</v>
      </c>
    </row>
    <row r="628" spans="1:48" x14ac:dyDescent="0.15">
      <c r="A628" s="20" t="s">
        <v>58</v>
      </c>
      <c r="B628" s="20" t="s">
        <v>105</v>
      </c>
      <c r="C628" s="21">
        <v>0</v>
      </c>
      <c r="D628" s="21">
        <v>0</v>
      </c>
      <c r="E628" s="21">
        <v>52993</v>
      </c>
      <c r="F628" s="21">
        <v>52993</v>
      </c>
      <c r="G628" s="21">
        <v>5381</v>
      </c>
      <c r="H628" s="21">
        <v>46241</v>
      </c>
      <c r="J628" s="21">
        <v>1371</v>
      </c>
      <c r="L628" s="21">
        <v>217</v>
      </c>
      <c r="M628" s="21">
        <v>0.7591</v>
      </c>
      <c r="N628" s="21">
        <v>0.7591</v>
      </c>
      <c r="O628" s="21">
        <v>0</v>
      </c>
      <c r="P628" s="21">
        <v>311</v>
      </c>
      <c r="Q628" s="21">
        <v>0.57879999999999998</v>
      </c>
      <c r="R628" s="21">
        <v>246</v>
      </c>
      <c r="S628" s="21">
        <v>170</v>
      </c>
      <c r="T628" s="21">
        <v>9.9299999999999999E-2</v>
      </c>
      <c r="U628" s="21">
        <v>5.3E-3</v>
      </c>
      <c r="W628" s="21">
        <v>48</v>
      </c>
      <c r="X628" s="21">
        <v>44</v>
      </c>
      <c r="Y628" s="21">
        <v>74</v>
      </c>
      <c r="Z628" s="21">
        <v>0.3</v>
      </c>
      <c r="AA628" s="21">
        <v>0.6</v>
      </c>
      <c r="AB628" s="21">
        <v>152</v>
      </c>
      <c r="AC628" s="21">
        <v>152</v>
      </c>
      <c r="AD628" s="21">
        <v>141</v>
      </c>
      <c r="AE628" s="21">
        <v>24</v>
      </c>
      <c r="AF628" s="21">
        <v>0.18459999999999999</v>
      </c>
      <c r="AG628" s="21">
        <v>0</v>
      </c>
      <c r="AH628" s="21">
        <v>0</v>
      </c>
      <c r="AI628" s="21">
        <v>0</v>
      </c>
      <c r="AJ628" s="21">
        <v>0</v>
      </c>
      <c r="AK628" s="21">
        <v>0</v>
      </c>
      <c r="AL628" s="21">
        <v>0</v>
      </c>
      <c r="AM628" s="21">
        <v>0</v>
      </c>
      <c r="AN628" s="21">
        <v>0</v>
      </c>
      <c r="AP628" s="21">
        <v>643</v>
      </c>
      <c r="AQ628" s="21">
        <v>9</v>
      </c>
      <c r="AR628" s="21">
        <v>6</v>
      </c>
      <c r="AS628" s="21">
        <v>3</v>
      </c>
      <c r="AU628" s="21">
        <v>0</v>
      </c>
      <c r="AV628" s="21">
        <v>0</v>
      </c>
    </row>
    <row r="629" spans="1:48" x14ac:dyDescent="0.15">
      <c r="A629" s="20" t="s">
        <v>59</v>
      </c>
      <c r="B629" s="20" t="s">
        <v>105</v>
      </c>
      <c r="C629" s="21">
        <v>0</v>
      </c>
      <c r="D629" s="21">
        <v>0</v>
      </c>
      <c r="E629" s="21">
        <v>24251</v>
      </c>
      <c r="F629" s="21">
        <v>24251</v>
      </c>
      <c r="I629" s="21">
        <v>510</v>
      </c>
      <c r="K629" s="21">
        <v>23742</v>
      </c>
      <c r="L629" s="21">
        <v>42</v>
      </c>
      <c r="M629" s="21">
        <v>0.47620000000000001</v>
      </c>
      <c r="N629" s="21">
        <v>0.47620000000000001</v>
      </c>
      <c r="O629" s="21">
        <v>0</v>
      </c>
      <c r="P629" s="21">
        <v>712</v>
      </c>
      <c r="Q629" s="21">
        <v>0.17280000000000001</v>
      </c>
      <c r="R629" s="21">
        <v>851</v>
      </c>
      <c r="S629" s="21">
        <v>34</v>
      </c>
      <c r="T629" s="21">
        <v>1.14E-2</v>
      </c>
      <c r="U629" s="21">
        <v>0</v>
      </c>
      <c r="AB629" s="21">
        <v>0</v>
      </c>
      <c r="AC629" s="21">
        <v>0</v>
      </c>
      <c r="AD629" s="21">
        <v>0</v>
      </c>
      <c r="AE629" s="21">
        <v>0</v>
      </c>
      <c r="AF629" s="21">
        <v>0</v>
      </c>
      <c r="AG629" s="21">
        <v>0</v>
      </c>
      <c r="AH629" s="21">
        <v>0</v>
      </c>
      <c r="AI629" s="21">
        <v>0</v>
      </c>
      <c r="AJ629" s="21">
        <v>0</v>
      </c>
      <c r="AK629" s="21">
        <v>0</v>
      </c>
      <c r="AL629" s="21">
        <v>0</v>
      </c>
      <c r="AM629" s="21">
        <v>0</v>
      </c>
      <c r="AN629" s="21">
        <v>0</v>
      </c>
      <c r="AU629" s="21">
        <v>0</v>
      </c>
      <c r="AV629" s="21">
        <v>0</v>
      </c>
    </row>
    <row r="630" spans="1:48" x14ac:dyDescent="0.15">
      <c r="A630" s="20" t="s">
        <v>60</v>
      </c>
      <c r="B630" s="20" t="s">
        <v>105</v>
      </c>
      <c r="C630" s="21">
        <v>0</v>
      </c>
      <c r="D630" s="21">
        <v>0</v>
      </c>
      <c r="E630" s="21">
        <v>80098</v>
      </c>
      <c r="F630" s="21">
        <v>80098</v>
      </c>
      <c r="G630" s="21">
        <v>1463</v>
      </c>
      <c r="H630" s="21">
        <v>16573</v>
      </c>
      <c r="I630" s="21">
        <v>33881</v>
      </c>
      <c r="J630" s="21">
        <v>22657</v>
      </c>
      <c r="K630" s="21">
        <v>5525</v>
      </c>
      <c r="L630" s="21">
        <v>282</v>
      </c>
      <c r="M630" s="21">
        <v>0.75870000000000004</v>
      </c>
      <c r="N630" s="21">
        <v>0.75870000000000004</v>
      </c>
      <c r="O630" s="21">
        <v>0</v>
      </c>
      <c r="P630" s="21">
        <v>302</v>
      </c>
      <c r="Q630" s="21">
        <v>0.80459999999999998</v>
      </c>
      <c r="R630" s="21">
        <v>283</v>
      </c>
      <c r="S630" s="21">
        <v>265</v>
      </c>
      <c r="T630" s="21">
        <v>4.5600000000000002E-2</v>
      </c>
      <c r="U630" s="21">
        <v>4.5999999999999999E-2</v>
      </c>
      <c r="V630" s="21">
        <v>0.8851</v>
      </c>
      <c r="W630" s="21">
        <v>101</v>
      </c>
      <c r="X630" s="21">
        <v>98</v>
      </c>
      <c r="Y630" s="21">
        <v>154</v>
      </c>
      <c r="Z630" s="21">
        <v>0.3</v>
      </c>
      <c r="AA630" s="21">
        <v>0.6</v>
      </c>
      <c r="AB630" s="21">
        <v>289</v>
      </c>
      <c r="AC630" s="21">
        <v>289</v>
      </c>
      <c r="AD630" s="21">
        <v>297</v>
      </c>
      <c r="AE630" s="21">
        <v>6</v>
      </c>
      <c r="AF630" s="21">
        <v>1.9699999999999999E-2</v>
      </c>
      <c r="AG630" s="21">
        <v>0</v>
      </c>
      <c r="AH630" s="21">
        <v>0</v>
      </c>
      <c r="AI630" s="21">
        <v>0</v>
      </c>
      <c r="AJ630" s="21">
        <v>0</v>
      </c>
      <c r="AK630" s="21">
        <v>0</v>
      </c>
      <c r="AL630" s="21">
        <v>0</v>
      </c>
      <c r="AM630" s="21">
        <v>0</v>
      </c>
      <c r="AN630" s="21">
        <v>0</v>
      </c>
      <c r="AP630" s="21">
        <v>532</v>
      </c>
      <c r="AQ630" s="21">
        <v>22</v>
      </c>
      <c r="AR630" s="21">
        <v>14</v>
      </c>
      <c r="AS630" s="21">
        <v>9</v>
      </c>
      <c r="AU630" s="21">
        <v>20</v>
      </c>
      <c r="AV630" s="21">
        <v>0</v>
      </c>
    </row>
    <row r="631" spans="1:48" x14ac:dyDescent="0.15">
      <c r="A631" s="20" t="s">
        <v>61</v>
      </c>
      <c r="B631" s="20" t="s">
        <v>105</v>
      </c>
      <c r="C631" s="21">
        <v>0</v>
      </c>
      <c r="D631" s="21">
        <v>1</v>
      </c>
      <c r="E631" s="21">
        <v>40774</v>
      </c>
      <c r="F631" s="21">
        <v>40774</v>
      </c>
      <c r="G631" s="21">
        <v>4308</v>
      </c>
      <c r="H631" s="21">
        <v>4912</v>
      </c>
      <c r="I631" s="21">
        <v>12536</v>
      </c>
      <c r="J631" s="21">
        <v>12044</v>
      </c>
      <c r="K631" s="21">
        <v>3901</v>
      </c>
      <c r="L631" s="21">
        <v>172</v>
      </c>
      <c r="M631" s="21">
        <v>0.7853</v>
      </c>
      <c r="N631" s="21">
        <v>0.7853</v>
      </c>
      <c r="O631" s="21">
        <v>5.5999999999999999E-3</v>
      </c>
      <c r="P631" s="21">
        <v>177</v>
      </c>
      <c r="Q631" s="21">
        <v>1.113</v>
      </c>
      <c r="R631" s="21">
        <v>234</v>
      </c>
      <c r="S631" s="21">
        <v>230</v>
      </c>
      <c r="T631" s="21">
        <v>5.7500000000000002E-2</v>
      </c>
      <c r="U631" s="21">
        <v>6.9800000000000001E-2</v>
      </c>
      <c r="V631" s="21">
        <v>0.62609999999999999</v>
      </c>
      <c r="W631" s="21">
        <v>34</v>
      </c>
      <c r="X631" s="21">
        <v>31</v>
      </c>
      <c r="Y631" s="21">
        <v>44</v>
      </c>
      <c r="Z631" s="21">
        <v>0.2</v>
      </c>
      <c r="AA631" s="21">
        <v>0.7</v>
      </c>
      <c r="AB631" s="21">
        <v>154</v>
      </c>
      <c r="AC631" s="21">
        <v>140</v>
      </c>
      <c r="AD631" s="21">
        <v>164</v>
      </c>
      <c r="AE631" s="21">
        <v>1</v>
      </c>
      <c r="AF631" s="21">
        <v>5.7000000000000002E-3</v>
      </c>
      <c r="AG631" s="21">
        <v>0</v>
      </c>
      <c r="AH631" s="21">
        <v>0</v>
      </c>
      <c r="AI631" s="21">
        <v>0</v>
      </c>
      <c r="AJ631" s="21">
        <v>0</v>
      </c>
      <c r="AK631" s="21">
        <v>0</v>
      </c>
      <c r="AL631" s="21">
        <v>0</v>
      </c>
      <c r="AM631" s="21">
        <v>0</v>
      </c>
      <c r="AN631" s="21">
        <v>0</v>
      </c>
      <c r="AP631" s="21">
        <v>69</v>
      </c>
      <c r="AQ631" s="21">
        <v>3</v>
      </c>
      <c r="AR631" s="21">
        <v>0</v>
      </c>
      <c r="AS631" s="21">
        <v>3</v>
      </c>
      <c r="AU631" s="21">
        <v>61</v>
      </c>
      <c r="AV631" s="21">
        <v>0</v>
      </c>
    </row>
    <row r="632" spans="1:48" x14ac:dyDescent="0.15">
      <c r="A632" s="20" t="s">
        <v>48</v>
      </c>
      <c r="B632" s="20" t="s">
        <v>106</v>
      </c>
      <c r="C632" s="21">
        <v>0</v>
      </c>
      <c r="D632" s="21">
        <v>0</v>
      </c>
      <c r="E632" s="21">
        <v>145082</v>
      </c>
      <c r="F632" s="21">
        <v>145082</v>
      </c>
      <c r="G632" s="21">
        <v>1126</v>
      </c>
      <c r="H632" s="21">
        <v>44252</v>
      </c>
      <c r="I632" s="21">
        <v>20722</v>
      </c>
      <c r="J632" s="21">
        <v>28217</v>
      </c>
      <c r="K632" s="21">
        <v>9656</v>
      </c>
      <c r="L632" s="21">
        <v>449</v>
      </c>
      <c r="M632" s="21">
        <v>0.76029999999999998</v>
      </c>
      <c r="N632" s="21">
        <v>0.76029999999999998</v>
      </c>
      <c r="O632" s="21">
        <v>0</v>
      </c>
      <c r="P632" s="21">
        <v>779</v>
      </c>
      <c r="Q632" s="21">
        <v>0.71630000000000005</v>
      </c>
      <c r="R632" s="21">
        <v>321</v>
      </c>
      <c r="S632" s="21">
        <v>186</v>
      </c>
      <c r="T632" s="21">
        <v>7.4800000000000005E-2</v>
      </c>
      <c r="U632" s="21">
        <v>4.6199999999999998E-2</v>
      </c>
      <c r="V632" s="21">
        <v>0.9708</v>
      </c>
      <c r="W632" s="21">
        <v>52</v>
      </c>
      <c r="X632" s="21">
        <v>35</v>
      </c>
      <c r="Y632" s="21">
        <v>58</v>
      </c>
      <c r="Z632" s="21">
        <v>0.3</v>
      </c>
      <c r="AA632" s="21">
        <v>0.6</v>
      </c>
      <c r="AB632" s="21">
        <v>111</v>
      </c>
      <c r="AC632" s="21">
        <v>111</v>
      </c>
      <c r="AD632" s="21">
        <v>110</v>
      </c>
      <c r="AE632" s="21">
        <v>7</v>
      </c>
      <c r="AF632" s="21">
        <v>6.3600000000000004E-2</v>
      </c>
      <c r="AG632" s="21">
        <v>0</v>
      </c>
      <c r="AH632" s="21">
        <v>0</v>
      </c>
      <c r="AI632" s="21">
        <v>0</v>
      </c>
      <c r="AJ632" s="21">
        <v>0.85709999999999997</v>
      </c>
      <c r="AK632" s="21">
        <v>0</v>
      </c>
      <c r="AL632" s="21">
        <v>0</v>
      </c>
      <c r="AM632" s="21">
        <v>0</v>
      </c>
      <c r="AN632" s="21">
        <v>0</v>
      </c>
      <c r="AO632" s="21">
        <v>0.67830000000000001</v>
      </c>
      <c r="AP632" s="21">
        <v>1259</v>
      </c>
      <c r="AQ632" s="21">
        <v>60</v>
      </c>
      <c r="AR632" s="21">
        <v>59</v>
      </c>
      <c r="AS632" s="21">
        <v>1</v>
      </c>
      <c r="AU632" s="21">
        <v>128</v>
      </c>
      <c r="AV632" s="21">
        <v>45</v>
      </c>
    </row>
    <row r="633" spans="1:48" x14ac:dyDescent="0.15">
      <c r="A633" s="20" t="s">
        <v>50</v>
      </c>
      <c r="B633" s="20" t="s">
        <v>106</v>
      </c>
      <c r="C633" s="21">
        <v>0</v>
      </c>
      <c r="D633" s="21">
        <v>1</v>
      </c>
      <c r="E633" s="21">
        <v>157034</v>
      </c>
      <c r="F633" s="21">
        <v>157035</v>
      </c>
      <c r="G633" s="21">
        <v>4793</v>
      </c>
      <c r="H633" s="21">
        <v>105460</v>
      </c>
      <c r="I633" s="21">
        <v>0</v>
      </c>
      <c r="J633" s="21">
        <v>31243</v>
      </c>
      <c r="K633" s="21">
        <v>12668</v>
      </c>
      <c r="L633" s="21">
        <v>472</v>
      </c>
      <c r="M633" s="21">
        <v>0.89370000000000005</v>
      </c>
      <c r="N633" s="21">
        <v>0.89370000000000005</v>
      </c>
      <c r="O633" s="21">
        <v>2E-3</v>
      </c>
      <c r="P633" s="21">
        <v>925</v>
      </c>
      <c r="Q633" s="21">
        <v>0.61509999999999998</v>
      </c>
      <c r="R633" s="21">
        <v>328</v>
      </c>
      <c r="S633" s="21">
        <v>170</v>
      </c>
      <c r="T633" s="21">
        <v>5.4699999999999999E-2</v>
      </c>
      <c r="U633" s="21">
        <v>6.0999999999999999E-2</v>
      </c>
      <c r="V633" s="21">
        <v>0.88980000000000004</v>
      </c>
      <c r="W633" s="21">
        <v>53</v>
      </c>
      <c r="X633" s="21">
        <v>29</v>
      </c>
      <c r="Y633" s="21">
        <v>44</v>
      </c>
      <c r="Z633" s="21">
        <v>0.2</v>
      </c>
      <c r="AA633" s="21">
        <v>0.7</v>
      </c>
      <c r="AB633" s="21">
        <v>134</v>
      </c>
      <c r="AC633" s="21">
        <v>134</v>
      </c>
      <c r="AD633" s="21">
        <v>132</v>
      </c>
      <c r="AE633" s="21">
        <v>9</v>
      </c>
      <c r="AF633" s="21">
        <v>6.8699999999999997E-2</v>
      </c>
      <c r="AG633" s="21">
        <v>0</v>
      </c>
      <c r="AH633" s="21">
        <v>0</v>
      </c>
      <c r="AI633" s="21">
        <v>0</v>
      </c>
      <c r="AJ633" s="21">
        <v>0.5</v>
      </c>
      <c r="AK633" s="21">
        <v>0</v>
      </c>
      <c r="AL633" s="21">
        <v>0</v>
      </c>
      <c r="AM633" s="21">
        <v>0</v>
      </c>
      <c r="AN633" s="21">
        <v>0</v>
      </c>
      <c r="AO633" s="21">
        <v>0.6512</v>
      </c>
      <c r="AP633" s="21">
        <v>2373</v>
      </c>
      <c r="AQ633" s="21">
        <v>167</v>
      </c>
      <c r="AR633" s="21">
        <v>140</v>
      </c>
      <c r="AS633" s="21">
        <v>3</v>
      </c>
      <c r="AT633" s="21">
        <v>24</v>
      </c>
      <c r="AU633" s="21">
        <v>47</v>
      </c>
      <c r="AV633" s="21">
        <v>94</v>
      </c>
    </row>
    <row r="634" spans="1:48" x14ac:dyDescent="0.15">
      <c r="A634" s="20" t="s">
        <v>51</v>
      </c>
      <c r="B634" s="20" t="s">
        <v>106</v>
      </c>
      <c r="C634" s="21">
        <v>0</v>
      </c>
      <c r="D634" s="21">
        <v>13</v>
      </c>
      <c r="E634" s="21">
        <v>444088</v>
      </c>
      <c r="F634" s="21">
        <v>444097</v>
      </c>
      <c r="G634" s="21">
        <v>11289</v>
      </c>
      <c r="H634" s="21">
        <v>150228</v>
      </c>
      <c r="I634" s="21">
        <v>114107</v>
      </c>
      <c r="J634" s="21">
        <v>93606</v>
      </c>
      <c r="K634" s="21">
        <v>63490</v>
      </c>
      <c r="L634" s="21">
        <v>1708</v>
      </c>
      <c r="M634" s="21">
        <v>0.83689999999999998</v>
      </c>
      <c r="N634" s="21">
        <v>0.83689999999999998</v>
      </c>
      <c r="O634" s="21">
        <v>4.5999999999999999E-3</v>
      </c>
      <c r="P634" s="21">
        <v>3198</v>
      </c>
      <c r="Q634" s="21">
        <v>0.78490000000000004</v>
      </c>
      <c r="R634" s="21">
        <v>261</v>
      </c>
      <c r="S634" s="21">
        <v>139</v>
      </c>
      <c r="T634" s="21">
        <v>7.4399999999999994E-2</v>
      </c>
      <c r="U634" s="21">
        <v>9.1499999999999998E-2</v>
      </c>
      <c r="V634" s="21">
        <v>0.85499999999999998</v>
      </c>
      <c r="W634" s="21">
        <v>831</v>
      </c>
      <c r="X634" s="21">
        <v>517</v>
      </c>
      <c r="Y634" s="21">
        <v>898</v>
      </c>
      <c r="Z634" s="21">
        <v>0.3</v>
      </c>
      <c r="AA634" s="21">
        <v>0.6</v>
      </c>
      <c r="AB634" s="21">
        <v>1730</v>
      </c>
      <c r="AC634" s="21">
        <v>1608</v>
      </c>
      <c r="AD634" s="21">
        <v>1594</v>
      </c>
      <c r="AE634" s="21">
        <v>378</v>
      </c>
      <c r="AF634" s="21">
        <v>0.25929999999999997</v>
      </c>
      <c r="AG634" s="21">
        <v>0</v>
      </c>
      <c r="AH634" s="21">
        <v>0</v>
      </c>
      <c r="AI634" s="21">
        <v>0</v>
      </c>
      <c r="AJ634" s="21">
        <v>0.67120000000000002</v>
      </c>
      <c r="AK634" s="21">
        <v>0</v>
      </c>
      <c r="AL634" s="21">
        <v>0</v>
      </c>
      <c r="AM634" s="21">
        <v>0</v>
      </c>
      <c r="AN634" s="21">
        <v>0</v>
      </c>
      <c r="AO634" s="21">
        <v>0.56859999999999999</v>
      </c>
      <c r="AP634" s="21">
        <v>7595</v>
      </c>
      <c r="AQ634" s="21">
        <v>105</v>
      </c>
      <c r="AR634" s="21">
        <v>58</v>
      </c>
      <c r="AS634" s="21">
        <v>48</v>
      </c>
      <c r="AT634" s="21">
        <v>0</v>
      </c>
      <c r="AU634" s="21">
        <v>546</v>
      </c>
      <c r="AV634" s="21">
        <v>57</v>
      </c>
    </row>
    <row r="635" spans="1:48" x14ac:dyDescent="0.15">
      <c r="A635" s="20" t="s">
        <v>52</v>
      </c>
      <c r="B635" s="20" t="s">
        <v>106</v>
      </c>
      <c r="C635" s="21">
        <v>0</v>
      </c>
      <c r="D635" s="21">
        <v>2</v>
      </c>
      <c r="E635" s="21">
        <v>318099</v>
      </c>
      <c r="F635" s="21">
        <v>318102</v>
      </c>
      <c r="G635" s="21">
        <v>27814</v>
      </c>
      <c r="H635" s="21">
        <v>53877</v>
      </c>
      <c r="I635" s="21">
        <v>51582</v>
      </c>
      <c r="J635" s="21">
        <v>75818</v>
      </c>
      <c r="K635" s="21">
        <v>10555</v>
      </c>
      <c r="L635" s="21">
        <v>554</v>
      </c>
      <c r="M635" s="21">
        <v>0.95799999999999996</v>
      </c>
      <c r="N635" s="21">
        <v>0.95799999999999996</v>
      </c>
      <c r="O635" s="21">
        <v>8.6999999999999994E-3</v>
      </c>
      <c r="P635" s="21">
        <v>1759</v>
      </c>
      <c r="Q635" s="21">
        <v>0.72140000000000004</v>
      </c>
      <c r="R635" s="21">
        <v>566</v>
      </c>
      <c r="S635" s="21">
        <v>181</v>
      </c>
      <c r="T635" s="21">
        <v>6.4699999999999994E-2</v>
      </c>
      <c r="U635" s="21">
        <v>6.1699999999999998E-2</v>
      </c>
      <c r="V635" s="21">
        <v>0.98680000000000001</v>
      </c>
      <c r="W635" s="21">
        <v>346</v>
      </c>
      <c r="X635" s="21">
        <v>153</v>
      </c>
      <c r="Y635" s="21">
        <v>136</v>
      </c>
      <c r="Z635" s="21">
        <v>0.7</v>
      </c>
      <c r="AA635" s="21">
        <v>1.1000000000000001</v>
      </c>
      <c r="AB635" s="21">
        <v>228</v>
      </c>
      <c r="AC635" s="21">
        <v>228</v>
      </c>
      <c r="AD635" s="21">
        <v>234</v>
      </c>
      <c r="AE635" s="21">
        <v>37</v>
      </c>
      <c r="AF635" s="21">
        <v>0.15479999999999999</v>
      </c>
      <c r="AG635" s="21">
        <v>0</v>
      </c>
      <c r="AH635" s="21">
        <v>0</v>
      </c>
      <c r="AI635" s="21">
        <v>0</v>
      </c>
      <c r="AJ635" s="21">
        <v>0.41670000000000001</v>
      </c>
      <c r="AK635" s="21">
        <v>0</v>
      </c>
      <c r="AL635" s="21">
        <v>0</v>
      </c>
      <c r="AM635" s="21">
        <v>0</v>
      </c>
      <c r="AN635" s="21">
        <v>0</v>
      </c>
      <c r="AO635" s="21">
        <v>0.81620000000000004</v>
      </c>
      <c r="AP635" s="21">
        <v>3382</v>
      </c>
      <c r="AQ635" s="21">
        <v>41</v>
      </c>
      <c r="AR635" s="21">
        <v>20</v>
      </c>
      <c r="AS635" s="21">
        <v>21</v>
      </c>
      <c r="AU635" s="21">
        <v>85</v>
      </c>
      <c r="AV635" s="21">
        <v>57</v>
      </c>
    </row>
    <row r="636" spans="1:48" x14ac:dyDescent="0.15">
      <c r="A636" s="20" t="s">
        <v>53</v>
      </c>
      <c r="B636" s="20" t="s">
        <v>106</v>
      </c>
      <c r="C636" s="21">
        <v>0</v>
      </c>
      <c r="D636" s="21">
        <v>0</v>
      </c>
      <c r="E636" s="21">
        <v>100</v>
      </c>
      <c r="F636" s="21">
        <v>100</v>
      </c>
      <c r="K636" s="21">
        <v>100</v>
      </c>
      <c r="L636" s="21">
        <v>68</v>
      </c>
      <c r="M636" s="21">
        <v>1.47E-2</v>
      </c>
      <c r="N636" s="21">
        <v>1.47E-2</v>
      </c>
      <c r="O636" s="21">
        <v>0</v>
      </c>
      <c r="P636" s="21">
        <v>235</v>
      </c>
      <c r="Q636" s="21">
        <v>4.3E-3</v>
      </c>
      <c r="R636" s="21">
        <v>2</v>
      </c>
      <c r="S636" s="21">
        <v>0</v>
      </c>
      <c r="T636" s="21">
        <v>0</v>
      </c>
      <c r="U636" s="21">
        <v>0</v>
      </c>
      <c r="AB636" s="21">
        <v>0</v>
      </c>
      <c r="AC636" s="21">
        <v>0</v>
      </c>
      <c r="AD636" s="21">
        <v>0</v>
      </c>
      <c r="AE636" s="21">
        <v>0</v>
      </c>
      <c r="AF636" s="21">
        <v>0</v>
      </c>
      <c r="AG636" s="21">
        <v>0</v>
      </c>
      <c r="AH636" s="21">
        <v>0</v>
      </c>
      <c r="AI636" s="21">
        <v>0</v>
      </c>
      <c r="AJ636" s="21">
        <v>0</v>
      </c>
      <c r="AK636" s="21">
        <v>0</v>
      </c>
      <c r="AL636" s="21">
        <v>0</v>
      </c>
      <c r="AM636" s="21">
        <v>0</v>
      </c>
      <c r="AN636" s="21">
        <v>0</v>
      </c>
      <c r="AP636" s="21">
        <v>706</v>
      </c>
      <c r="AQ636" s="21">
        <v>22</v>
      </c>
      <c r="AR636" s="21">
        <v>20</v>
      </c>
      <c r="AS636" s="21">
        <v>2</v>
      </c>
      <c r="AU636" s="21">
        <v>0</v>
      </c>
      <c r="AV636" s="21">
        <v>0</v>
      </c>
    </row>
    <row r="637" spans="1:48" x14ac:dyDescent="0.15">
      <c r="A637" s="20" t="s">
        <v>0</v>
      </c>
      <c r="B637" s="20" t="s">
        <v>106</v>
      </c>
      <c r="C637" s="21">
        <v>0</v>
      </c>
      <c r="D637" s="21">
        <v>270</v>
      </c>
      <c r="E637" s="21">
        <v>1920084</v>
      </c>
      <c r="F637" s="21">
        <v>1920240</v>
      </c>
      <c r="G637" s="21">
        <v>89598</v>
      </c>
      <c r="H637" s="21">
        <v>508960</v>
      </c>
      <c r="I637" s="21">
        <v>339543</v>
      </c>
      <c r="J637" s="21">
        <v>521823</v>
      </c>
      <c r="K637" s="21">
        <v>248738</v>
      </c>
      <c r="L637" s="21">
        <v>4866</v>
      </c>
      <c r="M637" s="21">
        <v>0.81820000000000004</v>
      </c>
      <c r="N637" s="21">
        <v>0.81779999999999997</v>
      </c>
      <c r="O637" s="21">
        <v>1.01E-2</v>
      </c>
      <c r="P637" s="21">
        <v>10735</v>
      </c>
      <c r="Q637" s="21">
        <v>0.66190000000000004</v>
      </c>
      <c r="R637" s="21">
        <v>398</v>
      </c>
      <c r="S637" s="21">
        <v>179</v>
      </c>
      <c r="T637" s="21">
        <v>6.8400000000000002E-2</v>
      </c>
      <c r="U637" s="21">
        <v>6.3500000000000001E-2</v>
      </c>
      <c r="V637" s="21">
        <v>0.78180000000000005</v>
      </c>
      <c r="W637" s="21">
        <v>2702</v>
      </c>
      <c r="X637" s="21">
        <v>1287</v>
      </c>
      <c r="Y637" s="21">
        <v>1873</v>
      </c>
      <c r="Z637" s="21">
        <v>0.4</v>
      </c>
      <c r="AA637" s="21">
        <v>0.7</v>
      </c>
      <c r="AB637" s="21">
        <v>3368</v>
      </c>
      <c r="AC637" s="21">
        <v>3242</v>
      </c>
      <c r="AD637" s="21">
        <v>3150</v>
      </c>
      <c r="AE637" s="21">
        <v>712</v>
      </c>
      <c r="AF637" s="21">
        <v>0.2429</v>
      </c>
      <c r="AG637" s="21">
        <v>0</v>
      </c>
      <c r="AH637" s="21">
        <v>0</v>
      </c>
      <c r="AI637" s="21">
        <v>0</v>
      </c>
      <c r="AJ637" s="21">
        <v>0.6452</v>
      </c>
      <c r="AK637" s="21">
        <v>0</v>
      </c>
      <c r="AL637" s="21">
        <v>0</v>
      </c>
      <c r="AM637" s="21">
        <v>0</v>
      </c>
      <c r="AN637" s="21">
        <v>0</v>
      </c>
      <c r="AO637" s="21">
        <v>0.72609999999999997</v>
      </c>
      <c r="AP637" s="21">
        <v>43089</v>
      </c>
      <c r="AQ637" s="21">
        <v>2007</v>
      </c>
      <c r="AR637" s="21">
        <v>1892</v>
      </c>
      <c r="AS637" s="21">
        <v>92</v>
      </c>
      <c r="AT637" s="21">
        <v>24</v>
      </c>
      <c r="AU637" s="21">
        <v>1127</v>
      </c>
      <c r="AV637" s="21">
        <v>423</v>
      </c>
    </row>
    <row r="638" spans="1:48" x14ac:dyDescent="0.15">
      <c r="A638" s="20" t="s">
        <v>54</v>
      </c>
      <c r="B638" s="20" t="s">
        <v>106</v>
      </c>
      <c r="C638" s="21">
        <v>0</v>
      </c>
      <c r="D638" s="21">
        <v>0</v>
      </c>
      <c r="E638" s="21">
        <v>92736</v>
      </c>
      <c r="F638" s="21">
        <v>92736</v>
      </c>
      <c r="I638" s="21">
        <v>9506</v>
      </c>
      <c r="J638" s="21">
        <v>4057</v>
      </c>
      <c r="K638" s="21">
        <v>77126</v>
      </c>
      <c r="L638" s="21">
        <v>243</v>
      </c>
      <c r="M638" s="21">
        <v>0.64939999999999998</v>
      </c>
      <c r="N638" s="21">
        <v>0.64939999999999998</v>
      </c>
      <c r="O638" s="21">
        <v>0</v>
      </c>
      <c r="P638" s="21">
        <v>1017</v>
      </c>
      <c r="Q638" s="21">
        <v>0.50149999999999995</v>
      </c>
      <c r="R638" s="21">
        <v>399</v>
      </c>
      <c r="S638" s="21">
        <v>91</v>
      </c>
      <c r="T638" s="21">
        <v>5.3699999999999998E-2</v>
      </c>
      <c r="U638" s="21">
        <v>2.2000000000000001E-3</v>
      </c>
      <c r="AB638" s="21">
        <v>0</v>
      </c>
      <c r="AC638" s="21">
        <v>0</v>
      </c>
      <c r="AD638" s="21">
        <v>0</v>
      </c>
      <c r="AE638" s="21">
        <v>0</v>
      </c>
      <c r="AF638" s="21">
        <v>0</v>
      </c>
      <c r="AG638" s="21">
        <v>0</v>
      </c>
      <c r="AH638" s="21">
        <v>0</v>
      </c>
      <c r="AI638" s="21">
        <v>0</v>
      </c>
      <c r="AJ638" s="21">
        <v>0</v>
      </c>
      <c r="AK638" s="21">
        <v>0</v>
      </c>
      <c r="AL638" s="21">
        <v>0</v>
      </c>
      <c r="AM638" s="21">
        <v>0</v>
      </c>
      <c r="AN638" s="21">
        <v>0</v>
      </c>
      <c r="AP638" s="21">
        <v>2981</v>
      </c>
      <c r="AQ638" s="21">
        <v>29</v>
      </c>
      <c r="AR638" s="21">
        <v>28</v>
      </c>
      <c r="AS638" s="21">
        <v>0</v>
      </c>
      <c r="AU638" s="21">
        <v>0</v>
      </c>
      <c r="AV638" s="21">
        <v>0</v>
      </c>
    </row>
    <row r="639" spans="1:48" x14ac:dyDescent="0.15">
      <c r="A639" s="20" t="s">
        <v>55</v>
      </c>
      <c r="B639" s="20" t="s">
        <v>106</v>
      </c>
      <c r="C639" s="21">
        <v>0</v>
      </c>
      <c r="D639" s="21">
        <v>0</v>
      </c>
      <c r="E639" s="21">
        <v>0</v>
      </c>
      <c r="F639" s="21">
        <v>0</v>
      </c>
      <c r="AB639" s="21">
        <v>0</v>
      </c>
      <c r="AC639" s="21">
        <v>0</v>
      </c>
      <c r="AD639" s="21">
        <v>0</v>
      </c>
      <c r="AE639" s="21">
        <v>0</v>
      </c>
      <c r="AF639" s="21">
        <v>0</v>
      </c>
      <c r="AG639" s="21">
        <v>0</v>
      </c>
      <c r="AH639" s="21">
        <v>0</v>
      </c>
      <c r="AI639" s="21">
        <v>0</v>
      </c>
      <c r="AJ639" s="21">
        <v>0</v>
      </c>
      <c r="AK639" s="21">
        <v>0</v>
      </c>
      <c r="AL639" s="21">
        <v>0</v>
      </c>
      <c r="AM639" s="21">
        <v>0</v>
      </c>
      <c r="AN639" s="21">
        <v>0</v>
      </c>
      <c r="AU639" s="21">
        <v>0</v>
      </c>
      <c r="AV639" s="21">
        <v>0</v>
      </c>
    </row>
    <row r="640" spans="1:48" x14ac:dyDescent="0.15">
      <c r="A640" s="20" t="s">
        <v>56</v>
      </c>
      <c r="B640" s="20" t="s">
        <v>106</v>
      </c>
      <c r="C640" s="21">
        <v>0</v>
      </c>
      <c r="D640" s="21">
        <v>-1</v>
      </c>
      <c r="E640" s="21">
        <v>112866</v>
      </c>
      <c r="F640" s="21">
        <v>112865</v>
      </c>
      <c r="H640" s="21">
        <v>6926</v>
      </c>
      <c r="J640" s="21">
        <v>33162</v>
      </c>
      <c r="K640" s="21">
        <v>64299</v>
      </c>
      <c r="L640" s="21">
        <v>164</v>
      </c>
      <c r="M640" s="21">
        <v>0.87949999999999995</v>
      </c>
      <c r="N640" s="21">
        <v>0.87949999999999995</v>
      </c>
      <c r="O640" s="21">
        <v>0</v>
      </c>
      <c r="P640" s="21">
        <v>668</v>
      </c>
      <c r="Q640" s="21">
        <v>0.4985</v>
      </c>
      <c r="R640" s="21">
        <v>712</v>
      </c>
      <c r="S640" s="21">
        <v>169</v>
      </c>
      <c r="T640" s="21">
        <v>4.1599999999999998E-2</v>
      </c>
      <c r="U640" s="21">
        <v>1.0699999999999999E-2</v>
      </c>
      <c r="V640" s="21">
        <v>1</v>
      </c>
      <c r="W640" s="21">
        <v>56</v>
      </c>
      <c r="X640" s="21">
        <v>43</v>
      </c>
      <c r="Y640" s="21">
        <v>43</v>
      </c>
      <c r="Z640" s="21">
        <v>0.4</v>
      </c>
      <c r="AA640" s="21">
        <v>1</v>
      </c>
      <c r="AB640" s="21">
        <v>85</v>
      </c>
      <c r="AC640" s="21">
        <v>85</v>
      </c>
      <c r="AD640" s="21">
        <v>102</v>
      </c>
      <c r="AE640" s="21">
        <v>11</v>
      </c>
      <c r="AF640" s="21">
        <v>9.1700000000000004E-2</v>
      </c>
      <c r="AG640" s="21">
        <v>0</v>
      </c>
      <c r="AH640" s="21">
        <v>0</v>
      </c>
      <c r="AI640" s="21">
        <v>0</v>
      </c>
      <c r="AJ640" s="21">
        <v>0</v>
      </c>
      <c r="AK640" s="21">
        <v>0</v>
      </c>
      <c r="AL640" s="21">
        <v>0</v>
      </c>
      <c r="AM640" s="21">
        <v>0</v>
      </c>
      <c r="AN640" s="21">
        <v>0</v>
      </c>
      <c r="AP640" s="21">
        <v>18178</v>
      </c>
      <c r="AQ640" s="21">
        <v>365</v>
      </c>
      <c r="AR640" s="21">
        <v>358</v>
      </c>
      <c r="AS640" s="21">
        <v>7</v>
      </c>
      <c r="AU640" s="21">
        <v>1</v>
      </c>
      <c r="AV640" s="21">
        <v>0</v>
      </c>
    </row>
    <row r="641" spans="1:48" x14ac:dyDescent="0.15">
      <c r="A641" s="20" t="s">
        <v>57</v>
      </c>
      <c r="B641" s="20" t="s">
        <v>106</v>
      </c>
      <c r="C641" s="21">
        <v>0</v>
      </c>
      <c r="D641" s="21">
        <v>235</v>
      </c>
      <c r="E641" s="21">
        <v>367049</v>
      </c>
      <c r="F641" s="21">
        <v>367174</v>
      </c>
      <c r="G641" s="21">
        <v>23140</v>
      </c>
      <c r="H641" s="21">
        <v>55924</v>
      </c>
      <c r="I641" s="21">
        <v>70275</v>
      </c>
      <c r="J641" s="21">
        <v>175974</v>
      </c>
      <c r="K641" s="21">
        <v>1790</v>
      </c>
      <c r="L641" s="21">
        <v>440</v>
      </c>
      <c r="M641" s="21">
        <v>0.79869999999999997</v>
      </c>
      <c r="N641" s="21">
        <v>0.79420000000000002</v>
      </c>
      <c r="O641" s="21">
        <v>7.0800000000000002E-2</v>
      </c>
      <c r="P641" s="21">
        <v>651</v>
      </c>
      <c r="Q641" s="21">
        <v>0.7127</v>
      </c>
      <c r="R641" s="21">
        <v>832</v>
      </c>
      <c r="S641" s="21">
        <v>564</v>
      </c>
      <c r="T641" s="21">
        <v>7.2999999999999995E-2</v>
      </c>
      <c r="U641" s="21">
        <v>6.0999999999999999E-2</v>
      </c>
      <c r="V641" s="21">
        <v>0.81020000000000003</v>
      </c>
      <c r="W641" s="21">
        <v>224</v>
      </c>
      <c r="X641" s="21">
        <v>116</v>
      </c>
      <c r="Y641" s="21">
        <v>169</v>
      </c>
      <c r="Z641" s="21">
        <v>0.4</v>
      </c>
      <c r="AA641" s="21">
        <v>0.7</v>
      </c>
      <c r="AB641" s="21">
        <v>307</v>
      </c>
      <c r="AC641" s="21">
        <v>307</v>
      </c>
      <c r="AD641" s="21">
        <v>292</v>
      </c>
      <c r="AE641" s="21">
        <v>29</v>
      </c>
      <c r="AF641" s="21">
        <v>0.1043</v>
      </c>
      <c r="AG641" s="21">
        <v>0</v>
      </c>
      <c r="AH641" s="21">
        <v>0</v>
      </c>
      <c r="AI641" s="21">
        <v>0</v>
      </c>
      <c r="AJ641" s="21">
        <v>0.85709999999999997</v>
      </c>
      <c r="AK641" s="21">
        <v>0</v>
      </c>
      <c r="AL641" s="21">
        <v>0</v>
      </c>
      <c r="AM641" s="21">
        <v>0</v>
      </c>
      <c r="AN641" s="21">
        <v>0</v>
      </c>
      <c r="AO641" s="21">
        <v>0.876</v>
      </c>
      <c r="AP641" s="21">
        <v>2801</v>
      </c>
      <c r="AQ641" s="21">
        <v>1125</v>
      </c>
      <c r="AR641" s="21">
        <v>1123</v>
      </c>
      <c r="AS641" s="21">
        <v>2</v>
      </c>
      <c r="AT641" s="21">
        <v>0</v>
      </c>
      <c r="AU641" s="21">
        <v>226</v>
      </c>
      <c r="AV641" s="21">
        <v>134</v>
      </c>
    </row>
    <row r="642" spans="1:48" x14ac:dyDescent="0.15">
      <c r="A642" s="20" t="s">
        <v>58</v>
      </c>
      <c r="B642" s="20" t="s">
        <v>106</v>
      </c>
      <c r="C642" s="21">
        <v>0</v>
      </c>
      <c r="D642" s="21">
        <v>0</v>
      </c>
      <c r="E642" s="21">
        <v>64330</v>
      </c>
      <c r="F642" s="21">
        <v>64330</v>
      </c>
      <c r="G642" s="21">
        <v>5924</v>
      </c>
      <c r="H642" s="21">
        <v>54876</v>
      </c>
      <c r="J642" s="21">
        <v>3529</v>
      </c>
      <c r="L642" s="21">
        <v>227</v>
      </c>
      <c r="M642" s="21">
        <v>0.78969999999999996</v>
      </c>
      <c r="N642" s="21">
        <v>0.78969999999999996</v>
      </c>
      <c r="O642" s="21">
        <v>0</v>
      </c>
      <c r="P642" s="21">
        <v>326</v>
      </c>
      <c r="Q642" s="21">
        <v>0.60429999999999995</v>
      </c>
      <c r="R642" s="21">
        <v>290</v>
      </c>
      <c r="S642" s="21">
        <v>197</v>
      </c>
      <c r="T642" s="21">
        <v>0.1019</v>
      </c>
      <c r="U642" s="21">
        <v>7.0000000000000001E-3</v>
      </c>
      <c r="W642" s="21">
        <v>636</v>
      </c>
      <c r="X642" s="21">
        <v>238</v>
      </c>
      <c r="Y642" s="21">
        <v>341</v>
      </c>
      <c r="Z642" s="21">
        <v>1</v>
      </c>
      <c r="AA642" s="21">
        <v>0.7</v>
      </c>
      <c r="AB642" s="21">
        <v>345</v>
      </c>
      <c r="AC642" s="21">
        <v>345</v>
      </c>
      <c r="AD642" s="21">
        <v>248</v>
      </c>
      <c r="AE642" s="21">
        <v>200</v>
      </c>
      <c r="AF642" s="21">
        <v>1.3158000000000001</v>
      </c>
      <c r="AG642" s="21">
        <v>0</v>
      </c>
      <c r="AH642" s="21">
        <v>0</v>
      </c>
      <c r="AI642" s="21">
        <v>0</v>
      </c>
      <c r="AJ642" s="21">
        <v>0</v>
      </c>
      <c r="AK642" s="21">
        <v>0</v>
      </c>
      <c r="AL642" s="21">
        <v>0</v>
      </c>
      <c r="AM642" s="21">
        <v>0</v>
      </c>
      <c r="AN642" s="21">
        <v>0</v>
      </c>
      <c r="AP642" s="21">
        <v>984</v>
      </c>
      <c r="AQ642" s="21">
        <v>20</v>
      </c>
      <c r="AR642" s="21">
        <v>19</v>
      </c>
      <c r="AS642" s="21">
        <v>1</v>
      </c>
      <c r="AU642" s="21">
        <v>0</v>
      </c>
      <c r="AV642" s="21">
        <v>0</v>
      </c>
    </row>
    <row r="643" spans="1:48" x14ac:dyDescent="0.15">
      <c r="A643" s="20" t="s">
        <v>59</v>
      </c>
      <c r="B643" s="20" t="s">
        <v>106</v>
      </c>
      <c r="C643" s="21">
        <v>0</v>
      </c>
      <c r="D643" s="21">
        <v>0</v>
      </c>
      <c r="E643" s="21">
        <v>27947</v>
      </c>
      <c r="F643" s="21">
        <v>27947</v>
      </c>
      <c r="I643" s="21">
        <v>12333</v>
      </c>
      <c r="J643" s="21">
        <v>9743</v>
      </c>
      <c r="K643" s="21">
        <v>5872</v>
      </c>
      <c r="L643" s="21">
        <v>77</v>
      </c>
      <c r="M643" s="21">
        <v>0.77500000000000002</v>
      </c>
      <c r="N643" s="21">
        <v>0.77500000000000002</v>
      </c>
      <c r="O643" s="21">
        <v>0</v>
      </c>
      <c r="P643" s="21">
        <v>701</v>
      </c>
      <c r="Q643" s="21">
        <v>0.33950000000000002</v>
      </c>
      <c r="R643" s="21">
        <v>470</v>
      </c>
      <c r="S643" s="21">
        <v>40</v>
      </c>
      <c r="T643" s="21">
        <v>8.0699999999999994E-2</v>
      </c>
      <c r="U643" s="21">
        <v>2E-3</v>
      </c>
      <c r="AB643" s="21">
        <v>0</v>
      </c>
      <c r="AC643" s="21">
        <v>0</v>
      </c>
      <c r="AD643" s="21">
        <v>0</v>
      </c>
      <c r="AE643" s="21">
        <v>0</v>
      </c>
      <c r="AF643" s="21">
        <v>0</v>
      </c>
      <c r="AG643" s="21">
        <v>0</v>
      </c>
      <c r="AH643" s="21">
        <v>0</v>
      </c>
      <c r="AI643" s="21">
        <v>0</v>
      </c>
      <c r="AJ643" s="21">
        <v>0</v>
      </c>
      <c r="AK643" s="21">
        <v>0</v>
      </c>
      <c r="AL643" s="21">
        <v>0</v>
      </c>
      <c r="AM643" s="21">
        <v>0</v>
      </c>
      <c r="AN643" s="21">
        <v>0</v>
      </c>
      <c r="AU643" s="21">
        <v>0</v>
      </c>
      <c r="AV643" s="21">
        <v>0</v>
      </c>
    </row>
    <row r="644" spans="1:48" x14ac:dyDescent="0.15">
      <c r="A644" s="20" t="s">
        <v>60</v>
      </c>
      <c r="B644" s="20" t="s">
        <v>106</v>
      </c>
      <c r="C644" s="21">
        <v>0</v>
      </c>
      <c r="D644" s="21">
        <v>1</v>
      </c>
      <c r="E644" s="21">
        <v>117152</v>
      </c>
      <c r="F644" s="21">
        <v>117152</v>
      </c>
      <c r="G644" s="21">
        <v>2062</v>
      </c>
      <c r="H644" s="21">
        <v>28365</v>
      </c>
      <c r="I644" s="21">
        <v>46613</v>
      </c>
      <c r="J644" s="21">
        <v>37833</v>
      </c>
      <c r="K644" s="21">
        <v>2278</v>
      </c>
      <c r="L644" s="21">
        <v>288</v>
      </c>
      <c r="M644" s="21">
        <v>0.77129999999999999</v>
      </c>
      <c r="N644" s="21">
        <v>0.77129999999999999</v>
      </c>
      <c r="O644" s="21">
        <v>3.3999999999999998E-3</v>
      </c>
      <c r="P644" s="21">
        <v>302</v>
      </c>
      <c r="Q644" s="21">
        <v>0.83440000000000003</v>
      </c>
      <c r="R644" s="21">
        <v>411</v>
      </c>
      <c r="S644" s="21">
        <v>388</v>
      </c>
      <c r="T644" s="21">
        <v>6.1199999999999997E-2</v>
      </c>
      <c r="U644" s="21">
        <v>4.2500000000000003E-2</v>
      </c>
      <c r="V644" s="21">
        <v>0.79330000000000001</v>
      </c>
      <c r="W644" s="21">
        <v>297</v>
      </c>
      <c r="X644" s="21">
        <v>101</v>
      </c>
      <c r="Y644" s="21">
        <v>131</v>
      </c>
      <c r="Z644" s="21">
        <v>0.4</v>
      </c>
      <c r="AA644" s="21">
        <v>0.8</v>
      </c>
      <c r="AB644" s="21">
        <v>279</v>
      </c>
      <c r="AC644" s="21">
        <v>279</v>
      </c>
      <c r="AD644" s="21">
        <v>284</v>
      </c>
      <c r="AE644" s="21">
        <v>15</v>
      </c>
      <c r="AF644" s="21">
        <v>5.1900000000000002E-2</v>
      </c>
      <c r="AG644" s="21">
        <v>0</v>
      </c>
      <c r="AH644" s="21">
        <v>0</v>
      </c>
      <c r="AI644" s="21">
        <v>0</v>
      </c>
      <c r="AJ644" s="21">
        <v>0</v>
      </c>
      <c r="AK644" s="21">
        <v>0</v>
      </c>
      <c r="AL644" s="21">
        <v>0</v>
      </c>
      <c r="AM644" s="21">
        <v>0</v>
      </c>
      <c r="AN644" s="21">
        <v>0</v>
      </c>
      <c r="AP644" s="21">
        <v>2606</v>
      </c>
      <c r="AQ644" s="21">
        <v>67</v>
      </c>
      <c r="AR644" s="21">
        <v>66</v>
      </c>
      <c r="AS644" s="21">
        <v>1</v>
      </c>
      <c r="AU644" s="21">
        <v>14</v>
      </c>
      <c r="AV644" s="21">
        <v>32</v>
      </c>
    </row>
    <row r="645" spans="1:48" x14ac:dyDescent="0.15">
      <c r="A645" s="20" t="s">
        <v>61</v>
      </c>
      <c r="B645" s="20" t="s">
        <v>106</v>
      </c>
      <c r="C645" s="21">
        <v>0</v>
      </c>
      <c r="D645" s="21">
        <v>18</v>
      </c>
      <c r="E645" s="21">
        <v>73600</v>
      </c>
      <c r="F645" s="21">
        <v>73619</v>
      </c>
      <c r="G645" s="21">
        <v>13451</v>
      </c>
      <c r="H645" s="21">
        <v>9052</v>
      </c>
      <c r="I645" s="21">
        <v>14406</v>
      </c>
      <c r="J645" s="21">
        <v>28640</v>
      </c>
      <c r="K645" s="21">
        <v>905</v>
      </c>
      <c r="L645" s="21">
        <v>176</v>
      </c>
      <c r="M645" s="21">
        <v>0.80220000000000002</v>
      </c>
      <c r="N645" s="21">
        <v>0.80220000000000002</v>
      </c>
      <c r="O645" s="21">
        <v>1.6500000000000001E-2</v>
      </c>
      <c r="P645" s="21">
        <v>174</v>
      </c>
      <c r="Q645" s="21">
        <v>1.1781999999999999</v>
      </c>
      <c r="R645" s="21">
        <v>423</v>
      </c>
      <c r="S645" s="21">
        <v>423</v>
      </c>
      <c r="T645" s="21">
        <v>7.5200000000000003E-2</v>
      </c>
      <c r="U645" s="21">
        <v>8.1900000000000001E-2</v>
      </c>
      <c r="V645" s="21">
        <v>0.56269999999999998</v>
      </c>
      <c r="W645" s="21">
        <v>206</v>
      </c>
      <c r="X645" s="21">
        <v>55</v>
      </c>
      <c r="Y645" s="21">
        <v>53</v>
      </c>
      <c r="Z645" s="21">
        <v>0.4</v>
      </c>
      <c r="AA645" s="21">
        <v>1</v>
      </c>
      <c r="AB645" s="21">
        <v>149</v>
      </c>
      <c r="AC645" s="21">
        <v>145</v>
      </c>
      <c r="AD645" s="21">
        <v>152</v>
      </c>
      <c r="AE645" s="21">
        <v>26</v>
      </c>
      <c r="AF645" s="21">
        <v>0.16880000000000001</v>
      </c>
      <c r="AG645" s="21">
        <v>0</v>
      </c>
      <c r="AH645" s="21">
        <v>0</v>
      </c>
      <c r="AI645" s="21">
        <v>0</v>
      </c>
      <c r="AJ645" s="21">
        <v>0</v>
      </c>
      <c r="AK645" s="21">
        <v>0</v>
      </c>
      <c r="AL645" s="21">
        <v>0</v>
      </c>
      <c r="AM645" s="21">
        <v>0</v>
      </c>
      <c r="AN645" s="21">
        <v>0</v>
      </c>
      <c r="AP645" s="21">
        <v>224</v>
      </c>
      <c r="AQ645" s="21">
        <v>7</v>
      </c>
      <c r="AR645" s="21">
        <v>0</v>
      </c>
      <c r="AS645" s="21">
        <v>7</v>
      </c>
      <c r="AU645" s="21">
        <v>80</v>
      </c>
      <c r="AV645" s="21">
        <v>6</v>
      </c>
    </row>
    <row r="646" spans="1:48" x14ac:dyDescent="0.15">
      <c r="A646" s="20" t="s">
        <v>48</v>
      </c>
      <c r="B646" s="20" t="s">
        <v>107</v>
      </c>
      <c r="C646" s="21">
        <v>2387</v>
      </c>
      <c r="D646" s="21">
        <v>438</v>
      </c>
      <c r="E646" s="21">
        <v>46112</v>
      </c>
      <c r="F646" s="21">
        <v>48937</v>
      </c>
      <c r="G646" s="21">
        <v>278</v>
      </c>
      <c r="H646" s="21">
        <v>22028</v>
      </c>
      <c r="I646" s="21">
        <v>1685</v>
      </c>
      <c r="J646" s="21">
        <v>3762</v>
      </c>
      <c r="K646" s="21">
        <v>19079</v>
      </c>
      <c r="L646" s="21">
        <v>452</v>
      </c>
      <c r="M646" s="21">
        <v>0.61990000000000001</v>
      </c>
      <c r="N646" s="21">
        <v>0.57879999999999998</v>
      </c>
      <c r="O646" s="21">
        <v>0.1555</v>
      </c>
      <c r="P646" s="21">
        <v>782</v>
      </c>
      <c r="Q646" s="21">
        <v>0.40920000000000001</v>
      </c>
      <c r="R646" s="21">
        <v>109</v>
      </c>
      <c r="S646" s="21">
        <v>63</v>
      </c>
      <c r="T646" s="21">
        <v>7.4300000000000005E-2</v>
      </c>
      <c r="U646" s="21">
        <v>4.6600000000000003E-2</v>
      </c>
      <c r="V646" s="21">
        <v>0.98240000000000005</v>
      </c>
      <c r="W646" s="21">
        <v>65</v>
      </c>
      <c r="X646" s="21">
        <v>25</v>
      </c>
      <c r="Y646" s="21">
        <v>47</v>
      </c>
      <c r="Z646" s="21">
        <v>0.1</v>
      </c>
      <c r="AA646" s="21">
        <v>0.5</v>
      </c>
      <c r="AB646" s="21">
        <v>574</v>
      </c>
      <c r="AC646" s="21">
        <v>99</v>
      </c>
      <c r="AD646" s="21">
        <v>342</v>
      </c>
      <c r="AE646" s="21">
        <v>476</v>
      </c>
      <c r="AF646" s="21">
        <v>4.2882999999999996</v>
      </c>
      <c r="AG646" s="21">
        <v>0</v>
      </c>
      <c r="AH646" s="21">
        <v>0</v>
      </c>
      <c r="AI646" s="21">
        <v>0</v>
      </c>
      <c r="AJ646" s="21">
        <v>0.8</v>
      </c>
      <c r="AK646" s="21">
        <v>0</v>
      </c>
      <c r="AL646" s="21">
        <v>0</v>
      </c>
      <c r="AM646" s="21">
        <v>0</v>
      </c>
      <c r="AN646" s="21">
        <v>0</v>
      </c>
      <c r="AO646" s="21">
        <v>0.71930000000000005</v>
      </c>
      <c r="AP646" s="21">
        <v>1483</v>
      </c>
      <c r="AQ646" s="21">
        <v>26</v>
      </c>
      <c r="AR646" s="21">
        <v>25</v>
      </c>
      <c r="AS646" s="21">
        <v>1</v>
      </c>
      <c r="AU646" s="21">
        <v>77</v>
      </c>
      <c r="AV646" s="21">
        <v>37</v>
      </c>
    </row>
    <row r="647" spans="1:48" x14ac:dyDescent="0.15">
      <c r="A647" s="20" t="s">
        <v>50</v>
      </c>
      <c r="B647" s="20" t="s">
        <v>107</v>
      </c>
      <c r="C647" s="21">
        <v>0</v>
      </c>
      <c r="D647" s="21">
        <v>464</v>
      </c>
      <c r="E647" s="21">
        <v>43274</v>
      </c>
      <c r="F647" s="21">
        <v>43738</v>
      </c>
      <c r="G647" s="21">
        <v>1688</v>
      </c>
      <c r="H647" s="21">
        <v>17291</v>
      </c>
      <c r="I647" s="21">
        <v>0</v>
      </c>
      <c r="J647" s="21">
        <v>6484</v>
      </c>
      <c r="K647" s="21">
        <v>18345</v>
      </c>
      <c r="L647" s="21">
        <v>472</v>
      </c>
      <c r="M647" s="21">
        <v>0.75780000000000003</v>
      </c>
      <c r="N647" s="21">
        <v>0.74529999999999996</v>
      </c>
      <c r="O647" s="21">
        <v>0.16700000000000001</v>
      </c>
      <c r="P647" s="21">
        <v>924</v>
      </c>
      <c r="Q647" s="21">
        <v>0.47399999999999998</v>
      </c>
      <c r="R647" s="21">
        <v>93</v>
      </c>
      <c r="S647" s="21">
        <v>47</v>
      </c>
      <c r="T647" s="21">
        <v>6.93E-2</v>
      </c>
      <c r="U647" s="21">
        <v>4.9799999999999997E-2</v>
      </c>
      <c r="V647" s="21">
        <v>0.61260000000000003</v>
      </c>
      <c r="W647" s="21">
        <v>41</v>
      </c>
      <c r="X647" s="21">
        <v>16</v>
      </c>
      <c r="Y647" s="21">
        <v>25</v>
      </c>
      <c r="Z647" s="21">
        <v>0.1</v>
      </c>
      <c r="AA647" s="21">
        <v>0.6</v>
      </c>
      <c r="AB647" s="21">
        <v>487</v>
      </c>
      <c r="AC647" s="21">
        <v>85</v>
      </c>
      <c r="AD647" s="21">
        <v>310</v>
      </c>
      <c r="AE647" s="21">
        <v>415</v>
      </c>
      <c r="AF647" s="21">
        <v>3.097</v>
      </c>
      <c r="AG647" s="21">
        <v>0</v>
      </c>
      <c r="AH647" s="21">
        <v>0</v>
      </c>
      <c r="AI647" s="21">
        <v>0</v>
      </c>
      <c r="AJ647" s="21">
        <v>0.4375</v>
      </c>
      <c r="AK647" s="21">
        <v>0</v>
      </c>
      <c r="AL647" s="21">
        <v>0</v>
      </c>
      <c r="AM647" s="21">
        <v>0</v>
      </c>
      <c r="AN647" s="21">
        <v>0</v>
      </c>
      <c r="AO647" s="21">
        <v>0.73560000000000003</v>
      </c>
      <c r="AP647" s="21">
        <v>2895</v>
      </c>
      <c r="AQ647" s="21">
        <v>138</v>
      </c>
      <c r="AR647" s="21">
        <v>124</v>
      </c>
      <c r="AS647" s="21">
        <v>0</v>
      </c>
      <c r="AT647" s="21">
        <v>13</v>
      </c>
      <c r="AU647" s="21">
        <v>36</v>
      </c>
      <c r="AV647" s="21">
        <v>31</v>
      </c>
    </row>
    <row r="648" spans="1:48" x14ac:dyDescent="0.15">
      <c r="A648" s="20" t="s">
        <v>51</v>
      </c>
      <c r="B648" s="20" t="s">
        <v>107</v>
      </c>
      <c r="C648" s="21">
        <v>11</v>
      </c>
      <c r="D648" s="21">
        <v>4245</v>
      </c>
      <c r="E648" s="21">
        <v>142626</v>
      </c>
      <c r="F648" s="21">
        <v>146873</v>
      </c>
      <c r="G648" s="21">
        <v>3058</v>
      </c>
      <c r="H648" s="21">
        <v>33159</v>
      </c>
      <c r="I648" s="21">
        <v>19604</v>
      </c>
      <c r="J648" s="21">
        <v>19480</v>
      </c>
      <c r="K648" s="21">
        <v>71768</v>
      </c>
      <c r="L648" s="21">
        <v>1706</v>
      </c>
      <c r="M648" s="21">
        <v>0.74880000000000002</v>
      </c>
      <c r="N648" s="21">
        <v>0.72689999999999999</v>
      </c>
      <c r="O648" s="21">
        <v>0.32640000000000002</v>
      </c>
      <c r="P648" s="21">
        <v>3291</v>
      </c>
      <c r="Q648" s="21">
        <v>0.60860000000000003</v>
      </c>
      <c r="R648" s="21">
        <v>86</v>
      </c>
      <c r="S648" s="21">
        <v>45</v>
      </c>
      <c r="T648" s="21">
        <v>0.10639999999999999</v>
      </c>
      <c r="U648" s="21">
        <v>8.1500000000000003E-2</v>
      </c>
      <c r="V648" s="21">
        <v>0.83309999999999995</v>
      </c>
      <c r="W648" s="21">
        <v>821</v>
      </c>
      <c r="X648" s="21">
        <v>533</v>
      </c>
      <c r="Y648" s="21">
        <v>938</v>
      </c>
      <c r="Z648" s="21">
        <v>0.3</v>
      </c>
      <c r="AA648" s="21">
        <v>0.6</v>
      </c>
      <c r="AB648" s="21">
        <v>2288</v>
      </c>
      <c r="AC648" s="21">
        <v>1718</v>
      </c>
      <c r="AD648" s="21">
        <v>2009</v>
      </c>
      <c r="AE648" s="21">
        <v>813</v>
      </c>
      <c r="AF648" s="21">
        <v>0.46989999999999998</v>
      </c>
      <c r="AG648" s="21">
        <v>0</v>
      </c>
      <c r="AH648" s="21">
        <v>0</v>
      </c>
      <c r="AI648" s="21">
        <v>0</v>
      </c>
      <c r="AJ648" s="21">
        <v>0.64129999999999998</v>
      </c>
      <c r="AK648" s="21">
        <v>0</v>
      </c>
      <c r="AL648" s="21">
        <v>0</v>
      </c>
      <c r="AM648" s="21">
        <v>0</v>
      </c>
      <c r="AN648" s="21">
        <v>0</v>
      </c>
      <c r="AO648" s="21">
        <v>0.62180000000000002</v>
      </c>
      <c r="AP648" s="21">
        <v>8411</v>
      </c>
      <c r="AQ648" s="21">
        <v>79</v>
      </c>
      <c r="AR648" s="21">
        <v>65</v>
      </c>
      <c r="AS648" s="21">
        <v>9</v>
      </c>
      <c r="AT648" s="21">
        <v>5</v>
      </c>
      <c r="AU648" s="21">
        <v>913</v>
      </c>
      <c r="AV648" s="21">
        <v>41</v>
      </c>
    </row>
    <row r="649" spans="1:48" x14ac:dyDescent="0.15">
      <c r="A649" s="20" t="s">
        <v>52</v>
      </c>
      <c r="B649" s="20" t="s">
        <v>107</v>
      </c>
      <c r="C649" s="21">
        <v>0</v>
      </c>
      <c r="D649" s="21">
        <v>1426</v>
      </c>
      <c r="E649" s="21">
        <v>36639</v>
      </c>
      <c r="F649" s="21">
        <v>38066</v>
      </c>
      <c r="G649" s="21">
        <v>-41</v>
      </c>
      <c r="H649" s="21">
        <v>15892</v>
      </c>
      <c r="I649" s="21">
        <v>2061</v>
      </c>
      <c r="J649" s="21">
        <v>7867</v>
      </c>
      <c r="K649" s="21">
        <v>12774</v>
      </c>
      <c r="L649" s="21">
        <v>542</v>
      </c>
      <c r="M649" s="21">
        <v>0.68469999999999998</v>
      </c>
      <c r="N649" s="21">
        <v>0.60540000000000005</v>
      </c>
      <c r="O649" s="21">
        <v>0.3009</v>
      </c>
      <c r="P649" s="21">
        <v>1759</v>
      </c>
      <c r="Q649" s="21">
        <v>0.34570000000000001</v>
      </c>
      <c r="R649" s="21">
        <v>69</v>
      </c>
      <c r="S649" s="21">
        <v>22</v>
      </c>
      <c r="T649" s="21">
        <v>0.13469999999999999</v>
      </c>
      <c r="U649" s="21">
        <v>6.0199999999999997E-2</v>
      </c>
      <c r="V649" s="21">
        <v>0.82279999999999998</v>
      </c>
      <c r="W649" s="21">
        <v>238</v>
      </c>
      <c r="X649" s="21">
        <v>91</v>
      </c>
      <c r="Y649" s="21">
        <v>90</v>
      </c>
      <c r="Z649" s="21">
        <v>0.4</v>
      </c>
      <c r="AA649" s="21">
        <v>1</v>
      </c>
      <c r="AB649" s="21">
        <v>253</v>
      </c>
      <c r="AC649" s="21">
        <v>253</v>
      </c>
      <c r="AD649" s="21">
        <v>240</v>
      </c>
      <c r="AE649" s="21">
        <v>39</v>
      </c>
      <c r="AF649" s="21">
        <v>0.1711</v>
      </c>
      <c r="AG649" s="21">
        <v>0</v>
      </c>
      <c r="AH649" s="21">
        <v>0</v>
      </c>
      <c r="AI649" s="21">
        <v>0</v>
      </c>
      <c r="AJ649" s="21">
        <v>0.6552</v>
      </c>
      <c r="AK649" s="21">
        <v>0</v>
      </c>
      <c r="AL649" s="21">
        <v>0</v>
      </c>
      <c r="AM649" s="21">
        <v>0</v>
      </c>
      <c r="AN649" s="21">
        <v>0</v>
      </c>
      <c r="AO649" s="21">
        <v>0.94030000000000002</v>
      </c>
      <c r="AP649" s="21">
        <v>2071</v>
      </c>
      <c r="AQ649" s="21">
        <v>17</v>
      </c>
      <c r="AR649" s="21">
        <v>17</v>
      </c>
      <c r="AS649" s="21">
        <v>0</v>
      </c>
      <c r="AU649" s="21">
        <v>112</v>
      </c>
      <c r="AV649" s="21">
        <v>32</v>
      </c>
    </row>
    <row r="650" spans="1:48" x14ac:dyDescent="0.15">
      <c r="A650" s="20" t="s">
        <v>53</v>
      </c>
      <c r="B650" s="20" t="s">
        <v>107</v>
      </c>
      <c r="C650" s="21">
        <v>0</v>
      </c>
      <c r="D650" s="21">
        <v>0</v>
      </c>
      <c r="E650" s="21">
        <v>472</v>
      </c>
      <c r="F650" s="21">
        <v>472</v>
      </c>
      <c r="J650" s="21">
        <v>472</v>
      </c>
      <c r="K650" s="21">
        <v>0</v>
      </c>
      <c r="L650" s="21">
        <v>84</v>
      </c>
      <c r="M650" s="21">
        <v>0.11899999999999999</v>
      </c>
      <c r="N650" s="21">
        <v>0.11899999999999999</v>
      </c>
      <c r="O650" s="21">
        <v>0</v>
      </c>
      <c r="P650" s="21">
        <v>640</v>
      </c>
      <c r="Q650" s="21">
        <v>2.5000000000000001E-2</v>
      </c>
      <c r="R650" s="21">
        <v>6</v>
      </c>
      <c r="S650" s="21">
        <v>1</v>
      </c>
      <c r="T650" s="21">
        <v>0.12920000000000001</v>
      </c>
      <c r="U650" s="21">
        <v>0</v>
      </c>
      <c r="AB650" s="21">
        <v>1</v>
      </c>
      <c r="AC650" s="21">
        <v>0</v>
      </c>
      <c r="AD650" s="21">
        <v>0</v>
      </c>
      <c r="AE650" s="21">
        <v>1</v>
      </c>
      <c r="AF650" s="21">
        <v>0</v>
      </c>
      <c r="AG650" s="21">
        <v>0</v>
      </c>
      <c r="AH650" s="21">
        <v>0</v>
      </c>
      <c r="AI650" s="21">
        <v>0</v>
      </c>
      <c r="AJ650" s="21">
        <v>0</v>
      </c>
      <c r="AK650" s="21">
        <v>0</v>
      </c>
      <c r="AL650" s="21">
        <v>0</v>
      </c>
      <c r="AM650" s="21">
        <v>0</v>
      </c>
      <c r="AN650" s="21">
        <v>0</v>
      </c>
      <c r="AP650" s="21">
        <v>756</v>
      </c>
      <c r="AQ650" s="21">
        <v>1</v>
      </c>
      <c r="AR650" s="21">
        <v>0</v>
      </c>
      <c r="AS650" s="21">
        <v>1</v>
      </c>
      <c r="AU650" s="21">
        <v>0</v>
      </c>
      <c r="AV650" s="21">
        <v>0</v>
      </c>
    </row>
    <row r="651" spans="1:48" x14ac:dyDescent="0.15">
      <c r="A651" s="20" t="s">
        <v>0</v>
      </c>
      <c r="B651" s="20" t="s">
        <v>107</v>
      </c>
      <c r="C651" s="21">
        <v>2399</v>
      </c>
      <c r="D651" s="21">
        <v>14489</v>
      </c>
      <c r="E651" s="21">
        <v>415419</v>
      </c>
      <c r="F651" s="21">
        <v>432076</v>
      </c>
      <c r="G651" s="21">
        <v>16977</v>
      </c>
      <c r="H651" s="21">
        <v>130657</v>
      </c>
      <c r="I651" s="21">
        <v>47553</v>
      </c>
      <c r="J651" s="21">
        <v>85744</v>
      </c>
      <c r="K651" s="21">
        <v>151284</v>
      </c>
      <c r="L651" s="21">
        <v>4891</v>
      </c>
      <c r="M651" s="21">
        <v>0.67169999999999996</v>
      </c>
      <c r="N651" s="21">
        <v>0.63660000000000005</v>
      </c>
      <c r="O651" s="21">
        <v>0.24859999999999999</v>
      </c>
      <c r="P651" s="21">
        <v>11390</v>
      </c>
      <c r="Q651" s="21">
        <v>0.41120000000000001</v>
      </c>
      <c r="R651" s="21">
        <v>89</v>
      </c>
      <c r="S651" s="21">
        <v>38</v>
      </c>
      <c r="T651" s="21">
        <v>0.1206</v>
      </c>
      <c r="U651" s="21">
        <v>5.8799999999999998E-2</v>
      </c>
      <c r="V651" s="21">
        <v>0.76249999999999996</v>
      </c>
      <c r="W651" s="21">
        <v>1561</v>
      </c>
      <c r="X651" s="21">
        <v>913</v>
      </c>
      <c r="Y651" s="21">
        <v>1562</v>
      </c>
      <c r="Z651" s="21">
        <v>0.2</v>
      </c>
      <c r="AA651" s="21">
        <v>0.6</v>
      </c>
      <c r="AB651" s="21">
        <v>4837</v>
      </c>
      <c r="AC651" s="21">
        <v>3389</v>
      </c>
      <c r="AD651" s="21">
        <v>4102</v>
      </c>
      <c r="AE651" s="21">
        <v>1892</v>
      </c>
      <c r="AF651" s="21">
        <v>0.56179999999999997</v>
      </c>
      <c r="AG651" s="21">
        <v>0</v>
      </c>
      <c r="AH651" s="21">
        <v>0</v>
      </c>
      <c r="AI651" s="21">
        <v>0</v>
      </c>
      <c r="AJ651" s="21">
        <v>0.60870000000000002</v>
      </c>
      <c r="AK651" s="21">
        <v>0</v>
      </c>
      <c r="AL651" s="21">
        <v>0</v>
      </c>
      <c r="AM651" s="21">
        <v>0</v>
      </c>
      <c r="AN651" s="21">
        <v>0</v>
      </c>
      <c r="AO651" s="21">
        <v>0.75439999999999996</v>
      </c>
      <c r="AP651" s="21">
        <v>32043</v>
      </c>
      <c r="AQ651" s="21">
        <v>585</v>
      </c>
      <c r="AR651" s="21">
        <v>492</v>
      </c>
      <c r="AS651" s="21">
        <v>38</v>
      </c>
      <c r="AT651" s="21">
        <v>54</v>
      </c>
      <c r="AU651" s="21">
        <v>1572</v>
      </c>
      <c r="AV651" s="21">
        <v>243</v>
      </c>
    </row>
    <row r="652" spans="1:48" x14ac:dyDescent="0.15">
      <c r="A652" s="20" t="s">
        <v>54</v>
      </c>
      <c r="B652" s="20" t="s">
        <v>107</v>
      </c>
      <c r="C652" s="21">
        <v>0</v>
      </c>
      <c r="D652" s="21">
        <v>0</v>
      </c>
      <c r="E652" s="21">
        <v>20122</v>
      </c>
      <c r="F652" s="21">
        <v>20122</v>
      </c>
      <c r="I652" s="21">
        <v>10437</v>
      </c>
      <c r="J652" s="21">
        <v>10311</v>
      </c>
      <c r="K652" s="21">
        <v>-843</v>
      </c>
      <c r="L652" s="21">
        <v>249</v>
      </c>
      <c r="M652" s="21">
        <v>0.38129999999999997</v>
      </c>
      <c r="N652" s="21">
        <v>0.38129999999999997</v>
      </c>
      <c r="O652" s="21">
        <v>0</v>
      </c>
      <c r="P652" s="21">
        <v>1153</v>
      </c>
      <c r="Q652" s="21">
        <v>0.1101</v>
      </c>
      <c r="R652" s="21">
        <v>82</v>
      </c>
      <c r="S652" s="21">
        <v>17</v>
      </c>
      <c r="T652" s="21">
        <v>0.14199999999999999</v>
      </c>
      <c r="U652" s="21">
        <v>2.5999999999999999E-3</v>
      </c>
      <c r="AB652" s="21">
        <v>0</v>
      </c>
      <c r="AC652" s="21">
        <v>0</v>
      </c>
      <c r="AD652" s="21">
        <v>0</v>
      </c>
      <c r="AE652" s="21">
        <v>0</v>
      </c>
      <c r="AF652" s="21">
        <v>0</v>
      </c>
      <c r="AG652" s="21">
        <v>0</v>
      </c>
      <c r="AH652" s="21">
        <v>0</v>
      </c>
      <c r="AI652" s="21">
        <v>0</v>
      </c>
      <c r="AJ652" s="21">
        <v>0</v>
      </c>
      <c r="AK652" s="21">
        <v>0</v>
      </c>
      <c r="AL652" s="21">
        <v>0</v>
      </c>
      <c r="AM652" s="21">
        <v>0</v>
      </c>
      <c r="AN652" s="21">
        <v>0</v>
      </c>
      <c r="AP652" s="21">
        <v>6991</v>
      </c>
      <c r="AQ652" s="21">
        <v>14</v>
      </c>
      <c r="AR652" s="21">
        <v>13</v>
      </c>
      <c r="AS652" s="21">
        <v>0</v>
      </c>
      <c r="AU652" s="21">
        <v>0</v>
      </c>
      <c r="AV652" s="21">
        <v>0</v>
      </c>
    </row>
    <row r="653" spans="1:48" x14ac:dyDescent="0.15">
      <c r="A653" s="20" t="s">
        <v>55</v>
      </c>
      <c r="B653" s="20" t="s">
        <v>107</v>
      </c>
      <c r="C653" s="21">
        <v>0</v>
      </c>
      <c r="D653" s="21">
        <v>0</v>
      </c>
      <c r="E653" s="21">
        <v>0</v>
      </c>
      <c r="F653" s="21">
        <v>0</v>
      </c>
      <c r="AB653" s="21">
        <v>0</v>
      </c>
      <c r="AC653" s="21">
        <v>0</v>
      </c>
      <c r="AD653" s="21">
        <v>0</v>
      </c>
      <c r="AE653" s="21">
        <v>0</v>
      </c>
      <c r="AF653" s="21">
        <v>0</v>
      </c>
      <c r="AG653" s="21">
        <v>0</v>
      </c>
      <c r="AH653" s="21">
        <v>0</v>
      </c>
      <c r="AI653" s="21">
        <v>0</v>
      </c>
      <c r="AJ653" s="21">
        <v>0</v>
      </c>
      <c r="AK653" s="21">
        <v>0</v>
      </c>
      <c r="AL653" s="21">
        <v>0</v>
      </c>
      <c r="AM653" s="21">
        <v>0</v>
      </c>
      <c r="AN653" s="21">
        <v>0</v>
      </c>
      <c r="AU653" s="21">
        <v>0</v>
      </c>
      <c r="AV653" s="21">
        <v>0</v>
      </c>
    </row>
    <row r="654" spans="1:48" x14ac:dyDescent="0.15">
      <c r="A654" s="20" t="s">
        <v>56</v>
      </c>
      <c r="B654" s="20" t="s">
        <v>107</v>
      </c>
      <c r="C654" s="21">
        <v>0</v>
      </c>
      <c r="D654" s="21">
        <v>0</v>
      </c>
      <c r="E654" s="21">
        <v>34672</v>
      </c>
      <c r="F654" s="21">
        <v>34672</v>
      </c>
      <c r="H654" s="21">
        <v>133</v>
      </c>
      <c r="J654" s="21">
        <v>12596</v>
      </c>
      <c r="K654" s="21">
        <v>21384</v>
      </c>
      <c r="L654" s="21">
        <v>165</v>
      </c>
      <c r="M654" s="21">
        <v>0.74550000000000005</v>
      </c>
      <c r="N654" s="21">
        <v>0.74550000000000005</v>
      </c>
      <c r="O654" s="21">
        <v>0</v>
      </c>
      <c r="P654" s="21">
        <v>668</v>
      </c>
      <c r="Q654" s="21">
        <v>0.37869999999999998</v>
      </c>
      <c r="R654" s="21">
        <v>211</v>
      </c>
      <c r="S654" s="21">
        <v>52</v>
      </c>
      <c r="T654" s="21">
        <v>9.1800000000000007E-2</v>
      </c>
      <c r="U654" s="21">
        <v>1.04E-2</v>
      </c>
      <c r="V654" s="21">
        <v>1</v>
      </c>
      <c r="W654" s="21">
        <v>14</v>
      </c>
      <c r="X654" s="21">
        <v>18</v>
      </c>
      <c r="Y654" s="21">
        <v>21</v>
      </c>
      <c r="Z654" s="21">
        <v>0.2</v>
      </c>
      <c r="AA654" s="21">
        <v>0.8</v>
      </c>
      <c r="AB654" s="21">
        <v>92</v>
      </c>
      <c r="AC654" s="21">
        <v>92</v>
      </c>
      <c r="AD654" s="21">
        <v>88</v>
      </c>
      <c r="AE654" s="21">
        <v>13</v>
      </c>
      <c r="AF654" s="21">
        <v>0.15290000000000001</v>
      </c>
      <c r="AG654" s="21">
        <v>0</v>
      </c>
      <c r="AH654" s="21">
        <v>0</v>
      </c>
      <c r="AI654" s="21">
        <v>0</v>
      </c>
      <c r="AJ654" s="21">
        <v>0</v>
      </c>
      <c r="AK654" s="21">
        <v>0</v>
      </c>
      <c r="AL654" s="21">
        <v>0</v>
      </c>
      <c r="AM654" s="21">
        <v>0</v>
      </c>
      <c r="AN654" s="21">
        <v>0</v>
      </c>
      <c r="AP654" s="21">
        <v>1633</v>
      </c>
      <c r="AQ654" s="21">
        <v>74</v>
      </c>
      <c r="AR654" s="21">
        <v>74</v>
      </c>
      <c r="AS654" s="21">
        <v>1</v>
      </c>
      <c r="AU654" s="21">
        <v>0</v>
      </c>
      <c r="AV654" s="21">
        <v>0</v>
      </c>
    </row>
    <row r="655" spans="1:48" x14ac:dyDescent="0.15">
      <c r="A655" s="20" t="s">
        <v>57</v>
      </c>
      <c r="B655" s="20" t="s">
        <v>107</v>
      </c>
      <c r="C655" s="21">
        <v>0</v>
      </c>
      <c r="D655" s="21">
        <v>6242</v>
      </c>
      <c r="E655" s="21">
        <v>19566</v>
      </c>
      <c r="F655" s="21">
        <v>25588</v>
      </c>
      <c r="G655" s="21">
        <v>5974</v>
      </c>
      <c r="H655" s="21">
        <v>8103</v>
      </c>
      <c r="I655" s="21">
        <v>3872</v>
      </c>
      <c r="J655" s="21">
        <v>6913</v>
      </c>
      <c r="K655" s="21">
        <v>2797</v>
      </c>
      <c r="L655" s="21">
        <v>428</v>
      </c>
      <c r="M655" s="21">
        <v>0.56289999999999996</v>
      </c>
      <c r="N655" s="21">
        <v>0.43480000000000002</v>
      </c>
      <c r="O655" s="21">
        <v>0.45540000000000003</v>
      </c>
      <c r="P655" s="21">
        <v>654</v>
      </c>
      <c r="Q655" s="21">
        <v>0.43269999999999997</v>
      </c>
      <c r="R655" s="21">
        <v>59</v>
      </c>
      <c r="S655" s="21">
        <v>39</v>
      </c>
      <c r="T655" s="21">
        <v>0.29189999999999999</v>
      </c>
      <c r="U655" s="21">
        <v>5.8400000000000001E-2</v>
      </c>
      <c r="V655" s="21">
        <v>0.83650000000000002</v>
      </c>
      <c r="W655" s="21">
        <v>79</v>
      </c>
      <c r="X655" s="21">
        <v>71</v>
      </c>
      <c r="Y655" s="21">
        <v>144</v>
      </c>
      <c r="Z655" s="21">
        <v>0.2</v>
      </c>
      <c r="AA655" s="21">
        <v>0.5</v>
      </c>
      <c r="AB655" s="21">
        <v>288</v>
      </c>
      <c r="AC655" s="21">
        <v>288</v>
      </c>
      <c r="AD655" s="21">
        <v>298</v>
      </c>
      <c r="AE655" s="21">
        <v>29</v>
      </c>
      <c r="AF655" s="21">
        <v>9.4500000000000001E-2</v>
      </c>
      <c r="AG655" s="21">
        <v>0</v>
      </c>
      <c r="AH655" s="21">
        <v>0</v>
      </c>
      <c r="AI655" s="21">
        <v>0</v>
      </c>
      <c r="AJ655" s="21">
        <v>0.54759999999999998</v>
      </c>
      <c r="AK655" s="21">
        <v>0</v>
      </c>
      <c r="AL655" s="21">
        <v>0</v>
      </c>
      <c r="AM655" s="21">
        <v>0</v>
      </c>
      <c r="AN655" s="21">
        <v>0</v>
      </c>
      <c r="AO655" s="21">
        <v>0.87170000000000003</v>
      </c>
      <c r="AP655" s="21">
        <v>4864</v>
      </c>
      <c r="AQ655" s="21">
        <v>133</v>
      </c>
      <c r="AR655" s="21">
        <v>95</v>
      </c>
      <c r="AS655" s="21">
        <v>2</v>
      </c>
      <c r="AT655" s="21">
        <v>36</v>
      </c>
      <c r="AU655" s="21">
        <v>236</v>
      </c>
      <c r="AV655" s="21">
        <v>98</v>
      </c>
    </row>
    <row r="656" spans="1:48" x14ac:dyDescent="0.15">
      <c r="A656" s="20" t="s">
        <v>58</v>
      </c>
      <c r="B656" s="20" t="s">
        <v>107</v>
      </c>
      <c r="C656" s="21">
        <v>0</v>
      </c>
      <c r="D656" s="21">
        <v>428</v>
      </c>
      <c r="E656" s="21">
        <v>30054</v>
      </c>
      <c r="F656" s="21">
        <v>30482</v>
      </c>
      <c r="G656" s="21">
        <v>4424</v>
      </c>
      <c r="H656" s="21">
        <v>23997</v>
      </c>
      <c r="J656" s="21">
        <v>2061</v>
      </c>
      <c r="L656" s="21">
        <v>231</v>
      </c>
      <c r="M656" s="21">
        <v>0.80169999999999997</v>
      </c>
      <c r="N656" s="21">
        <v>0.79749999999999999</v>
      </c>
      <c r="O656" s="21">
        <v>0.2893</v>
      </c>
      <c r="P656" s="21">
        <v>357</v>
      </c>
      <c r="Q656" s="21">
        <v>0.59099999999999997</v>
      </c>
      <c r="R656" s="21">
        <v>133</v>
      </c>
      <c r="S656" s="21">
        <v>85</v>
      </c>
      <c r="T656" s="21">
        <v>0.15260000000000001</v>
      </c>
      <c r="U656" s="21">
        <v>8.3000000000000001E-3</v>
      </c>
      <c r="W656" s="21">
        <v>173</v>
      </c>
      <c r="X656" s="21">
        <v>102</v>
      </c>
      <c r="Y656" s="21">
        <v>194</v>
      </c>
      <c r="Z656" s="21">
        <v>0.3</v>
      </c>
      <c r="AA656" s="21">
        <v>0.5</v>
      </c>
      <c r="AB656" s="21">
        <v>421</v>
      </c>
      <c r="AC656" s="21">
        <v>421</v>
      </c>
      <c r="AD656" s="21">
        <v>383</v>
      </c>
      <c r="AE656" s="21">
        <v>79</v>
      </c>
      <c r="AF656" s="21">
        <v>0.22900000000000001</v>
      </c>
      <c r="AG656" s="21">
        <v>0</v>
      </c>
      <c r="AH656" s="21">
        <v>0</v>
      </c>
      <c r="AI656" s="21">
        <v>0</v>
      </c>
      <c r="AJ656" s="21">
        <v>0</v>
      </c>
      <c r="AK656" s="21">
        <v>0</v>
      </c>
      <c r="AL656" s="21">
        <v>0</v>
      </c>
      <c r="AM656" s="21">
        <v>0</v>
      </c>
      <c r="AN656" s="21">
        <v>0</v>
      </c>
      <c r="AP656" s="21">
        <v>1505</v>
      </c>
      <c r="AQ656" s="21">
        <v>76</v>
      </c>
      <c r="AR656" s="21">
        <v>57</v>
      </c>
      <c r="AS656" s="21">
        <v>19</v>
      </c>
      <c r="AU656" s="21">
        <v>0</v>
      </c>
      <c r="AV656" s="21">
        <v>0</v>
      </c>
    </row>
    <row r="657" spans="1:48" x14ac:dyDescent="0.15">
      <c r="A657" s="20" t="s">
        <v>59</v>
      </c>
      <c r="B657" s="20" t="s">
        <v>107</v>
      </c>
      <c r="C657" s="21">
        <v>0</v>
      </c>
      <c r="D657" s="21">
        <v>0</v>
      </c>
      <c r="E657" s="21">
        <v>9648</v>
      </c>
      <c r="F657" s="21">
        <v>9648</v>
      </c>
      <c r="I657" s="21">
        <v>4170</v>
      </c>
      <c r="J657" s="21">
        <v>5650</v>
      </c>
      <c r="K657" s="21">
        <v>-172</v>
      </c>
      <c r="L657" s="21">
        <v>99</v>
      </c>
      <c r="M657" s="21">
        <v>0.5</v>
      </c>
      <c r="N657" s="21">
        <v>0.5</v>
      </c>
      <c r="O657" s="21">
        <v>0</v>
      </c>
      <c r="P657" s="21">
        <v>686</v>
      </c>
      <c r="Q657" s="21">
        <v>0.1239</v>
      </c>
      <c r="R657" s="21">
        <v>110</v>
      </c>
      <c r="S657" s="21">
        <v>14</v>
      </c>
      <c r="T657" s="21">
        <v>9.7299999999999998E-2</v>
      </c>
      <c r="U657" s="21">
        <v>1.6000000000000001E-3</v>
      </c>
      <c r="AB657" s="21">
        <v>0</v>
      </c>
      <c r="AC657" s="21">
        <v>0</v>
      </c>
      <c r="AD657" s="21">
        <v>0</v>
      </c>
      <c r="AE657" s="21">
        <v>0</v>
      </c>
      <c r="AF657" s="21">
        <v>0</v>
      </c>
      <c r="AG657" s="21">
        <v>0</v>
      </c>
      <c r="AH657" s="21">
        <v>0</v>
      </c>
      <c r="AI657" s="21">
        <v>0</v>
      </c>
      <c r="AJ657" s="21">
        <v>0</v>
      </c>
      <c r="AK657" s="21">
        <v>0</v>
      </c>
      <c r="AL657" s="21">
        <v>0</v>
      </c>
      <c r="AM657" s="21">
        <v>0</v>
      </c>
      <c r="AN657" s="21">
        <v>0</v>
      </c>
      <c r="AU657" s="21">
        <v>0</v>
      </c>
      <c r="AV657" s="21">
        <v>0</v>
      </c>
    </row>
    <row r="658" spans="1:48" x14ac:dyDescent="0.15">
      <c r="A658" s="20" t="s">
        <v>60</v>
      </c>
      <c r="B658" s="20" t="s">
        <v>107</v>
      </c>
      <c r="C658" s="21">
        <v>0</v>
      </c>
      <c r="D658" s="21">
        <v>274</v>
      </c>
      <c r="E658" s="21">
        <v>19062</v>
      </c>
      <c r="F658" s="21">
        <v>19336</v>
      </c>
      <c r="G658" s="21">
        <v>1378</v>
      </c>
      <c r="H658" s="21">
        <v>5649</v>
      </c>
      <c r="I658" s="21">
        <v>2615</v>
      </c>
      <c r="J658" s="21">
        <v>5678</v>
      </c>
      <c r="K658" s="21">
        <v>4017</v>
      </c>
      <c r="L658" s="21">
        <v>288</v>
      </c>
      <c r="M658" s="21">
        <v>0.59179999999999999</v>
      </c>
      <c r="N658" s="21">
        <v>0.57140000000000002</v>
      </c>
      <c r="O658" s="21">
        <v>0.1361</v>
      </c>
      <c r="P658" s="21">
        <v>302</v>
      </c>
      <c r="Q658" s="21">
        <v>0.64900000000000002</v>
      </c>
      <c r="R658" s="21">
        <v>67</v>
      </c>
      <c r="S658" s="21">
        <v>64</v>
      </c>
      <c r="T658" s="21">
        <v>0.1434</v>
      </c>
      <c r="U658" s="21">
        <v>4.0599999999999997E-2</v>
      </c>
      <c r="V658" s="21">
        <v>0.91110000000000002</v>
      </c>
      <c r="W658" s="21">
        <v>99</v>
      </c>
      <c r="X658" s="21">
        <v>34</v>
      </c>
      <c r="Y658" s="21">
        <v>67</v>
      </c>
      <c r="Z658" s="21">
        <v>0.1</v>
      </c>
      <c r="AA658" s="21">
        <v>0.5</v>
      </c>
      <c r="AB658" s="21">
        <v>291</v>
      </c>
      <c r="AC658" s="21">
        <v>291</v>
      </c>
      <c r="AD658" s="21">
        <v>285</v>
      </c>
      <c r="AE658" s="21">
        <v>16</v>
      </c>
      <c r="AF658" s="21">
        <v>5.7299999999999997E-2</v>
      </c>
      <c r="AG658" s="21">
        <v>0</v>
      </c>
      <c r="AH658" s="21">
        <v>0</v>
      </c>
      <c r="AI658" s="21">
        <v>0</v>
      </c>
      <c r="AJ658" s="21">
        <v>0</v>
      </c>
      <c r="AK658" s="21">
        <v>0</v>
      </c>
      <c r="AL658" s="21">
        <v>0</v>
      </c>
      <c r="AM658" s="21">
        <v>0</v>
      </c>
      <c r="AN658" s="21">
        <v>0</v>
      </c>
      <c r="AP658" s="21">
        <v>604</v>
      </c>
      <c r="AQ658" s="21">
        <v>20</v>
      </c>
      <c r="AR658" s="21">
        <v>15</v>
      </c>
      <c r="AS658" s="21">
        <v>5</v>
      </c>
      <c r="AU658" s="21">
        <v>4</v>
      </c>
      <c r="AV658" s="21">
        <v>3</v>
      </c>
    </row>
    <row r="659" spans="1:48" x14ac:dyDescent="0.15">
      <c r="A659" s="20" t="s">
        <v>61</v>
      </c>
      <c r="B659" s="20" t="s">
        <v>107</v>
      </c>
      <c r="C659" s="21">
        <v>0</v>
      </c>
      <c r="D659" s="21">
        <v>970</v>
      </c>
      <c r="E659" s="21">
        <v>13170</v>
      </c>
      <c r="F659" s="21">
        <v>14141</v>
      </c>
      <c r="G659" s="21">
        <v>218</v>
      </c>
      <c r="H659" s="21">
        <v>4407</v>
      </c>
      <c r="I659" s="21">
        <v>3108</v>
      </c>
      <c r="J659" s="21">
        <v>4470</v>
      </c>
      <c r="K659" s="21">
        <v>2135</v>
      </c>
      <c r="L659" s="21">
        <v>175</v>
      </c>
      <c r="M659" s="21">
        <v>0.71509999999999996</v>
      </c>
      <c r="N659" s="21">
        <v>0.68720000000000003</v>
      </c>
      <c r="O659" s="21">
        <v>0.2626</v>
      </c>
      <c r="P659" s="21">
        <v>174</v>
      </c>
      <c r="Q659" s="21">
        <v>0.82179999999999997</v>
      </c>
      <c r="R659" s="21">
        <v>81</v>
      </c>
      <c r="S659" s="21">
        <v>81</v>
      </c>
      <c r="T659" s="21">
        <v>9.2999999999999999E-2</v>
      </c>
      <c r="U659" s="21">
        <v>7.8299999999999995E-2</v>
      </c>
      <c r="V659" s="21">
        <v>0.3251</v>
      </c>
      <c r="W659" s="21">
        <v>30</v>
      </c>
      <c r="X659" s="21">
        <v>24</v>
      </c>
      <c r="Y659" s="21">
        <v>36</v>
      </c>
      <c r="Z659" s="21">
        <v>0.2</v>
      </c>
      <c r="AA659" s="21">
        <v>0.7</v>
      </c>
      <c r="AB659" s="21">
        <v>142</v>
      </c>
      <c r="AC659" s="21">
        <v>142</v>
      </c>
      <c r="AD659" s="21">
        <v>146</v>
      </c>
      <c r="AE659" s="21">
        <v>11</v>
      </c>
      <c r="AF659" s="21">
        <v>7.3800000000000004E-2</v>
      </c>
      <c r="AG659" s="21">
        <v>0</v>
      </c>
      <c r="AH659" s="21">
        <v>0</v>
      </c>
      <c r="AI659" s="21">
        <v>0</v>
      </c>
      <c r="AJ659" s="21">
        <v>0</v>
      </c>
      <c r="AK659" s="21">
        <v>0</v>
      </c>
      <c r="AL659" s="21">
        <v>0</v>
      </c>
      <c r="AM659" s="21">
        <v>0</v>
      </c>
      <c r="AN659" s="21">
        <v>0</v>
      </c>
      <c r="AP659" s="21">
        <v>830</v>
      </c>
      <c r="AQ659" s="21">
        <v>8</v>
      </c>
      <c r="AR659" s="21">
        <v>7</v>
      </c>
      <c r="AS659" s="21">
        <v>1</v>
      </c>
      <c r="AU659" s="21">
        <v>195</v>
      </c>
      <c r="AV659" s="21">
        <v>0</v>
      </c>
    </row>
    <row r="660" spans="1:48" x14ac:dyDescent="0.15">
      <c r="A660" s="20" t="s">
        <v>48</v>
      </c>
      <c r="B660" s="20" t="s">
        <v>108</v>
      </c>
      <c r="C660" s="21">
        <v>6008</v>
      </c>
      <c r="D660" s="21">
        <v>1379</v>
      </c>
      <c r="E660" s="21">
        <v>40972</v>
      </c>
      <c r="F660" s="21">
        <v>48359</v>
      </c>
      <c r="G660" s="21">
        <v>307</v>
      </c>
      <c r="H660" s="21">
        <v>17882</v>
      </c>
      <c r="I660" s="21">
        <v>1886</v>
      </c>
      <c r="J660" s="21">
        <v>6409</v>
      </c>
      <c r="K660" s="21">
        <v>16366</v>
      </c>
      <c r="L660" s="21">
        <v>450</v>
      </c>
      <c r="M660" s="21">
        <v>0.71020000000000005</v>
      </c>
      <c r="N660" s="21">
        <v>0.65139999999999998</v>
      </c>
      <c r="O660" s="21">
        <v>0.2266</v>
      </c>
      <c r="P660" s="21">
        <v>781</v>
      </c>
      <c r="Q660" s="21">
        <v>0.50700000000000001</v>
      </c>
      <c r="R660" s="21">
        <v>107</v>
      </c>
      <c r="S660" s="21">
        <v>62</v>
      </c>
      <c r="T660" s="21">
        <v>7.5700000000000003E-2</v>
      </c>
      <c r="U660" s="21">
        <v>4.3999999999999997E-2</v>
      </c>
      <c r="V660" s="21">
        <v>0.90739999999999998</v>
      </c>
      <c r="W660" s="21">
        <v>748</v>
      </c>
      <c r="X660" s="21">
        <v>186</v>
      </c>
      <c r="Y660" s="21">
        <v>250</v>
      </c>
      <c r="Z660" s="21">
        <v>0.3</v>
      </c>
      <c r="AA660" s="21">
        <v>0.7</v>
      </c>
      <c r="AB660" s="21">
        <v>569</v>
      </c>
      <c r="AC660" s="21">
        <v>564</v>
      </c>
      <c r="AD660" s="21">
        <v>572</v>
      </c>
      <c r="AE660" s="21">
        <v>52</v>
      </c>
      <c r="AF660" s="21">
        <v>9.06E-2</v>
      </c>
      <c r="AG660" s="21">
        <v>0</v>
      </c>
      <c r="AH660" s="21">
        <v>0</v>
      </c>
      <c r="AI660" s="21">
        <v>0</v>
      </c>
      <c r="AJ660" s="21">
        <v>0.58620000000000005</v>
      </c>
      <c r="AK660" s="21">
        <v>0</v>
      </c>
      <c r="AL660" s="21">
        <v>0</v>
      </c>
      <c r="AM660" s="21">
        <v>0</v>
      </c>
      <c r="AN660" s="21">
        <v>0</v>
      </c>
      <c r="AO660" s="21">
        <v>0.80669999999999997</v>
      </c>
      <c r="AP660" s="21">
        <v>1038</v>
      </c>
      <c r="AQ660" s="21">
        <v>53</v>
      </c>
      <c r="AR660" s="21">
        <v>52</v>
      </c>
      <c r="AS660" s="21">
        <v>1</v>
      </c>
      <c r="AU660" s="21">
        <v>71</v>
      </c>
      <c r="AV660" s="21">
        <v>32</v>
      </c>
    </row>
    <row r="661" spans="1:48" x14ac:dyDescent="0.15">
      <c r="A661" s="20" t="s">
        <v>50</v>
      </c>
      <c r="B661" s="20" t="s">
        <v>108</v>
      </c>
      <c r="C661" s="21">
        <v>7627</v>
      </c>
      <c r="D661" s="21">
        <v>1869</v>
      </c>
      <c r="E661" s="21">
        <v>6544</v>
      </c>
      <c r="F661" s="21">
        <v>16041</v>
      </c>
      <c r="G661" s="21">
        <v>2469</v>
      </c>
      <c r="H661" s="21">
        <v>6755</v>
      </c>
      <c r="I661" s="21">
        <v>0</v>
      </c>
      <c r="J661" s="21">
        <v>2558</v>
      </c>
      <c r="K661" s="21">
        <v>2634</v>
      </c>
      <c r="L661" s="21">
        <v>461</v>
      </c>
      <c r="M661" s="21">
        <v>0.55720000000000003</v>
      </c>
      <c r="N661" s="21">
        <v>0.4703</v>
      </c>
      <c r="O661" s="21">
        <v>0.2606</v>
      </c>
      <c r="P661" s="21">
        <v>940</v>
      </c>
      <c r="Q661" s="21">
        <v>0.30320000000000003</v>
      </c>
      <c r="R661" s="21">
        <v>34</v>
      </c>
      <c r="S661" s="21">
        <v>17</v>
      </c>
      <c r="T661" s="21">
        <v>2.29E-2</v>
      </c>
      <c r="U661" s="21">
        <v>5.3400000000000003E-2</v>
      </c>
      <c r="V661" s="21">
        <v>0.85109999999999997</v>
      </c>
      <c r="W661" s="21">
        <v>350</v>
      </c>
      <c r="X661" s="21">
        <v>131</v>
      </c>
      <c r="Y661" s="21">
        <v>211</v>
      </c>
      <c r="Z661" s="21">
        <v>0.3</v>
      </c>
      <c r="AA661" s="21">
        <v>0.6</v>
      </c>
      <c r="AB661" s="21">
        <v>460</v>
      </c>
      <c r="AC661" s="21">
        <v>460</v>
      </c>
      <c r="AD661" s="21">
        <v>474</v>
      </c>
      <c r="AE661" s="21">
        <v>49</v>
      </c>
      <c r="AF661" s="21">
        <v>0.10059999999999999</v>
      </c>
      <c r="AG661" s="21">
        <v>0</v>
      </c>
      <c r="AH661" s="21">
        <v>0</v>
      </c>
      <c r="AI661" s="21">
        <v>0</v>
      </c>
      <c r="AJ661" s="21">
        <v>0.48649999999999999</v>
      </c>
      <c r="AK661" s="21">
        <v>0</v>
      </c>
      <c r="AL661" s="21">
        <v>0</v>
      </c>
      <c r="AM661" s="21">
        <v>0</v>
      </c>
      <c r="AN661" s="21">
        <v>0</v>
      </c>
      <c r="AO661" s="21">
        <v>0.84819999999999995</v>
      </c>
      <c r="AP661" s="21">
        <v>2736</v>
      </c>
      <c r="AQ661" s="21">
        <v>115</v>
      </c>
      <c r="AR661" s="21">
        <v>100</v>
      </c>
      <c r="AS661" s="21">
        <v>1</v>
      </c>
      <c r="AT661" s="21">
        <v>15</v>
      </c>
      <c r="AU661" s="21">
        <v>26</v>
      </c>
      <c r="AV661" s="21">
        <v>44</v>
      </c>
    </row>
    <row r="662" spans="1:48" x14ac:dyDescent="0.15">
      <c r="A662" s="20" t="s">
        <v>51</v>
      </c>
      <c r="B662" s="20" t="s">
        <v>108</v>
      </c>
      <c r="C662" s="21">
        <v>11217</v>
      </c>
      <c r="D662" s="21">
        <v>4798</v>
      </c>
      <c r="E662" s="21">
        <v>44682</v>
      </c>
      <c r="F662" s="21">
        <v>60689</v>
      </c>
      <c r="G662" s="21">
        <v>2050</v>
      </c>
      <c r="H662" s="21">
        <v>18587</v>
      </c>
      <c r="I662" s="21">
        <v>3074</v>
      </c>
      <c r="J662" s="21">
        <v>8596</v>
      </c>
      <c r="K662" s="21">
        <v>28322</v>
      </c>
      <c r="L662" s="21">
        <v>1700</v>
      </c>
      <c r="M662" s="21">
        <v>0.60809999999999997</v>
      </c>
      <c r="N662" s="21">
        <v>0.47070000000000001</v>
      </c>
      <c r="O662" s="21">
        <v>0.31879999999999997</v>
      </c>
      <c r="P662" s="21">
        <v>3290</v>
      </c>
      <c r="Q662" s="21">
        <v>0.38969999999999999</v>
      </c>
      <c r="R662" s="21">
        <v>36</v>
      </c>
      <c r="S662" s="21">
        <v>18</v>
      </c>
      <c r="T662" s="21">
        <v>8.7999999999999995E-2</v>
      </c>
      <c r="U662" s="21">
        <v>7.4800000000000005E-2</v>
      </c>
      <c r="V662" s="21">
        <v>0.81159999999999999</v>
      </c>
      <c r="W662" s="21">
        <v>1369</v>
      </c>
      <c r="X662" s="21">
        <v>757</v>
      </c>
      <c r="Y662" s="21">
        <v>1371</v>
      </c>
      <c r="Z662" s="21">
        <v>0.3</v>
      </c>
      <c r="AA662" s="21">
        <v>0.6</v>
      </c>
      <c r="AB662" s="21">
        <v>2468</v>
      </c>
      <c r="AC662" s="21">
        <v>2325</v>
      </c>
      <c r="AD662" s="21">
        <v>2378</v>
      </c>
      <c r="AE662" s="21">
        <v>409</v>
      </c>
      <c r="AF662" s="21">
        <v>0.17879999999999999</v>
      </c>
      <c r="AG662" s="21">
        <v>0</v>
      </c>
      <c r="AH662" s="21">
        <v>0</v>
      </c>
      <c r="AI662" s="21">
        <v>0</v>
      </c>
      <c r="AJ662" s="21">
        <v>0.55400000000000005</v>
      </c>
      <c r="AK662" s="21">
        <v>0</v>
      </c>
      <c r="AL662" s="21">
        <v>0</v>
      </c>
      <c r="AM662" s="21">
        <v>0</v>
      </c>
      <c r="AN662" s="21">
        <v>0</v>
      </c>
      <c r="AO662" s="21">
        <v>0.63980000000000004</v>
      </c>
      <c r="AP662" s="21">
        <v>4814</v>
      </c>
      <c r="AQ662" s="21">
        <v>105</v>
      </c>
      <c r="AR662" s="21">
        <v>62</v>
      </c>
      <c r="AS662" s="21">
        <v>42</v>
      </c>
      <c r="AT662" s="21">
        <v>0</v>
      </c>
      <c r="AU662" s="21">
        <v>386</v>
      </c>
      <c r="AV662" s="21">
        <v>49</v>
      </c>
    </row>
    <row r="663" spans="1:48" x14ac:dyDescent="0.15">
      <c r="A663" s="20" t="s">
        <v>52</v>
      </c>
      <c r="B663" s="20" t="s">
        <v>108</v>
      </c>
      <c r="C663" s="21">
        <v>11333</v>
      </c>
      <c r="D663" s="21">
        <v>3373</v>
      </c>
      <c r="E663" s="21">
        <v>24498</v>
      </c>
      <c r="F663" s="21">
        <v>39205</v>
      </c>
      <c r="G663" s="21">
        <v>11024</v>
      </c>
      <c r="H663" s="21">
        <v>6125</v>
      </c>
      <c r="I663" s="21">
        <v>1974</v>
      </c>
      <c r="J663" s="21">
        <v>3882</v>
      </c>
      <c r="K663" s="21">
        <v>16168</v>
      </c>
      <c r="L663" s="21">
        <v>530</v>
      </c>
      <c r="M663" s="21">
        <v>0.51910000000000001</v>
      </c>
      <c r="N663" s="21">
        <v>0.43169999999999997</v>
      </c>
      <c r="O663" s="21">
        <v>0.22950000000000001</v>
      </c>
      <c r="P663" s="21">
        <v>1752</v>
      </c>
      <c r="Q663" s="21">
        <v>0.20380000000000001</v>
      </c>
      <c r="R663" s="21">
        <v>73</v>
      </c>
      <c r="S663" s="21">
        <v>22</v>
      </c>
      <c r="T663" s="21">
        <v>4.0599999999999997E-2</v>
      </c>
      <c r="U663" s="21">
        <v>5.45E-2</v>
      </c>
      <c r="V663" s="21">
        <v>0.72119999999999995</v>
      </c>
      <c r="W663" s="21">
        <v>433</v>
      </c>
      <c r="X663" s="21">
        <v>144</v>
      </c>
      <c r="Y663" s="21">
        <v>107</v>
      </c>
      <c r="Z663" s="21">
        <v>0.4</v>
      </c>
      <c r="AA663" s="21">
        <v>1.3</v>
      </c>
      <c r="AB663" s="21">
        <v>485</v>
      </c>
      <c r="AC663" s="21">
        <v>259</v>
      </c>
      <c r="AD663" s="21">
        <v>369</v>
      </c>
      <c r="AE663" s="21">
        <v>238</v>
      </c>
      <c r="AF663" s="21">
        <v>0.94069999999999998</v>
      </c>
      <c r="AG663" s="21">
        <v>0</v>
      </c>
      <c r="AH663" s="21">
        <v>0</v>
      </c>
      <c r="AI663" s="21">
        <v>0</v>
      </c>
      <c r="AJ663" s="21">
        <v>0.56040000000000001</v>
      </c>
      <c r="AK663" s="21">
        <v>0</v>
      </c>
      <c r="AL663" s="21">
        <v>0</v>
      </c>
      <c r="AM663" s="21">
        <v>0</v>
      </c>
      <c r="AN663" s="21">
        <v>0</v>
      </c>
      <c r="AO663" s="21">
        <v>0.88380000000000003</v>
      </c>
      <c r="AP663" s="21">
        <v>1624</v>
      </c>
      <c r="AQ663" s="21">
        <v>9</v>
      </c>
      <c r="AR663" s="21">
        <v>5</v>
      </c>
      <c r="AS663" s="21">
        <v>4</v>
      </c>
      <c r="AU663" s="21">
        <v>125</v>
      </c>
      <c r="AV663" s="21">
        <v>43</v>
      </c>
    </row>
    <row r="664" spans="1:48" x14ac:dyDescent="0.15">
      <c r="A664" s="20" t="s">
        <v>53</v>
      </c>
      <c r="B664" s="20" t="s">
        <v>108</v>
      </c>
      <c r="C664" s="21">
        <v>0</v>
      </c>
      <c r="D664" s="21">
        <v>0</v>
      </c>
      <c r="E664" s="21">
        <v>12598</v>
      </c>
      <c r="F664" s="21">
        <v>12598</v>
      </c>
      <c r="H664" s="21">
        <v>4587</v>
      </c>
      <c r="I664" s="21">
        <v>1637</v>
      </c>
      <c r="J664" s="21">
        <v>6374</v>
      </c>
      <c r="K664" s="21">
        <v>0</v>
      </c>
      <c r="L664" s="21">
        <v>88</v>
      </c>
      <c r="M664" s="21">
        <v>0.4783</v>
      </c>
      <c r="N664" s="21">
        <v>0.4783</v>
      </c>
      <c r="O664" s="21">
        <v>0</v>
      </c>
      <c r="P664" s="21">
        <v>500</v>
      </c>
      <c r="Q664" s="21">
        <v>0.19800000000000001</v>
      </c>
      <c r="R664" s="21">
        <v>146</v>
      </c>
      <c r="S664" s="21">
        <v>25</v>
      </c>
      <c r="T664" s="21">
        <v>9.2100000000000001E-2</v>
      </c>
      <c r="U664" s="21">
        <v>0</v>
      </c>
      <c r="W664" s="21">
        <v>2</v>
      </c>
      <c r="X664" s="21">
        <v>0</v>
      </c>
      <c r="Y664" s="21">
        <v>1</v>
      </c>
      <c r="Z664" s="21">
        <v>0</v>
      </c>
      <c r="AA664" s="21">
        <v>0.3</v>
      </c>
      <c r="AB664" s="21">
        <v>304</v>
      </c>
      <c r="AC664" s="21">
        <v>0</v>
      </c>
      <c r="AD664" s="21">
        <v>152</v>
      </c>
      <c r="AE664" s="21">
        <v>306</v>
      </c>
      <c r="AF664" s="21">
        <v>306</v>
      </c>
      <c r="AG664" s="21">
        <v>0</v>
      </c>
      <c r="AH664" s="21">
        <v>0</v>
      </c>
      <c r="AI664" s="21">
        <v>0</v>
      </c>
      <c r="AJ664" s="21">
        <v>0</v>
      </c>
      <c r="AK664" s="21">
        <v>0</v>
      </c>
      <c r="AL664" s="21">
        <v>0</v>
      </c>
      <c r="AM664" s="21">
        <v>0</v>
      </c>
      <c r="AN664" s="21">
        <v>0</v>
      </c>
      <c r="AP664" s="21">
        <v>385</v>
      </c>
      <c r="AQ664" s="21">
        <v>46</v>
      </c>
      <c r="AR664" s="21">
        <v>46</v>
      </c>
      <c r="AS664" s="21">
        <v>0</v>
      </c>
      <c r="AU664" s="21">
        <v>0</v>
      </c>
      <c r="AV664" s="21">
        <v>0</v>
      </c>
    </row>
    <row r="665" spans="1:48" x14ac:dyDescent="0.15">
      <c r="A665" s="20" t="s">
        <v>0</v>
      </c>
      <c r="B665" s="20" t="s">
        <v>108</v>
      </c>
      <c r="C665" s="21">
        <v>62314</v>
      </c>
      <c r="D665" s="21">
        <v>21233</v>
      </c>
      <c r="E665" s="21">
        <v>235922</v>
      </c>
      <c r="F665" s="21">
        <v>319242</v>
      </c>
      <c r="G665" s="21">
        <v>35256</v>
      </c>
      <c r="H665" s="21">
        <v>92815</v>
      </c>
      <c r="I665" s="21">
        <v>32906</v>
      </c>
      <c r="J665" s="21">
        <v>80811</v>
      </c>
      <c r="K665" s="21">
        <v>69481</v>
      </c>
      <c r="L665" s="21">
        <v>4869</v>
      </c>
      <c r="M665" s="21">
        <v>0.61409999999999998</v>
      </c>
      <c r="N665" s="21">
        <v>0.51870000000000005</v>
      </c>
      <c r="O665" s="21">
        <v>0.27239999999999998</v>
      </c>
      <c r="P665" s="21">
        <v>11642</v>
      </c>
      <c r="Q665" s="21">
        <v>0.31230000000000002</v>
      </c>
      <c r="R665" s="21">
        <v>65</v>
      </c>
      <c r="S665" s="21">
        <v>27</v>
      </c>
      <c r="T665" s="21">
        <v>7.1300000000000002E-2</v>
      </c>
      <c r="U665" s="21">
        <v>5.5E-2</v>
      </c>
      <c r="V665" s="21">
        <v>0.82140000000000002</v>
      </c>
      <c r="W665" s="21">
        <v>3571</v>
      </c>
      <c r="X665" s="21">
        <v>1606</v>
      </c>
      <c r="Y665" s="21">
        <v>2458</v>
      </c>
      <c r="Z665" s="21">
        <v>0.3</v>
      </c>
      <c r="AA665" s="21">
        <v>0.7</v>
      </c>
      <c r="AB665" s="21">
        <v>5751</v>
      </c>
      <c r="AC665" s="21">
        <v>4805</v>
      </c>
      <c r="AD665" s="21">
        <v>5294</v>
      </c>
      <c r="AE665" s="21">
        <v>1444</v>
      </c>
      <c r="AF665" s="21">
        <v>0.29849999999999999</v>
      </c>
      <c r="AG665" s="21">
        <v>0</v>
      </c>
      <c r="AH665" s="21">
        <v>0</v>
      </c>
      <c r="AI665" s="21">
        <v>0</v>
      </c>
      <c r="AJ665" s="21">
        <v>0.4733</v>
      </c>
      <c r="AK665" s="21">
        <v>0</v>
      </c>
      <c r="AL665" s="21">
        <v>0</v>
      </c>
      <c r="AM665" s="21">
        <v>0</v>
      </c>
      <c r="AN665" s="21">
        <v>0</v>
      </c>
      <c r="AO665" s="21">
        <v>0.82399999999999995</v>
      </c>
      <c r="AP665" s="21">
        <v>23134</v>
      </c>
      <c r="AQ665" s="21">
        <v>779</v>
      </c>
      <c r="AR665" s="21">
        <v>696</v>
      </c>
      <c r="AS665" s="21">
        <v>68</v>
      </c>
      <c r="AT665" s="21">
        <v>15</v>
      </c>
      <c r="AU665" s="21">
        <v>1043</v>
      </c>
      <c r="AV665" s="21">
        <v>264</v>
      </c>
    </row>
    <row r="666" spans="1:48" x14ac:dyDescent="0.15">
      <c r="A666" s="20" t="s">
        <v>54</v>
      </c>
      <c r="B666" s="20" t="s">
        <v>108</v>
      </c>
      <c r="C666" s="21">
        <v>207</v>
      </c>
      <c r="D666" s="21">
        <v>4</v>
      </c>
      <c r="E666" s="21">
        <v>24497</v>
      </c>
      <c r="F666" s="21">
        <v>24707</v>
      </c>
      <c r="I666" s="21">
        <v>10473</v>
      </c>
      <c r="J666" s="21">
        <v>14024</v>
      </c>
      <c r="K666" s="21">
        <v>0</v>
      </c>
      <c r="L666" s="21">
        <v>250</v>
      </c>
      <c r="M666" s="21">
        <v>0.62109999999999999</v>
      </c>
      <c r="N666" s="21">
        <v>0.62109999999999999</v>
      </c>
      <c r="O666" s="21">
        <v>7.7999999999999996E-3</v>
      </c>
      <c r="P666" s="21">
        <v>1160</v>
      </c>
      <c r="Q666" s="21">
        <v>0.16209999999999999</v>
      </c>
      <c r="R666" s="21">
        <v>99</v>
      </c>
      <c r="S666" s="21">
        <v>21</v>
      </c>
      <c r="T666" s="21">
        <v>9.7799999999999998E-2</v>
      </c>
      <c r="U666" s="21">
        <v>4.0000000000000001E-3</v>
      </c>
      <c r="AB666" s="21">
        <v>0</v>
      </c>
      <c r="AC666" s="21">
        <v>0</v>
      </c>
      <c r="AD666" s="21">
        <v>0</v>
      </c>
      <c r="AE666" s="21">
        <v>0</v>
      </c>
      <c r="AF666" s="21">
        <v>0</v>
      </c>
      <c r="AG666" s="21">
        <v>0</v>
      </c>
      <c r="AH666" s="21">
        <v>0</v>
      </c>
      <c r="AI666" s="21">
        <v>0</v>
      </c>
      <c r="AJ666" s="21">
        <v>0</v>
      </c>
      <c r="AK666" s="21">
        <v>0</v>
      </c>
      <c r="AL666" s="21">
        <v>0</v>
      </c>
      <c r="AM666" s="21">
        <v>0</v>
      </c>
      <c r="AN666" s="21">
        <v>0</v>
      </c>
      <c r="AP666" s="21">
        <v>3434</v>
      </c>
      <c r="AQ666" s="21">
        <v>12</v>
      </c>
      <c r="AR666" s="21">
        <v>11</v>
      </c>
      <c r="AS666" s="21">
        <v>0</v>
      </c>
      <c r="AU666" s="21">
        <v>0</v>
      </c>
      <c r="AV666" s="21">
        <v>0</v>
      </c>
    </row>
    <row r="667" spans="1:48" x14ac:dyDescent="0.15">
      <c r="A667" s="20" t="s">
        <v>55</v>
      </c>
      <c r="B667" s="20" t="s">
        <v>108</v>
      </c>
      <c r="C667" s="21">
        <v>0</v>
      </c>
      <c r="D667" s="21">
        <v>0</v>
      </c>
      <c r="E667" s="21">
        <v>0</v>
      </c>
      <c r="F667" s="21">
        <v>0</v>
      </c>
      <c r="AB667" s="21">
        <v>0</v>
      </c>
      <c r="AC667" s="21">
        <v>0</v>
      </c>
      <c r="AD667" s="21">
        <v>0</v>
      </c>
      <c r="AE667" s="21">
        <v>0</v>
      </c>
      <c r="AF667" s="21">
        <v>0</v>
      </c>
      <c r="AG667" s="21">
        <v>0</v>
      </c>
      <c r="AH667" s="21">
        <v>0</v>
      </c>
      <c r="AI667" s="21">
        <v>0</v>
      </c>
      <c r="AJ667" s="21">
        <v>0</v>
      </c>
      <c r="AK667" s="21">
        <v>0</v>
      </c>
      <c r="AL667" s="21">
        <v>0</v>
      </c>
      <c r="AM667" s="21">
        <v>0</v>
      </c>
      <c r="AN667" s="21">
        <v>0</v>
      </c>
      <c r="AU667" s="21">
        <v>0</v>
      </c>
      <c r="AV667" s="21">
        <v>0</v>
      </c>
    </row>
    <row r="668" spans="1:48" x14ac:dyDescent="0.15">
      <c r="A668" s="20" t="s">
        <v>56</v>
      </c>
      <c r="B668" s="20" t="s">
        <v>108</v>
      </c>
      <c r="C668" s="21">
        <v>463</v>
      </c>
      <c r="D668" s="21">
        <v>9</v>
      </c>
      <c r="E668" s="21">
        <v>434</v>
      </c>
      <c r="F668" s="21">
        <v>906</v>
      </c>
      <c r="H668" s="21">
        <v>175</v>
      </c>
      <c r="J668" s="21">
        <v>106</v>
      </c>
      <c r="K668" s="21">
        <v>292</v>
      </c>
      <c r="L668" s="21">
        <v>168</v>
      </c>
      <c r="M668" s="21">
        <v>0.27979999999999999</v>
      </c>
      <c r="N668" s="21">
        <v>0.25</v>
      </c>
      <c r="O668" s="21">
        <v>4.1700000000000001E-2</v>
      </c>
      <c r="P668" s="21">
        <v>668</v>
      </c>
      <c r="Q668" s="21">
        <v>8.5300000000000001E-2</v>
      </c>
      <c r="R668" s="21">
        <v>5</v>
      </c>
      <c r="S668" s="21">
        <v>1</v>
      </c>
      <c r="T668" s="21">
        <v>0.21310000000000001</v>
      </c>
      <c r="U668" s="21">
        <v>1.6500000000000001E-2</v>
      </c>
      <c r="W668" s="21">
        <v>46</v>
      </c>
      <c r="X668" s="21">
        <v>20</v>
      </c>
      <c r="Y668" s="21">
        <v>21</v>
      </c>
      <c r="Z668" s="21">
        <v>0.2</v>
      </c>
      <c r="AA668" s="21">
        <v>1</v>
      </c>
      <c r="AB668" s="21">
        <v>97</v>
      </c>
      <c r="AC668" s="21">
        <v>97</v>
      </c>
      <c r="AD668" s="21">
        <v>94</v>
      </c>
      <c r="AE668" s="21">
        <v>7</v>
      </c>
      <c r="AF668" s="21">
        <v>7.6100000000000001E-2</v>
      </c>
      <c r="AG668" s="21">
        <v>0</v>
      </c>
      <c r="AH668" s="21">
        <v>0</v>
      </c>
      <c r="AI668" s="21">
        <v>0</v>
      </c>
      <c r="AJ668" s="21">
        <v>0.33539999999999998</v>
      </c>
      <c r="AK668" s="21">
        <v>0</v>
      </c>
      <c r="AL668" s="21">
        <v>0</v>
      </c>
      <c r="AM668" s="21">
        <v>0</v>
      </c>
      <c r="AN668" s="21">
        <v>0</v>
      </c>
      <c r="AP668" s="21">
        <v>3750</v>
      </c>
      <c r="AQ668" s="21">
        <v>117</v>
      </c>
      <c r="AR668" s="21">
        <v>117</v>
      </c>
      <c r="AS668" s="21">
        <v>0</v>
      </c>
      <c r="AU668" s="21">
        <v>0</v>
      </c>
      <c r="AV668" s="21">
        <v>0</v>
      </c>
    </row>
    <row r="669" spans="1:48" x14ac:dyDescent="0.15">
      <c r="A669" s="20" t="s">
        <v>57</v>
      </c>
      <c r="B669" s="20" t="s">
        <v>108</v>
      </c>
      <c r="C669" s="21">
        <v>14500</v>
      </c>
      <c r="D669" s="21">
        <v>7083</v>
      </c>
      <c r="E669" s="21">
        <v>22599</v>
      </c>
      <c r="F669" s="21">
        <v>43962</v>
      </c>
      <c r="G669" s="21">
        <v>8037</v>
      </c>
      <c r="H669" s="21">
        <v>8457</v>
      </c>
      <c r="I669" s="21">
        <v>7060</v>
      </c>
      <c r="J669" s="21">
        <v>19000</v>
      </c>
      <c r="K669" s="21">
        <v>1204</v>
      </c>
      <c r="L669" s="21">
        <v>436</v>
      </c>
      <c r="M669" s="21">
        <v>0.69699999999999995</v>
      </c>
      <c r="N669" s="21">
        <v>0.53759999999999997</v>
      </c>
      <c r="O669" s="21">
        <v>0.47839999999999999</v>
      </c>
      <c r="P669" s="21">
        <v>618</v>
      </c>
      <c r="Q669" s="21">
        <v>0.51939999999999997</v>
      </c>
      <c r="R669" s="21">
        <v>102</v>
      </c>
      <c r="S669" s="21">
        <v>71</v>
      </c>
      <c r="T669" s="21">
        <v>3.7600000000000001E-2</v>
      </c>
      <c r="U669" s="21">
        <v>5.2900000000000003E-2</v>
      </c>
      <c r="V669" s="21">
        <v>0.82789999999999997</v>
      </c>
      <c r="W669" s="21">
        <v>111</v>
      </c>
      <c r="X669" s="21">
        <v>98</v>
      </c>
      <c r="Y669" s="21">
        <v>132</v>
      </c>
      <c r="Z669" s="21">
        <v>0.3</v>
      </c>
      <c r="AA669" s="21">
        <v>0.7</v>
      </c>
      <c r="AB669" s="21">
        <v>308</v>
      </c>
      <c r="AC669" s="21">
        <v>308</v>
      </c>
      <c r="AD669" s="21">
        <v>298</v>
      </c>
      <c r="AE669" s="21">
        <v>30</v>
      </c>
      <c r="AF669" s="21">
        <v>0.1042</v>
      </c>
      <c r="AG669" s="21">
        <v>0</v>
      </c>
      <c r="AH669" s="21">
        <v>0</v>
      </c>
      <c r="AI669" s="21">
        <v>0</v>
      </c>
      <c r="AJ669" s="21">
        <v>0.746</v>
      </c>
      <c r="AK669" s="21">
        <v>0</v>
      </c>
      <c r="AL669" s="21">
        <v>0</v>
      </c>
      <c r="AM669" s="21">
        <v>0</v>
      </c>
      <c r="AN669" s="21">
        <v>0</v>
      </c>
      <c r="AO669" s="21">
        <v>0.88539999999999996</v>
      </c>
      <c r="AP669" s="21">
        <v>2698</v>
      </c>
      <c r="AQ669" s="21">
        <v>199</v>
      </c>
      <c r="AR669" s="21">
        <v>192</v>
      </c>
      <c r="AS669" s="21">
        <v>7</v>
      </c>
      <c r="AT669" s="21">
        <v>0</v>
      </c>
      <c r="AU669" s="21">
        <v>351</v>
      </c>
      <c r="AV669" s="21">
        <v>89</v>
      </c>
    </row>
    <row r="670" spans="1:48" x14ac:dyDescent="0.15">
      <c r="A670" s="20" t="s">
        <v>58</v>
      </c>
      <c r="B670" s="20" t="s">
        <v>108</v>
      </c>
      <c r="C670" s="21">
        <v>7596</v>
      </c>
      <c r="D670" s="21">
        <v>957</v>
      </c>
      <c r="E670" s="21">
        <v>25057</v>
      </c>
      <c r="F670" s="21">
        <v>33609</v>
      </c>
      <c r="G670" s="21">
        <v>8077</v>
      </c>
      <c r="H670" s="21">
        <v>20697</v>
      </c>
      <c r="J670" s="21">
        <v>4835</v>
      </c>
      <c r="L670" s="21">
        <v>236</v>
      </c>
      <c r="M670" s="21">
        <v>0.86309999999999998</v>
      </c>
      <c r="N670" s="21">
        <v>0.86309999999999998</v>
      </c>
      <c r="O670" s="21">
        <v>0.35270000000000001</v>
      </c>
      <c r="P670" s="21">
        <v>577</v>
      </c>
      <c r="Q670" s="21">
        <v>0.44190000000000002</v>
      </c>
      <c r="R670" s="21">
        <v>144</v>
      </c>
      <c r="S670" s="21">
        <v>58</v>
      </c>
      <c r="T670" s="21">
        <v>0.1079</v>
      </c>
      <c r="U670" s="21">
        <v>7.4999999999999997E-3</v>
      </c>
      <c r="W670" s="21">
        <v>364</v>
      </c>
      <c r="X670" s="21">
        <v>202</v>
      </c>
      <c r="Y670" s="21">
        <v>241</v>
      </c>
      <c r="Z670" s="21">
        <v>0.4</v>
      </c>
      <c r="AA670" s="21">
        <v>0.8</v>
      </c>
      <c r="AB670" s="21">
        <v>603</v>
      </c>
      <c r="AC670" s="21">
        <v>427</v>
      </c>
      <c r="AD670" s="21">
        <v>512</v>
      </c>
      <c r="AE670" s="21">
        <v>227</v>
      </c>
      <c r="AF670" s="21">
        <v>0.53920000000000001</v>
      </c>
      <c r="AG670" s="21">
        <v>0</v>
      </c>
      <c r="AH670" s="21">
        <v>0</v>
      </c>
      <c r="AI670" s="21">
        <v>0</v>
      </c>
      <c r="AJ670" s="21">
        <v>0.5484</v>
      </c>
      <c r="AK670" s="21">
        <v>0</v>
      </c>
      <c r="AL670" s="21">
        <v>0</v>
      </c>
      <c r="AM670" s="21">
        <v>0</v>
      </c>
      <c r="AN670" s="21">
        <v>0</v>
      </c>
      <c r="AP670" s="21">
        <v>1426</v>
      </c>
      <c r="AQ670" s="21">
        <v>61</v>
      </c>
      <c r="AR670" s="21">
        <v>54</v>
      </c>
      <c r="AS670" s="21">
        <v>6</v>
      </c>
      <c r="AU670" s="21">
        <v>0</v>
      </c>
      <c r="AV670" s="21">
        <v>0</v>
      </c>
    </row>
    <row r="671" spans="1:48" x14ac:dyDescent="0.15">
      <c r="A671" s="20" t="s">
        <v>59</v>
      </c>
      <c r="B671" s="20" t="s">
        <v>108</v>
      </c>
      <c r="C671" s="21">
        <v>0</v>
      </c>
      <c r="D671" s="21">
        <v>0</v>
      </c>
      <c r="E671" s="21">
        <v>3749</v>
      </c>
      <c r="F671" s="21">
        <v>3749</v>
      </c>
      <c r="I671" s="21">
        <v>2902</v>
      </c>
      <c r="J671" s="21">
        <v>847</v>
      </c>
      <c r="K671" s="21">
        <v>0</v>
      </c>
      <c r="L671" s="21">
        <v>103</v>
      </c>
      <c r="M671" s="21">
        <v>0.48080000000000001</v>
      </c>
      <c r="N671" s="21">
        <v>0.48080000000000001</v>
      </c>
      <c r="O671" s="21">
        <v>0</v>
      </c>
      <c r="P671" s="21">
        <v>880</v>
      </c>
      <c r="Q671" s="21">
        <v>6.4799999999999996E-2</v>
      </c>
      <c r="R671" s="21">
        <v>37</v>
      </c>
      <c r="S671" s="21">
        <v>4</v>
      </c>
      <c r="T671" s="21">
        <v>5.6000000000000001E-2</v>
      </c>
      <c r="U671" s="21">
        <v>1.1999999999999999E-3</v>
      </c>
      <c r="AB671" s="21">
        <v>0</v>
      </c>
      <c r="AC671" s="21">
        <v>0</v>
      </c>
      <c r="AD671" s="21">
        <v>0</v>
      </c>
      <c r="AE671" s="21">
        <v>0</v>
      </c>
      <c r="AF671" s="21">
        <v>0</v>
      </c>
      <c r="AG671" s="21">
        <v>0</v>
      </c>
      <c r="AH671" s="21">
        <v>0</v>
      </c>
      <c r="AI671" s="21">
        <v>0</v>
      </c>
      <c r="AJ671" s="21">
        <v>0</v>
      </c>
      <c r="AK671" s="21">
        <v>0</v>
      </c>
      <c r="AL671" s="21">
        <v>0</v>
      </c>
      <c r="AM671" s="21">
        <v>0</v>
      </c>
      <c r="AN671" s="21">
        <v>0</v>
      </c>
      <c r="AU671" s="21">
        <v>0</v>
      </c>
      <c r="AV671" s="21">
        <v>0</v>
      </c>
    </row>
    <row r="672" spans="1:48" x14ac:dyDescent="0.15">
      <c r="A672" s="20" t="s">
        <v>60</v>
      </c>
      <c r="B672" s="20" t="s">
        <v>108</v>
      </c>
      <c r="C672" s="21">
        <v>393</v>
      </c>
      <c r="D672" s="21">
        <v>1204</v>
      </c>
      <c r="E672" s="21">
        <v>17560</v>
      </c>
      <c r="F672" s="21">
        <v>19158</v>
      </c>
      <c r="G672" s="21">
        <v>490</v>
      </c>
      <c r="H672" s="21">
        <v>5782</v>
      </c>
      <c r="I672" s="21">
        <v>2478</v>
      </c>
      <c r="J672" s="21">
        <v>7440</v>
      </c>
      <c r="K672" s="21">
        <v>2969</v>
      </c>
      <c r="L672" s="21">
        <v>275</v>
      </c>
      <c r="M672" s="21">
        <v>0.63790000000000002</v>
      </c>
      <c r="N672" s="21">
        <v>0.50339999999999996</v>
      </c>
      <c r="O672" s="21">
        <v>0.34139999999999998</v>
      </c>
      <c r="P672" s="21">
        <v>302</v>
      </c>
      <c r="Q672" s="21">
        <v>0.60929999999999995</v>
      </c>
      <c r="R672" s="21">
        <v>68</v>
      </c>
      <c r="S672" s="21">
        <v>63</v>
      </c>
      <c r="T672" s="21">
        <v>6.0199999999999997E-2</v>
      </c>
      <c r="U672" s="21">
        <v>0.04</v>
      </c>
      <c r="V672" s="21">
        <v>0.83089999999999997</v>
      </c>
      <c r="W672" s="21">
        <v>110</v>
      </c>
      <c r="X672" s="21">
        <v>47</v>
      </c>
      <c r="Y672" s="21">
        <v>90</v>
      </c>
      <c r="Z672" s="21">
        <v>0.2</v>
      </c>
      <c r="AA672" s="21">
        <v>0.5</v>
      </c>
      <c r="AB672" s="21">
        <v>313</v>
      </c>
      <c r="AC672" s="21">
        <v>221</v>
      </c>
      <c r="AD672" s="21">
        <v>302</v>
      </c>
      <c r="AE672" s="21">
        <v>121</v>
      </c>
      <c r="AF672" s="21">
        <v>0.4158</v>
      </c>
      <c r="AG672" s="21">
        <v>0</v>
      </c>
      <c r="AH672" s="21">
        <v>0</v>
      </c>
      <c r="AI672" s="21">
        <v>0</v>
      </c>
      <c r="AJ672" s="21">
        <v>0.29720000000000002</v>
      </c>
      <c r="AK672" s="21">
        <v>0</v>
      </c>
      <c r="AL672" s="21">
        <v>0</v>
      </c>
      <c r="AM672" s="21">
        <v>0</v>
      </c>
      <c r="AN672" s="21">
        <v>0</v>
      </c>
      <c r="AO672" s="21">
        <v>1</v>
      </c>
      <c r="AP672" s="21">
        <v>729</v>
      </c>
      <c r="AQ672" s="21">
        <v>36</v>
      </c>
      <c r="AR672" s="21">
        <v>30</v>
      </c>
      <c r="AS672" s="21">
        <v>6</v>
      </c>
      <c r="AU672" s="21">
        <v>6</v>
      </c>
      <c r="AV672" s="21">
        <v>7</v>
      </c>
    </row>
    <row r="673" spans="1:48" x14ac:dyDescent="0.15">
      <c r="A673" s="20" t="s">
        <v>61</v>
      </c>
      <c r="B673" s="20" t="s">
        <v>108</v>
      </c>
      <c r="C673" s="21">
        <v>2970</v>
      </c>
      <c r="D673" s="21">
        <v>557</v>
      </c>
      <c r="E673" s="21">
        <v>12731</v>
      </c>
      <c r="F673" s="21">
        <v>16259</v>
      </c>
      <c r="G673" s="21">
        <v>2802</v>
      </c>
      <c r="H673" s="21">
        <v>3768</v>
      </c>
      <c r="I673" s="21">
        <v>1421</v>
      </c>
      <c r="J673" s="21">
        <v>6740</v>
      </c>
      <c r="K673" s="21">
        <v>1527</v>
      </c>
      <c r="L673" s="21">
        <v>172</v>
      </c>
      <c r="M673" s="21">
        <v>0.7429</v>
      </c>
      <c r="N673" s="21">
        <v>0.70289999999999997</v>
      </c>
      <c r="O673" s="21">
        <v>0.27429999999999999</v>
      </c>
      <c r="P673" s="21">
        <v>174</v>
      </c>
      <c r="Q673" s="21">
        <v>0.89080000000000004</v>
      </c>
      <c r="R673" s="21">
        <v>94</v>
      </c>
      <c r="S673" s="21">
        <v>93</v>
      </c>
      <c r="T673" s="21">
        <v>7.0199999999999999E-2</v>
      </c>
      <c r="U673" s="21">
        <v>7.4499999999999997E-2</v>
      </c>
      <c r="V673" s="21">
        <v>0.79520000000000002</v>
      </c>
      <c r="W673" s="21">
        <v>38</v>
      </c>
      <c r="X673" s="21">
        <v>21</v>
      </c>
      <c r="Y673" s="21">
        <v>34</v>
      </c>
      <c r="Z673" s="21">
        <v>0.1</v>
      </c>
      <c r="AA673" s="21">
        <v>0.6</v>
      </c>
      <c r="AB673" s="21">
        <v>144</v>
      </c>
      <c r="AC673" s="21">
        <v>144</v>
      </c>
      <c r="AD673" s="21">
        <v>143</v>
      </c>
      <c r="AE673" s="21">
        <v>5</v>
      </c>
      <c r="AF673" s="21">
        <v>3.5200000000000002E-2</v>
      </c>
      <c r="AG673" s="21">
        <v>0</v>
      </c>
      <c r="AH673" s="21">
        <v>0</v>
      </c>
      <c r="AI673" s="21">
        <v>0</v>
      </c>
      <c r="AJ673" s="21">
        <v>0.51060000000000005</v>
      </c>
      <c r="AK673" s="21">
        <v>0</v>
      </c>
      <c r="AL673" s="21">
        <v>0</v>
      </c>
      <c r="AM673" s="21">
        <v>0</v>
      </c>
      <c r="AN673" s="21">
        <v>0</v>
      </c>
      <c r="AO673" s="21">
        <v>1</v>
      </c>
      <c r="AP673" s="21">
        <v>500</v>
      </c>
      <c r="AQ673" s="21">
        <v>26</v>
      </c>
      <c r="AR673" s="21">
        <v>25</v>
      </c>
      <c r="AS673" s="21">
        <v>1</v>
      </c>
      <c r="AU673" s="21">
        <v>79</v>
      </c>
      <c r="AV673" s="21">
        <v>0</v>
      </c>
    </row>
    <row r="674" spans="1:48" x14ac:dyDescent="0.15">
      <c r="A674" s="20" t="s">
        <v>48</v>
      </c>
      <c r="B674" s="20" t="s">
        <v>109</v>
      </c>
      <c r="C674" s="21">
        <v>15616</v>
      </c>
      <c r="D674" s="21">
        <v>974</v>
      </c>
      <c r="E674" s="21">
        <v>9219</v>
      </c>
      <c r="F674" s="21">
        <v>25809</v>
      </c>
      <c r="G674" s="21">
        <v>553</v>
      </c>
      <c r="H674" s="21">
        <v>6664</v>
      </c>
      <c r="I674" s="21">
        <v>381</v>
      </c>
      <c r="J674" s="21">
        <v>2886</v>
      </c>
      <c r="K674" s="21">
        <v>9399</v>
      </c>
      <c r="L674" s="21">
        <v>443</v>
      </c>
      <c r="M674" s="21">
        <v>0.64190000000000003</v>
      </c>
      <c r="N674" s="21">
        <v>0.56989999999999996</v>
      </c>
      <c r="O674" s="21">
        <v>0.17249999999999999</v>
      </c>
      <c r="P674" s="21">
        <v>865</v>
      </c>
      <c r="Q674" s="21">
        <v>0.46129999999999999</v>
      </c>
      <c r="R674" s="21">
        <v>58</v>
      </c>
      <c r="S674" s="21">
        <v>30</v>
      </c>
      <c r="T674" s="21">
        <v>7.8200000000000006E-2</v>
      </c>
      <c r="U674" s="21">
        <v>4.3200000000000002E-2</v>
      </c>
      <c r="V674" s="21">
        <v>0.72289999999999999</v>
      </c>
      <c r="W674" s="21">
        <v>377</v>
      </c>
      <c r="X674" s="21">
        <v>111</v>
      </c>
      <c r="Y674" s="21">
        <v>179</v>
      </c>
      <c r="Z674" s="21">
        <v>0.2</v>
      </c>
      <c r="AA674" s="21">
        <v>0.6</v>
      </c>
      <c r="AB674" s="21">
        <v>454</v>
      </c>
      <c r="AC674" s="21">
        <v>454</v>
      </c>
      <c r="AD674" s="21">
        <v>512</v>
      </c>
      <c r="AE674" s="21">
        <v>13</v>
      </c>
      <c r="AF674" s="21">
        <v>2.2800000000000001E-2</v>
      </c>
      <c r="AG674" s="21">
        <v>0</v>
      </c>
      <c r="AH674" s="21">
        <v>0</v>
      </c>
      <c r="AI674" s="21">
        <v>0</v>
      </c>
      <c r="AJ674" s="21">
        <v>0</v>
      </c>
      <c r="AK674" s="21">
        <v>0</v>
      </c>
      <c r="AL674" s="21">
        <v>0</v>
      </c>
      <c r="AM674" s="21">
        <v>0</v>
      </c>
      <c r="AN674" s="21">
        <v>0</v>
      </c>
      <c r="AO674" s="21">
        <v>0.69640000000000002</v>
      </c>
      <c r="AP674" s="21">
        <v>1348</v>
      </c>
      <c r="AQ674" s="21">
        <v>49</v>
      </c>
      <c r="AR674" s="21">
        <v>30</v>
      </c>
      <c r="AS674" s="21">
        <v>14</v>
      </c>
      <c r="AT674" s="21">
        <v>5</v>
      </c>
      <c r="AU674" s="21">
        <v>15</v>
      </c>
      <c r="AV674" s="21">
        <v>29</v>
      </c>
    </row>
    <row r="675" spans="1:48" x14ac:dyDescent="0.15">
      <c r="A675" s="20" t="s">
        <v>50</v>
      </c>
      <c r="B675" s="20" t="s">
        <v>109</v>
      </c>
      <c r="C675" s="21">
        <v>28034</v>
      </c>
      <c r="D675" s="21">
        <v>603</v>
      </c>
      <c r="E675" s="21">
        <v>6510</v>
      </c>
      <c r="F675" s="21">
        <v>35147</v>
      </c>
      <c r="G675" s="21">
        <v>3567</v>
      </c>
      <c r="H675" s="21">
        <v>19027</v>
      </c>
      <c r="I675" s="21">
        <v>0</v>
      </c>
      <c r="J675" s="21">
        <v>3212</v>
      </c>
      <c r="K675" s="21">
        <v>6324</v>
      </c>
      <c r="L675" s="21">
        <v>445</v>
      </c>
      <c r="M675" s="21">
        <v>0.6905</v>
      </c>
      <c r="N675" s="21">
        <v>0.68400000000000005</v>
      </c>
      <c r="O675" s="21">
        <v>0.1515</v>
      </c>
      <c r="P675" s="21">
        <v>930</v>
      </c>
      <c r="Q675" s="21">
        <v>0.44409999999999999</v>
      </c>
      <c r="R675" s="21">
        <v>78</v>
      </c>
      <c r="S675" s="21">
        <v>38</v>
      </c>
      <c r="T675" s="21">
        <v>4.4900000000000002E-2</v>
      </c>
      <c r="U675" s="21">
        <v>5.1499999999999997E-2</v>
      </c>
      <c r="V675" s="21">
        <v>0.87570000000000003</v>
      </c>
      <c r="W675" s="21">
        <v>1157</v>
      </c>
      <c r="X675" s="21">
        <v>190</v>
      </c>
      <c r="Y675" s="21">
        <v>109</v>
      </c>
      <c r="Z675" s="21">
        <v>0.5</v>
      </c>
      <c r="AA675" s="21">
        <v>1.7</v>
      </c>
      <c r="AB675" s="21">
        <v>272</v>
      </c>
      <c r="AC675" s="21">
        <v>272</v>
      </c>
      <c r="AD675" s="21">
        <v>366</v>
      </c>
      <c r="AE675" s="21">
        <v>35</v>
      </c>
      <c r="AF675" s="21">
        <v>7.6100000000000001E-2</v>
      </c>
      <c r="AG675" s="21">
        <v>0</v>
      </c>
      <c r="AH675" s="21">
        <v>0</v>
      </c>
      <c r="AI675" s="21">
        <v>0</v>
      </c>
      <c r="AJ675" s="21">
        <v>0</v>
      </c>
      <c r="AK675" s="21">
        <v>0</v>
      </c>
      <c r="AL675" s="21">
        <v>0</v>
      </c>
      <c r="AM675" s="21">
        <v>0</v>
      </c>
      <c r="AN675" s="21">
        <v>0</v>
      </c>
      <c r="AO675" s="21">
        <v>0.61719999999999997</v>
      </c>
      <c r="AP675" s="21">
        <v>1620</v>
      </c>
      <c r="AQ675" s="21">
        <v>192</v>
      </c>
      <c r="AR675" s="21">
        <v>159</v>
      </c>
      <c r="AS675" s="21">
        <v>23</v>
      </c>
      <c r="AT675" s="21">
        <v>10</v>
      </c>
      <c r="AU675" s="21">
        <v>22</v>
      </c>
      <c r="AV675" s="21">
        <v>77</v>
      </c>
    </row>
    <row r="676" spans="1:48" x14ac:dyDescent="0.15">
      <c r="A676" s="20" t="s">
        <v>51</v>
      </c>
      <c r="B676" s="20" t="s">
        <v>109</v>
      </c>
      <c r="C676" s="21">
        <v>44117</v>
      </c>
      <c r="D676" s="21">
        <v>3721</v>
      </c>
      <c r="E676" s="21">
        <v>29370</v>
      </c>
      <c r="F676" s="21">
        <v>77188</v>
      </c>
      <c r="G676" s="21">
        <v>1516</v>
      </c>
      <c r="H676" s="21">
        <v>31080</v>
      </c>
      <c r="I676" s="21">
        <v>1406</v>
      </c>
      <c r="J676" s="21">
        <v>12185</v>
      </c>
      <c r="K676" s="21">
        <v>30743</v>
      </c>
      <c r="L676" s="21">
        <v>1675</v>
      </c>
      <c r="M676" s="21">
        <v>0.64259999999999995</v>
      </c>
      <c r="N676" s="21">
        <v>0.53129999999999999</v>
      </c>
      <c r="O676" s="21">
        <v>0.25829999999999997</v>
      </c>
      <c r="P676" s="21">
        <v>3347</v>
      </c>
      <c r="Q676" s="21">
        <v>0.43890000000000001</v>
      </c>
      <c r="R676" s="21">
        <v>46</v>
      </c>
      <c r="S676" s="21">
        <v>23</v>
      </c>
      <c r="T676" s="21">
        <v>7.0900000000000005E-2</v>
      </c>
      <c r="U676" s="21">
        <v>7.22E-2</v>
      </c>
      <c r="V676" s="21">
        <v>0.89649999999999996</v>
      </c>
      <c r="W676" s="21">
        <v>3909</v>
      </c>
      <c r="X676" s="21">
        <v>1185</v>
      </c>
      <c r="Y676" s="21">
        <v>1849</v>
      </c>
      <c r="Z676" s="21">
        <v>0.4</v>
      </c>
      <c r="AA676" s="21">
        <v>0.6</v>
      </c>
      <c r="AB676" s="21">
        <v>3611</v>
      </c>
      <c r="AC676" s="21">
        <v>2968</v>
      </c>
      <c r="AD676" s="21">
        <v>3040</v>
      </c>
      <c r="AE676" s="21">
        <v>1297</v>
      </c>
      <c r="AF676" s="21">
        <v>0.52549999999999997</v>
      </c>
      <c r="AG676" s="21">
        <v>0</v>
      </c>
      <c r="AH676" s="21">
        <v>0</v>
      </c>
      <c r="AI676" s="21">
        <v>0.1308</v>
      </c>
      <c r="AJ676" s="21">
        <v>0.67530000000000001</v>
      </c>
      <c r="AK676" s="21">
        <v>0</v>
      </c>
      <c r="AL676" s="21">
        <v>0</v>
      </c>
      <c r="AM676" s="21">
        <v>0</v>
      </c>
      <c r="AN676" s="21">
        <v>0</v>
      </c>
      <c r="AO676" s="21">
        <v>0.56420000000000003</v>
      </c>
      <c r="AP676" s="21">
        <v>2915</v>
      </c>
      <c r="AQ676" s="21">
        <v>169</v>
      </c>
      <c r="AR676" s="21">
        <v>101</v>
      </c>
      <c r="AS676" s="21">
        <v>58</v>
      </c>
      <c r="AT676" s="21">
        <v>9</v>
      </c>
      <c r="AU676" s="21">
        <v>195</v>
      </c>
      <c r="AV676" s="21">
        <v>45</v>
      </c>
    </row>
    <row r="677" spans="1:48" x14ac:dyDescent="0.15">
      <c r="A677" s="20" t="s">
        <v>52</v>
      </c>
      <c r="B677" s="20" t="s">
        <v>109</v>
      </c>
      <c r="C677" s="21">
        <v>23575</v>
      </c>
      <c r="D677" s="21">
        <v>534</v>
      </c>
      <c r="E677" s="21">
        <v>11335</v>
      </c>
      <c r="F677" s="21">
        <v>35443</v>
      </c>
      <c r="G677" s="21">
        <v>9491</v>
      </c>
      <c r="H677" s="21">
        <v>6069</v>
      </c>
      <c r="I677" s="21">
        <v>0</v>
      </c>
      <c r="J677" s="21">
        <v>8464</v>
      </c>
      <c r="K677" s="21">
        <v>11376</v>
      </c>
      <c r="L677" s="21">
        <v>515</v>
      </c>
      <c r="M677" s="21">
        <v>0.5</v>
      </c>
      <c r="N677" s="21">
        <v>0.48309999999999997</v>
      </c>
      <c r="O677" s="21">
        <v>9.5899999999999999E-2</v>
      </c>
      <c r="P677" s="21">
        <v>1775</v>
      </c>
      <c r="Q677" s="21">
        <v>0.19489999999999999</v>
      </c>
      <c r="R677" s="21">
        <v>68</v>
      </c>
      <c r="S677" s="21">
        <v>20</v>
      </c>
      <c r="T677" s="21">
        <v>5.7700000000000001E-2</v>
      </c>
      <c r="U677" s="21">
        <v>5.5399999999999998E-2</v>
      </c>
      <c r="V677" s="21">
        <v>0.56589999999999996</v>
      </c>
      <c r="W677" s="21">
        <v>2527</v>
      </c>
      <c r="X677" s="21">
        <v>429</v>
      </c>
      <c r="Y677" s="21">
        <v>235</v>
      </c>
      <c r="Z677" s="21">
        <v>0.9</v>
      </c>
      <c r="AA677" s="21">
        <v>1.8</v>
      </c>
      <c r="AB677" s="21">
        <v>519</v>
      </c>
      <c r="AC677" s="21">
        <v>519</v>
      </c>
      <c r="AD677" s="21">
        <v>502</v>
      </c>
      <c r="AE677" s="21">
        <v>44</v>
      </c>
      <c r="AF677" s="21">
        <v>9.0700000000000003E-2</v>
      </c>
      <c r="AG677" s="21">
        <v>0</v>
      </c>
      <c r="AH677" s="21">
        <v>0</v>
      </c>
      <c r="AI677" s="21">
        <v>0.1429</v>
      </c>
      <c r="AJ677" s="21">
        <v>0.21049999999999999</v>
      </c>
      <c r="AK677" s="21">
        <v>0</v>
      </c>
      <c r="AL677" s="21">
        <v>0</v>
      </c>
      <c r="AM677" s="21">
        <v>0</v>
      </c>
      <c r="AN677" s="21">
        <v>0</v>
      </c>
      <c r="AO677" s="21">
        <v>0.86260000000000003</v>
      </c>
      <c r="AP677" s="21">
        <v>931</v>
      </c>
      <c r="AQ677" s="21">
        <v>18</v>
      </c>
      <c r="AR677" s="21">
        <v>12</v>
      </c>
      <c r="AS677" s="21">
        <v>6</v>
      </c>
      <c r="AU677" s="21">
        <v>55</v>
      </c>
      <c r="AV677" s="21">
        <v>110</v>
      </c>
    </row>
    <row r="678" spans="1:48" x14ac:dyDescent="0.15">
      <c r="A678" s="20" t="s">
        <v>53</v>
      </c>
      <c r="B678" s="20" t="s">
        <v>109</v>
      </c>
      <c r="C678" s="21">
        <v>0</v>
      </c>
      <c r="D678" s="21">
        <v>13</v>
      </c>
      <c r="E678" s="21">
        <v>7160</v>
      </c>
      <c r="F678" s="21">
        <v>7174</v>
      </c>
      <c r="H678" s="21">
        <v>2631</v>
      </c>
      <c r="I678" s="21">
        <v>978</v>
      </c>
      <c r="J678" s="21">
        <v>3565</v>
      </c>
      <c r="K678" s="21">
        <v>0</v>
      </c>
      <c r="L678" s="21">
        <v>77</v>
      </c>
      <c r="M678" s="21">
        <v>0.63639999999999997</v>
      </c>
      <c r="N678" s="21">
        <v>0.63639999999999997</v>
      </c>
      <c r="O678" s="21">
        <v>2.2700000000000001E-2</v>
      </c>
      <c r="P678" s="21">
        <v>500</v>
      </c>
      <c r="Q678" s="21">
        <v>0.19400000000000001</v>
      </c>
      <c r="R678" s="21">
        <v>87</v>
      </c>
      <c r="S678" s="21">
        <v>14</v>
      </c>
      <c r="T678" s="21">
        <v>0.10879999999999999</v>
      </c>
      <c r="U678" s="21">
        <v>0</v>
      </c>
      <c r="W678" s="21">
        <v>1069</v>
      </c>
      <c r="X678" s="21">
        <v>229</v>
      </c>
      <c r="Y678" s="21">
        <v>276</v>
      </c>
      <c r="Z678" s="21">
        <v>0.4</v>
      </c>
      <c r="AA678" s="21">
        <v>0.8</v>
      </c>
      <c r="AB678" s="21">
        <v>762</v>
      </c>
      <c r="AC678" s="21">
        <v>264</v>
      </c>
      <c r="AD678" s="21">
        <v>533</v>
      </c>
      <c r="AE678" s="21">
        <v>578</v>
      </c>
      <c r="AF678" s="21">
        <v>1.9013</v>
      </c>
      <c r="AG678" s="21">
        <v>0</v>
      </c>
      <c r="AH678" s="21">
        <v>0</v>
      </c>
      <c r="AI678" s="21">
        <v>0</v>
      </c>
      <c r="AJ678" s="21">
        <v>0</v>
      </c>
      <c r="AK678" s="21">
        <v>0</v>
      </c>
      <c r="AL678" s="21">
        <v>0</v>
      </c>
      <c r="AM678" s="21">
        <v>0</v>
      </c>
      <c r="AN678" s="21">
        <v>0</v>
      </c>
      <c r="AP678" s="21">
        <v>296</v>
      </c>
      <c r="AQ678" s="21">
        <v>30</v>
      </c>
      <c r="AR678" s="21">
        <v>24</v>
      </c>
      <c r="AS678" s="21">
        <v>6</v>
      </c>
      <c r="AU678" s="21">
        <v>0</v>
      </c>
      <c r="AV678" s="21">
        <v>0</v>
      </c>
    </row>
    <row r="679" spans="1:48" x14ac:dyDescent="0.15">
      <c r="A679" s="20" t="s">
        <v>0</v>
      </c>
      <c r="B679" s="20" t="s">
        <v>109</v>
      </c>
      <c r="C679" s="21">
        <v>195052</v>
      </c>
      <c r="D679" s="21">
        <v>11450</v>
      </c>
      <c r="E679" s="21">
        <v>74948</v>
      </c>
      <c r="F679" s="21">
        <v>281177</v>
      </c>
      <c r="G679" s="21">
        <v>29939</v>
      </c>
      <c r="H679" s="21">
        <v>102890</v>
      </c>
      <c r="I679" s="21">
        <v>9312</v>
      </c>
      <c r="J679" s="21">
        <v>63198</v>
      </c>
      <c r="K679" s="21">
        <v>64761</v>
      </c>
      <c r="L679" s="21">
        <v>4772</v>
      </c>
      <c r="M679" s="21">
        <v>0.60850000000000004</v>
      </c>
      <c r="N679" s="21">
        <v>0.5252</v>
      </c>
      <c r="O679" s="21">
        <v>0.1961</v>
      </c>
      <c r="P679" s="21">
        <v>11923</v>
      </c>
      <c r="Q679" s="21">
        <v>0.33460000000000001</v>
      </c>
      <c r="R679" s="21">
        <v>58</v>
      </c>
      <c r="S679" s="21">
        <v>24</v>
      </c>
      <c r="T679" s="21">
        <v>7.0300000000000001E-2</v>
      </c>
      <c r="U679" s="21">
        <v>5.3800000000000001E-2</v>
      </c>
      <c r="V679" s="21">
        <v>0.84279999999999999</v>
      </c>
      <c r="W679" s="21">
        <v>13716</v>
      </c>
      <c r="X679" s="21">
        <v>3218</v>
      </c>
      <c r="Y679" s="21">
        <v>3558</v>
      </c>
      <c r="Z679" s="21">
        <v>0.4</v>
      </c>
      <c r="AA679" s="21">
        <v>0.9</v>
      </c>
      <c r="AB679" s="21">
        <v>9246</v>
      </c>
      <c r="AC679" s="21">
        <v>5996</v>
      </c>
      <c r="AD679" s="21">
        <v>7498</v>
      </c>
      <c r="AE679" s="21">
        <v>4336</v>
      </c>
      <c r="AF679" s="21">
        <v>0.754</v>
      </c>
      <c r="AG679" s="21">
        <v>0</v>
      </c>
      <c r="AH679" s="21">
        <v>0</v>
      </c>
      <c r="AI679" s="21">
        <v>0.14729999999999999</v>
      </c>
      <c r="AJ679" s="21">
        <v>0.5615</v>
      </c>
      <c r="AK679" s="21">
        <v>0</v>
      </c>
      <c r="AL679" s="21">
        <v>0</v>
      </c>
      <c r="AM679" s="21">
        <v>0</v>
      </c>
      <c r="AN679" s="21">
        <v>0</v>
      </c>
      <c r="AO679" s="21">
        <v>0.61860000000000004</v>
      </c>
      <c r="AP679" s="21">
        <v>88121</v>
      </c>
      <c r="AQ679" s="21">
        <v>873</v>
      </c>
      <c r="AR679" s="21">
        <v>524</v>
      </c>
      <c r="AS679" s="21">
        <v>305</v>
      </c>
      <c r="AT679" s="21">
        <v>44</v>
      </c>
      <c r="AU679" s="21">
        <v>1011</v>
      </c>
      <c r="AV679" s="21">
        <v>350</v>
      </c>
    </row>
    <row r="680" spans="1:48" x14ac:dyDescent="0.15">
      <c r="A680" s="20" t="s">
        <v>54</v>
      </c>
      <c r="B680" s="20" t="s">
        <v>109</v>
      </c>
      <c r="C680" s="21">
        <v>2921</v>
      </c>
      <c r="D680" s="21">
        <v>51</v>
      </c>
      <c r="E680" s="21">
        <v>-311</v>
      </c>
      <c r="F680" s="21">
        <v>2661</v>
      </c>
      <c r="I680" s="21">
        <v>-274</v>
      </c>
      <c r="J680" s="21">
        <v>1901</v>
      </c>
      <c r="K680" s="21">
        <v>0</v>
      </c>
      <c r="L680" s="21">
        <v>240</v>
      </c>
      <c r="M680" s="21">
        <v>0.30559999999999998</v>
      </c>
      <c r="N680" s="21">
        <v>0.28970000000000001</v>
      </c>
      <c r="O680" s="21">
        <v>3.1699999999999999E-2</v>
      </c>
      <c r="P680" s="21">
        <v>1159</v>
      </c>
      <c r="Q680" s="21">
        <v>6.8199999999999997E-2</v>
      </c>
      <c r="R680" s="21">
        <v>11</v>
      </c>
      <c r="S680" s="21">
        <v>2</v>
      </c>
      <c r="T680" s="21">
        <v>0.158</v>
      </c>
      <c r="U680" s="21">
        <v>5.8999999999999999E-3</v>
      </c>
      <c r="AB680" s="21">
        <v>0</v>
      </c>
      <c r="AC680" s="21">
        <v>0</v>
      </c>
      <c r="AD680" s="21">
        <v>0</v>
      </c>
      <c r="AE680" s="21">
        <v>0</v>
      </c>
      <c r="AF680" s="21">
        <v>0</v>
      </c>
      <c r="AG680" s="21">
        <v>0</v>
      </c>
      <c r="AH680" s="21">
        <v>0</v>
      </c>
      <c r="AI680" s="21">
        <v>0</v>
      </c>
      <c r="AJ680" s="21">
        <v>0</v>
      </c>
      <c r="AK680" s="21">
        <v>0</v>
      </c>
      <c r="AL680" s="21">
        <v>0</v>
      </c>
      <c r="AM680" s="21">
        <v>0</v>
      </c>
      <c r="AN680" s="21">
        <v>0</v>
      </c>
      <c r="AP680" s="21">
        <v>11044</v>
      </c>
      <c r="AQ680" s="21">
        <v>14</v>
      </c>
      <c r="AR680" s="21">
        <v>3</v>
      </c>
      <c r="AS680" s="21">
        <v>11</v>
      </c>
      <c r="AU680" s="21">
        <v>0</v>
      </c>
      <c r="AV680" s="21">
        <v>0</v>
      </c>
    </row>
    <row r="681" spans="1:48" x14ac:dyDescent="0.15">
      <c r="A681" s="20" t="s">
        <v>55</v>
      </c>
      <c r="B681" s="20" t="s">
        <v>109</v>
      </c>
      <c r="C681" s="21">
        <v>0</v>
      </c>
      <c r="D681" s="21">
        <v>0</v>
      </c>
      <c r="E681" s="21">
        <v>0</v>
      </c>
      <c r="F681" s="21">
        <v>0</v>
      </c>
      <c r="AB681" s="21">
        <v>0</v>
      </c>
      <c r="AC681" s="21">
        <v>0</v>
      </c>
      <c r="AD681" s="21">
        <v>0</v>
      </c>
      <c r="AE681" s="21">
        <v>0</v>
      </c>
      <c r="AF681" s="21">
        <v>0</v>
      </c>
      <c r="AG681" s="21">
        <v>0</v>
      </c>
      <c r="AH681" s="21">
        <v>0</v>
      </c>
      <c r="AI681" s="21">
        <v>0</v>
      </c>
      <c r="AJ681" s="21">
        <v>0</v>
      </c>
      <c r="AK681" s="21">
        <v>0</v>
      </c>
      <c r="AL681" s="21">
        <v>0</v>
      </c>
      <c r="AM681" s="21">
        <v>0</v>
      </c>
      <c r="AN681" s="21">
        <v>0</v>
      </c>
      <c r="AU681" s="21">
        <v>0</v>
      </c>
      <c r="AV681" s="21">
        <v>0</v>
      </c>
    </row>
    <row r="682" spans="1:48" x14ac:dyDescent="0.15">
      <c r="A682" s="20" t="s">
        <v>56</v>
      </c>
      <c r="B682" s="20" t="s">
        <v>109</v>
      </c>
      <c r="C682" s="21">
        <v>4526</v>
      </c>
      <c r="D682" s="21">
        <v>144</v>
      </c>
      <c r="E682" s="21">
        <v>0</v>
      </c>
      <c r="F682" s="21">
        <v>4669</v>
      </c>
      <c r="H682" s="21">
        <v>1125</v>
      </c>
      <c r="J682" s="21">
        <v>2792</v>
      </c>
      <c r="K682" s="21">
        <v>35</v>
      </c>
      <c r="L682" s="21">
        <v>168</v>
      </c>
      <c r="M682" s="21">
        <v>0.5202</v>
      </c>
      <c r="N682" s="21">
        <v>0.31790000000000002</v>
      </c>
      <c r="O682" s="21">
        <v>0.2601</v>
      </c>
      <c r="P682" s="21">
        <v>668</v>
      </c>
      <c r="Q682" s="21">
        <v>0.17810000000000001</v>
      </c>
      <c r="R682" s="21">
        <v>28</v>
      </c>
      <c r="S682" s="21">
        <v>7</v>
      </c>
      <c r="T682" s="21">
        <v>3.4599999999999999E-2</v>
      </c>
      <c r="U682" s="21">
        <v>2.7099999999999999E-2</v>
      </c>
      <c r="W682" s="21">
        <v>19</v>
      </c>
      <c r="X682" s="21">
        <v>8</v>
      </c>
      <c r="Y682" s="21">
        <v>10</v>
      </c>
      <c r="Z682" s="21">
        <v>0.1</v>
      </c>
      <c r="AA682" s="21">
        <v>0.8</v>
      </c>
      <c r="AB682" s="21">
        <v>56</v>
      </c>
      <c r="AC682" s="21">
        <v>56</v>
      </c>
      <c r="AD682" s="21">
        <v>76</v>
      </c>
      <c r="AE682" s="21">
        <v>3</v>
      </c>
      <c r="AF682" s="21">
        <v>3.09E-2</v>
      </c>
      <c r="AG682" s="21">
        <v>0</v>
      </c>
      <c r="AH682" s="21">
        <v>0</v>
      </c>
      <c r="AI682" s="21">
        <v>0.1111</v>
      </c>
      <c r="AJ682" s="21">
        <v>0.14810000000000001</v>
      </c>
      <c r="AK682" s="21">
        <v>0</v>
      </c>
      <c r="AL682" s="21">
        <v>0</v>
      </c>
      <c r="AM682" s="21">
        <v>0</v>
      </c>
      <c r="AN682" s="21">
        <v>0</v>
      </c>
      <c r="AP682" s="21">
        <v>61148</v>
      </c>
      <c r="AQ682" s="21">
        <v>36</v>
      </c>
      <c r="AR682" s="21">
        <v>28</v>
      </c>
      <c r="AS682" s="21">
        <v>8</v>
      </c>
      <c r="AU682" s="21">
        <v>1</v>
      </c>
      <c r="AV682" s="21">
        <v>0</v>
      </c>
    </row>
    <row r="683" spans="1:48" x14ac:dyDescent="0.15">
      <c r="A683" s="20" t="s">
        <v>57</v>
      </c>
      <c r="B683" s="20" t="s">
        <v>109</v>
      </c>
      <c r="C683" s="21">
        <v>42466</v>
      </c>
      <c r="D683" s="21">
        <v>2985</v>
      </c>
      <c r="E683" s="21">
        <v>650</v>
      </c>
      <c r="F683" s="21">
        <v>45848</v>
      </c>
      <c r="G683" s="21">
        <v>9961</v>
      </c>
      <c r="H683" s="21">
        <v>12750</v>
      </c>
      <c r="I683" s="21">
        <v>2560</v>
      </c>
      <c r="J683" s="21">
        <v>19832</v>
      </c>
      <c r="K683" s="21">
        <v>667</v>
      </c>
      <c r="L683" s="21">
        <v>431</v>
      </c>
      <c r="M683" s="21">
        <v>0.64329999999999998</v>
      </c>
      <c r="N683" s="21">
        <v>0.50339999999999996</v>
      </c>
      <c r="O683" s="21">
        <v>0.2009</v>
      </c>
      <c r="P683" s="21">
        <v>619</v>
      </c>
      <c r="Q683" s="21">
        <v>0.52180000000000004</v>
      </c>
      <c r="R683" s="21">
        <v>106</v>
      </c>
      <c r="S683" s="21">
        <v>74</v>
      </c>
      <c r="T683" s="21">
        <v>5.3499999999999999E-2</v>
      </c>
      <c r="U683" s="21">
        <v>4.99E-2</v>
      </c>
      <c r="V683" s="21">
        <v>0.85419999999999996</v>
      </c>
      <c r="W683" s="21">
        <v>243</v>
      </c>
      <c r="X683" s="21">
        <v>116</v>
      </c>
      <c r="Y683" s="21">
        <v>150</v>
      </c>
      <c r="Z683" s="21">
        <v>0.2</v>
      </c>
      <c r="AA683" s="21">
        <v>0.8</v>
      </c>
      <c r="AB683" s="21">
        <v>1119</v>
      </c>
      <c r="AC683" s="21">
        <v>360</v>
      </c>
      <c r="AD683" s="21">
        <v>714</v>
      </c>
      <c r="AE683" s="21">
        <v>814</v>
      </c>
      <c r="AF683" s="21">
        <v>2.6429</v>
      </c>
      <c r="AG683" s="21">
        <v>0</v>
      </c>
      <c r="AH683" s="21">
        <v>0</v>
      </c>
      <c r="AI683" s="21">
        <v>0</v>
      </c>
      <c r="AJ683" s="21">
        <v>0.88890000000000002</v>
      </c>
      <c r="AK683" s="21">
        <v>0</v>
      </c>
      <c r="AL683" s="21">
        <v>0</v>
      </c>
      <c r="AM683" s="21">
        <v>0</v>
      </c>
      <c r="AN683" s="21">
        <v>0</v>
      </c>
      <c r="AO683" s="21">
        <v>0.69179999999999997</v>
      </c>
      <c r="AP683" s="21">
        <v>1596</v>
      </c>
      <c r="AQ683" s="21">
        <v>236</v>
      </c>
      <c r="AR683" s="21">
        <v>70</v>
      </c>
      <c r="AS683" s="21">
        <v>146</v>
      </c>
      <c r="AT683" s="21">
        <v>20</v>
      </c>
      <c r="AU683" s="21">
        <v>690</v>
      </c>
      <c r="AV683" s="21">
        <v>89</v>
      </c>
    </row>
    <row r="684" spans="1:48" x14ac:dyDescent="0.15">
      <c r="A684" s="20" t="s">
        <v>58</v>
      </c>
      <c r="B684" s="20" t="s">
        <v>109</v>
      </c>
      <c r="C684" s="21">
        <v>17176</v>
      </c>
      <c r="D684" s="21">
        <v>512</v>
      </c>
      <c r="E684" s="21">
        <v>3341</v>
      </c>
      <c r="F684" s="21">
        <v>21030</v>
      </c>
      <c r="G684" s="21">
        <v>2944</v>
      </c>
      <c r="H684" s="21">
        <v>14913</v>
      </c>
      <c r="J684" s="21">
        <v>-8</v>
      </c>
      <c r="K684" s="21">
        <v>3180</v>
      </c>
      <c r="L684" s="21">
        <v>234</v>
      </c>
      <c r="M684" s="21">
        <v>0.76759999999999995</v>
      </c>
      <c r="N684" s="21">
        <v>0.74270000000000003</v>
      </c>
      <c r="O684" s="21">
        <v>0.2324</v>
      </c>
      <c r="P684" s="21">
        <v>708</v>
      </c>
      <c r="Q684" s="21">
        <v>0.45760000000000001</v>
      </c>
      <c r="R684" s="21">
        <v>89</v>
      </c>
      <c r="S684" s="21">
        <v>30</v>
      </c>
      <c r="T684" s="21">
        <v>0.14610000000000001</v>
      </c>
      <c r="U684" s="21">
        <v>9.9000000000000008E-3</v>
      </c>
      <c r="W684" s="21">
        <v>796</v>
      </c>
      <c r="X684" s="21">
        <v>305</v>
      </c>
      <c r="Y684" s="21">
        <v>387</v>
      </c>
      <c r="Z684" s="21">
        <v>0.5</v>
      </c>
      <c r="AA684" s="21">
        <v>0.8</v>
      </c>
      <c r="AB684" s="21">
        <v>533</v>
      </c>
      <c r="AC684" s="21">
        <v>533</v>
      </c>
      <c r="AD684" s="21">
        <v>568</v>
      </c>
      <c r="AE684" s="21">
        <v>57</v>
      </c>
      <c r="AF684" s="21">
        <v>9.4500000000000001E-2</v>
      </c>
      <c r="AG684" s="21">
        <v>0</v>
      </c>
      <c r="AH684" s="21">
        <v>0</v>
      </c>
      <c r="AI684" s="21">
        <v>0.21740000000000001</v>
      </c>
      <c r="AJ684" s="21">
        <v>0.44440000000000002</v>
      </c>
      <c r="AK684" s="21">
        <v>0</v>
      </c>
      <c r="AL684" s="21">
        <v>0</v>
      </c>
      <c r="AM684" s="21">
        <v>0</v>
      </c>
      <c r="AN684" s="21">
        <v>0</v>
      </c>
      <c r="AP684" s="21">
        <v>1294</v>
      </c>
      <c r="AQ684" s="21">
        <v>57</v>
      </c>
      <c r="AR684" s="21">
        <v>46</v>
      </c>
      <c r="AS684" s="21">
        <v>11</v>
      </c>
      <c r="AU684" s="21">
        <v>0</v>
      </c>
      <c r="AV684" s="21">
        <v>0</v>
      </c>
    </row>
    <row r="685" spans="1:48" x14ac:dyDescent="0.15">
      <c r="A685" s="20" t="s">
        <v>59</v>
      </c>
      <c r="B685" s="20" t="s">
        <v>109</v>
      </c>
      <c r="C685" s="21">
        <v>1863</v>
      </c>
      <c r="D685" s="21">
        <v>0</v>
      </c>
      <c r="E685" s="21">
        <v>4919</v>
      </c>
      <c r="F685" s="21">
        <v>6782</v>
      </c>
      <c r="I685" s="21">
        <v>2974</v>
      </c>
      <c r="J685" s="21">
        <v>3809</v>
      </c>
      <c r="K685" s="21">
        <v>0</v>
      </c>
      <c r="L685" s="21">
        <v>106</v>
      </c>
      <c r="M685" s="21">
        <v>0.65180000000000005</v>
      </c>
      <c r="N685" s="21">
        <v>0.65180000000000005</v>
      </c>
      <c r="O685" s="21">
        <v>0</v>
      </c>
      <c r="P685" s="21">
        <v>877</v>
      </c>
      <c r="Q685" s="21">
        <v>0.16650000000000001</v>
      </c>
      <c r="R685" s="21">
        <v>65</v>
      </c>
      <c r="S685" s="21">
        <v>8</v>
      </c>
      <c r="T685" s="21">
        <v>6.3100000000000003E-2</v>
      </c>
      <c r="U685" s="21">
        <v>1.9E-3</v>
      </c>
      <c r="AB685" s="21">
        <v>0</v>
      </c>
      <c r="AC685" s="21">
        <v>0</v>
      </c>
      <c r="AD685" s="21">
        <v>0</v>
      </c>
      <c r="AE685" s="21">
        <v>0</v>
      </c>
      <c r="AF685" s="21">
        <v>0</v>
      </c>
      <c r="AG685" s="21">
        <v>0</v>
      </c>
      <c r="AH685" s="21">
        <v>0</v>
      </c>
      <c r="AI685" s="21">
        <v>0</v>
      </c>
      <c r="AJ685" s="21">
        <v>0</v>
      </c>
      <c r="AK685" s="21">
        <v>0</v>
      </c>
      <c r="AL685" s="21">
        <v>0</v>
      </c>
      <c r="AM685" s="21">
        <v>0</v>
      </c>
      <c r="AN685" s="21">
        <v>0</v>
      </c>
      <c r="AP685" s="21">
        <v>0</v>
      </c>
      <c r="AQ685" s="21">
        <v>0</v>
      </c>
      <c r="AS685" s="21">
        <v>0</v>
      </c>
      <c r="AU685" s="21">
        <v>0</v>
      </c>
      <c r="AV685" s="21">
        <v>0</v>
      </c>
    </row>
    <row r="686" spans="1:48" x14ac:dyDescent="0.15">
      <c r="A686" s="20" t="s">
        <v>60</v>
      </c>
      <c r="B686" s="20" t="s">
        <v>109</v>
      </c>
      <c r="C686" s="21">
        <v>9488</v>
      </c>
      <c r="D686" s="21">
        <v>1407</v>
      </c>
      <c r="E686" s="21">
        <v>2032</v>
      </c>
      <c r="F686" s="21">
        <v>12926</v>
      </c>
      <c r="G686" s="21">
        <v>962</v>
      </c>
      <c r="H686" s="21">
        <v>5706</v>
      </c>
      <c r="I686" s="21">
        <v>1057</v>
      </c>
      <c r="J686" s="21">
        <v>3138</v>
      </c>
      <c r="K686" s="21">
        <v>2063</v>
      </c>
      <c r="L686" s="21">
        <v>275</v>
      </c>
      <c r="M686" s="21">
        <v>0.56789999999999996</v>
      </c>
      <c r="N686" s="21">
        <v>0.4143</v>
      </c>
      <c r="O686" s="21">
        <v>0.2571</v>
      </c>
      <c r="P686" s="21">
        <v>301</v>
      </c>
      <c r="Q686" s="21">
        <v>0.54490000000000005</v>
      </c>
      <c r="R686" s="21">
        <v>47</v>
      </c>
      <c r="S686" s="21">
        <v>43</v>
      </c>
      <c r="T686" s="21">
        <v>5.1799999999999999E-2</v>
      </c>
      <c r="U686" s="21">
        <v>4.07E-2</v>
      </c>
      <c r="V686" s="21">
        <v>0.75160000000000005</v>
      </c>
      <c r="W686" s="21">
        <v>3225</v>
      </c>
      <c r="X686" s="21">
        <v>565</v>
      </c>
      <c r="Y686" s="21">
        <v>327</v>
      </c>
      <c r="Z686" s="21">
        <v>0.7</v>
      </c>
      <c r="AA686" s="21">
        <v>1.7</v>
      </c>
      <c r="AB686" s="21">
        <v>1404</v>
      </c>
      <c r="AC686" s="21">
        <v>408</v>
      </c>
      <c r="AD686" s="21">
        <v>858</v>
      </c>
      <c r="AE686" s="21">
        <v>1120</v>
      </c>
      <c r="AF686" s="21">
        <v>3.5783</v>
      </c>
      <c r="AG686" s="21">
        <v>0</v>
      </c>
      <c r="AH686" s="21">
        <v>0</v>
      </c>
      <c r="AI686" s="21">
        <v>0.2</v>
      </c>
      <c r="AJ686" s="21">
        <v>0.44440000000000002</v>
      </c>
      <c r="AK686" s="21">
        <v>0</v>
      </c>
      <c r="AL686" s="21">
        <v>0</v>
      </c>
      <c r="AM686" s="21">
        <v>0</v>
      </c>
      <c r="AN686" s="21">
        <v>0</v>
      </c>
      <c r="AO686" s="21">
        <v>0.2475</v>
      </c>
      <c r="AP686" s="21">
        <v>731</v>
      </c>
      <c r="AQ686" s="21">
        <v>38</v>
      </c>
      <c r="AR686" s="21">
        <v>25</v>
      </c>
      <c r="AS686" s="21">
        <v>12</v>
      </c>
      <c r="AU686" s="21">
        <v>3</v>
      </c>
      <c r="AV686" s="21">
        <v>0</v>
      </c>
    </row>
    <row r="687" spans="1:48" x14ac:dyDescent="0.15">
      <c r="A687" s="20" t="s">
        <v>61</v>
      </c>
      <c r="B687" s="20" t="s">
        <v>109</v>
      </c>
      <c r="C687" s="21">
        <v>5269</v>
      </c>
      <c r="D687" s="21">
        <v>507</v>
      </c>
      <c r="E687" s="21">
        <v>723</v>
      </c>
      <c r="F687" s="21">
        <v>6499</v>
      </c>
      <c r="G687" s="21">
        <v>945</v>
      </c>
      <c r="H687" s="21">
        <v>2925</v>
      </c>
      <c r="I687" s="21">
        <v>230</v>
      </c>
      <c r="J687" s="21">
        <v>1423</v>
      </c>
      <c r="K687" s="21">
        <v>974</v>
      </c>
      <c r="L687" s="21">
        <v>163</v>
      </c>
      <c r="M687" s="21">
        <v>0.54069999999999996</v>
      </c>
      <c r="N687" s="21">
        <v>0.39529999999999998</v>
      </c>
      <c r="O687" s="21">
        <v>0.30230000000000001</v>
      </c>
      <c r="P687" s="21">
        <v>174</v>
      </c>
      <c r="Q687" s="21">
        <v>0.63219999999999998</v>
      </c>
      <c r="R687" s="21">
        <v>39</v>
      </c>
      <c r="S687" s="21">
        <v>37</v>
      </c>
      <c r="T687" s="21">
        <v>6.5500000000000003E-2</v>
      </c>
      <c r="U687" s="21">
        <v>6.9099999999999995E-2</v>
      </c>
      <c r="V687" s="21">
        <v>0.86329999999999996</v>
      </c>
      <c r="W687" s="21">
        <v>394</v>
      </c>
      <c r="X687" s="21">
        <v>81</v>
      </c>
      <c r="Y687" s="21">
        <v>36</v>
      </c>
      <c r="Z687" s="21">
        <v>0.2</v>
      </c>
      <c r="AA687" s="21">
        <v>2.2000000000000002</v>
      </c>
      <c r="AB687" s="21">
        <v>516</v>
      </c>
      <c r="AC687" s="21">
        <v>162</v>
      </c>
      <c r="AD687" s="21">
        <v>330</v>
      </c>
      <c r="AE687" s="21">
        <v>375</v>
      </c>
      <c r="AF687" s="21">
        <v>2.6042000000000001</v>
      </c>
      <c r="AG687" s="21">
        <v>0</v>
      </c>
      <c r="AH687" s="21">
        <v>0</v>
      </c>
      <c r="AI687" s="21">
        <v>7.6899999999999996E-2</v>
      </c>
      <c r="AJ687" s="21">
        <v>0.83330000000000004</v>
      </c>
      <c r="AK687" s="21">
        <v>0</v>
      </c>
      <c r="AL687" s="21">
        <v>0</v>
      </c>
      <c r="AM687" s="21">
        <v>0</v>
      </c>
      <c r="AN687" s="21">
        <v>0</v>
      </c>
      <c r="AP687" s="21">
        <v>5199</v>
      </c>
      <c r="AQ687" s="21">
        <v>35</v>
      </c>
      <c r="AR687" s="21">
        <v>24</v>
      </c>
      <c r="AS687" s="21">
        <v>11</v>
      </c>
      <c r="AU687" s="21">
        <v>31</v>
      </c>
      <c r="AV687" s="21">
        <v>0</v>
      </c>
    </row>
    <row r="688" spans="1:48" x14ac:dyDescent="0.15">
      <c r="A688" s="20" t="s">
        <v>48</v>
      </c>
      <c r="B688" s="20" t="s">
        <v>110</v>
      </c>
      <c r="C688" s="21">
        <v>33842</v>
      </c>
      <c r="D688" s="21">
        <v>1430</v>
      </c>
      <c r="E688" s="21">
        <v>3047</v>
      </c>
      <c r="F688" s="21">
        <v>38318</v>
      </c>
      <c r="G688" s="21">
        <v>7529</v>
      </c>
      <c r="H688" s="21">
        <v>11956</v>
      </c>
      <c r="I688" s="21">
        <v>1189</v>
      </c>
      <c r="J688" s="21">
        <v>5580</v>
      </c>
      <c r="K688" s="21">
        <v>4053</v>
      </c>
      <c r="L688" s="21">
        <v>413</v>
      </c>
      <c r="M688" s="21">
        <v>0.68149999999999999</v>
      </c>
      <c r="N688" s="21">
        <v>0.61919999999999997</v>
      </c>
      <c r="O688" s="21">
        <v>0.1804</v>
      </c>
      <c r="P688" s="21">
        <v>865</v>
      </c>
      <c r="Q688" s="21">
        <v>0.50170000000000003</v>
      </c>
      <c r="R688" s="21">
        <v>90</v>
      </c>
      <c r="S688" s="21">
        <v>44</v>
      </c>
      <c r="T688" s="21">
        <v>5.4399999999999997E-2</v>
      </c>
      <c r="U688" s="21">
        <v>4.1799999999999997E-2</v>
      </c>
      <c r="V688" s="21">
        <v>0.78129999999999999</v>
      </c>
      <c r="W688" s="21">
        <v>221</v>
      </c>
      <c r="X688" s="21">
        <v>84</v>
      </c>
      <c r="Y688" s="21">
        <v>109</v>
      </c>
      <c r="Z688" s="21">
        <v>0.2</v>
      </c>
      <c r="AA688" s="21">
        <v>0.8</v>
      </c>
      <c r="AB688" s="21">
        <v>430</v>
      </c>
      <c r="AC688" s="21">
        <v>430</v>
      </c>
      <c r="AD688" s="21">
        <v>442</v>
      </c>
      <c r="AE688" s="21">
        <v>18</v>
      </c>
      <c r="AF688" s="21">
        <v>3.9600000000000003E-2</v>
      </c>
      <c r="AG688" s="21">
        <v>0</v>
      </c>
      <c r="AH688" s="21">
        <v>0</v>
      </c>
      <c r="AI688" s="21">
        <v>0</v>
      </c>
      <c r="AJ688" s="21">
        <v>1</v>
      </c>
      <c r="AK688" s="21">
        <v>0</v>
      </c>
      <c r="AL688" s="21">
        <v>0</v>
      </c>
      <c r="AM688" s="21">
        <v>0</v>
      </c>
      <c r="AN688" s="21">
        <v>0</v>
      </c>
      <c r="AO688" s="21">
        <v>0.84840000000000004</v>
      </c>
      <c r="AP688" s="21">
        <v>40</v>
      </c>
      <c r="AQ688" s="21">
        <v>40</v>
      </c>
      <c r="AR688" s="21">
        <v>36</v>
      </c>
      <c r="AS688" s="21">
        <v>4</v>
      </c>
      <c r="AT688" s="21">
        <v>0</v>
      </c>
      <c r="AU688" s="21">
        <v>3</v>
      </c>
      <c r="AV688" s="21">
        <v>26</v>
      </c>
    </row>
    <row r="689" spans="1:48" x14ac:dyDescent="0.15">
      <c r="A689" s="20" t="s">
        <v>50</v>
      </c>
      <c r="B689" s="20" t="s">
        <v>110</v>
      </c>
      <c r="C689" s="21">
        <v>45900</v>
      </c>
      <c r="D689" s="21">
        <v>348</v>
      </c>
      <c r="E689" s="21">
        <v>14517</v>
      </c>
      <c r="F689" s="21">
        <v>60764</v>
      </c>
      <c r="G689" s="21">
        <v>7969</v>
      </c>
      <c r="H689" s="21">
        <v>24179</v>
      </c>
      <c r="I689" s="21">
        <v>0</v>
      </c>
      <c r="J689" s="21">
        <v>9378</v>
      </c>
      <c r="K689" s="21">
        <v>15216</v>
      </c>
      <c r="L689" s="21">
        <v>428</v>
      </c>
      <c r="M689" s="21">
        <v>0.76910000000000001</v>
      </c>
      <c r="N689" s="21">
        <v>0.76459999999999995</v>
      </c>
      <c r="O689" s="21">
        <v>8.9700000000000002E-2</v>
      </c>
      <c r="P689" s="21">
        <v>928</v>
      </c>
      <c r="Q689" s="21">
        <v>0.52690000000000003</v>
      </c>
      <c r="R689" s="21">
        <v>139</v>
      </c>
      <c r="S689" s="21">
        <v>65</v>
      </c>
      <c r="T689" s="21">
        <v>6.93E-2</v>
      </c>
      <c r="U689" s="21">
        <v>4.8899999999999999E-2</v>
      </c>
      <c r="V689" s="21">
        <v>0.96860000000000002</v>
      </c>
      <c r="W689" s="21">
        <v>171</v>
      </c>
      <c r="X689" s="21">
        <v>114</v>
      </c>
      <c r="Y689" s="21">
        <v>155</v>
      </c>
      <c r="Z689" s="21">
        <v>0.4</v>
      </c>
      <c r="AA689" s="21">
        <v>0.7</v>
      </c>
      <c r="AB689" s="21">
        <v>296</v>
      </c>
      <c r="AC689" s="21">
        <v>295</v>
      </c>
      <c r="AD689" s="21">
        <v>284</v>
      </c>
      <c r="AE689" s="21">
        <v>48</v>
      </c>
      <c r="AF689" s="21">
        <v>0.17649999999999999</v>
      </c>
      <c r="AG689" s="21">
        <v>0</v>
      </c>
      <c r="AH689" s="21">
        <v>0</v>
      </c>
      <c r="AI689" s="21">
        <v>0</v>
      </c>
      <c r="AJ689" s="21">
        <v>0</v>
      </c>
      <c r="AK689" s="21">
        <v>0</v>
      </c>
      <c r="AL689" s="21">
        <v>0</v>
      </c>
      <c r="AM689" s="21">
        <v>0</v>
      </c>
      <c r="AN689" s="21">
        <v>0</v>
      </c>
      <c r="AO689" s="21">
        <v>0.65759999999999996</v>
      </c>
      <c r="AP689" s="21">
        <v>112</v>
      </c>
      <c r="AQ689" s="21">
        <v>112</v>
      </c>
      <c r="AR689" s="21">
        <v>106</v>
      </c>
      <c r="AS689" s="21">
        <v>1</v>
      </c>
      <c r="AT689" s="21">
        <v>5</v>
      </c>
      <c r="AU689" s="21">
        <v>13</v>
      </c>
      <c r="AV689" s="21">
        <v>29</v>
      </c>
    </row>
    <row r="690" spans="1:48" x14ac:dyDescent="0.15">
      <c r="A690" s="20" t="s">
        <v>51</v>
      </c>
      <c r="B690" s="20" t="s">
        <v>110</v>
      </c>
      <c r="C690" s="21">
        <v>59348</v>
      </c>
      <c r="D690" s="21">
        <v>3453</v>
      </c>
      <c r="E690" s="21">
        <v>15673</v>
      </c>
      <c r="F690" s="21">
        <v>78471</v>
      </c>
      <c r="G690" s="21">
        <v>4404</v>
      </c>
      <c r="H690" s="21">
        <v>26626</v>
      </c>
      <c r="I690" s="21">
        <v>1866</v>
      </c>
      <c r="J690" s="21">
        <v>19858</v>
      </c>
      <c r="K690" s="21">
        <v>25311</v>
      </c>
      <c r="L690" s="21">
        <v>1661</v>
      </c>
      <c r="M690" s="21">
        <v>0.66839999999999999</v>
      </c>
      <c r="N690" s="21">
        <v>0.58979999999999999</v>
      </c>
      <c r="O690" s="21">
        <v>0.21279999999999999</v>
      </c>
      <c r="P690" s="21">
        <v>3384</v>
      </c>
      <c r="Q690" s="21">
        <v>0.47870000000000001</v>
      </c>
      <c r="R690" s="21">
        <v>47</v>
      </c>
      <c r="S690" s="21">
        <v>23</v>
      </c>
      <c r="T690" s="21">
        <v>0.1129</v>
      </c>
      <c r="U690" s="21">
        <v>7.0999999999999994E-2</v>
      </c>
      <c r="V690" s="21">
        <v>0.80940000000000001</v>
      </c>
      <c r="W690" s="21">
        <v>3275</v>
      </c>
      <c r="X690" s="21">
        <v>1477</v>
      </c>
      <c r="Y690" s="21">
        <v>2422</v>
      </c>
      <c r="Z690" s="21">
        <v>0.4</v>
      </c>
      <c r="AA690" s="21">
        <v>0.6</v>
      </c>
      <c r="AB690" s="21">
        <v>4542</v>
      </c>
      <c r="AC690" s="21">
        <v>3996</v>
      </c>
      <c r="AD690" s="21">
        <v>4076</v>
      </c>
      <c r="AE690" s="21">
        <v>1483</v>
      </c>
      <c r="AF690" s="21">
        <v>0.41070000000000001</v>
      </c>
      <c r="AG690" s="21">
        <v>0</v>
      </c>
      <c r="AH690" s="21">
        <v>0</v>
      </c>
      <c r="AI690" s="21">
        <v>0.1236</v>
      </c>
      <c r="AJ690" s="21">
        <v>0.56759999999999999</v>
      </c>
      <c r="AK690" s="21">
        <v>0</v>
      </c>
      <c r="AL690" s="21">
        <v>0</v>
      </c>
      <c r="AM690" s="21">
        <v>0</v>
      </c>
      <c r="AN690" s="21">
        <v>0</v>
      </c>
      <c r="AO690" s="21">
        <v>0.63719999999999999</v>
      </c>
      <c r="AP690" s="21">
        <v>115</v>
      </c>
      <c r="AQ690" s="21">
        <v>125</v>
      </c>
      <c r="AR690" s="21">
        <v>81</v>
      </c>
      <c r="AS690" s="21">
        <v>36</v>
      </c>
      <c r="AT690" s="21">
        <v>9</v>
      </c>
      <c r="AU690" s="21">
        <v>110</v>
      </c>
      <c r="AV690" s="21">
        <v>40</v>
      </c>
    </row>
    <row r="691" spans="1:48" x14ac:dyDescent="0.15">
      <c r="A691" s="20" t="s">
        <v>52</v>
      </c>
      <c r="B691" s="20" t="s">
        <v>110</v>
      </c>
      <c r="C691" s="21">
        <v>43510</v>
      </c>
      <c r="D691" s="21">
        <v>301</v>
      </c>
      <c r="E691" s="21">
        <v>16350</v>
      </c>
      <c r="F691" s="21">
        <v>60161</v>
      </c>
      <c r="G691" s="21">
        <v>15132</v>
      </c>
      <c r="H691" s="21">
        <v>7425</v>
      </c>
      <c r="I691" s="21">
        <v>0</v>
      </c>
      <c r="J691" s="21">
        <v>20140</v>
      </c>
      <c r="K691" s="21">
        <v>17462</v>
      </c>
      <c r="L691" s="21">
        <v>493</v>
      </c>
      <c r="M691" s="21">
        <v>0.70289999999999997</v>
      </c>
      <c r="N691" s="21">
        <v>0.69899999999999995</v>
      </c>
      <c r="O691" s="21">
        <v>7.3800000000000004E-2</v>
      </c>
      <c r="P691" s="21">
        <v>1626</v>
      </c>
      <c r="Q691" s="21">
        <v>0.31979999999999997</v>
      </c>
      <c r="R691" s="21">
        <v>119</v>
      </c>
      <c r="S691" s="21">
        <v>37</v>
      </c>
      <c r="T691" s="21">
        <v>5.67E-2</v>
      </c>
      <c r="U691" s="21">
        <v>5.4699999999999999E-2</v>
      </c>
      <c r="V691" s="21">
        <v>0.78620000000000001</v>
      </c>
      <c r="W691" s="21">
        <v>592</v>
      </c>
      <c r="X691" s="21">
        <v>265</v>
      </c>
      <c r="Y691" s="21">
        <v>181</v>
      </c>
      <c r="Z691" s="21">
        <v>0.5</v>
      </c>
      <c r="AA691" s="21">
        <v>1.5</v>
      </c>
      <c r="AB691" s="21">
        <v>650</v>
      </c>
      <c r="AC691" s="21">
        <v>525</v>
      </c>
      <c r="AD691" s="21">
        <v>584</v>
      </c>
      <c r="AE691" s="21">
        <v>175</v>
      </c>
      <c r="AF691" s="21">
        <v>0.3372</v>
      </c>
      <c r="AG691" s="21">
        <v>0</v>
      </c>
      <c r="AH691" s="21">
        <v>0</v>
      </c>
      <c r="AI691" s="21">
        <v>7.6899999999999996E-2</v>
      </c>
      <c r="AJ691" s="21">
        <v>0</v>
      </c>
      <c r="AK691" s="21">
        <v>0</v>
      </c>
      <c r="AL691" s="21">
        <v>0</v>
      </c>
      <c r="AM691" s="21">
        <v>0</v>
      </c>
      <c r="AN691" s="21">
        <v>0</v>
      </c>
      <c r="AO691" s="21">
        <v>0.86709999999999998</v>
      </c>
      <c r="AP691" s="21">
        <v>23</v>
      </c>
      <c r="AQ691" s="21">
        <v>38</v>
      </c>
      <c r="AR691" s="21">
        <v>26</v>
      </c>
      <c r="AS691" s="21">
        <v>13</v>
      </c>
      <c r="AU691" s="21">
        <v>79</v>
      </c>
      <c r="AV691" s="21">
        <v>153</v>
      </c>
    </row>
    <row r="692" spans="1:48" x14ac:dyDescent="0.15">
      <c r="A692" s="20" t="s">
        <v>53</v>
      </c>
      <c r="B692" s="20" t="s">
        <v>110</v>
      </c>
      <c r="C692" s="21">
        <v>834</v>
      </c>
      <c r="D692" s="21">
        <v>8</v>
      </c>
      <c r="E692" s="21">
        <v>-21</v>
      </c>
      <c r="F692" s="21">
        <v>821</v>
      </c>
      <c r="H692" s="21">
        <v>372</v>
      </c>
      <c r="I692" s="21">
        <v>-11</v>
      </c>
      <c r="J692" s="21">
        <v>460</v>
      </c>
      <c r="K692" s="21">
        <v>0</v>
      </c>
      <c r="L692" s="21">
        <v>77</v>
      </c>
      <c r="M692" s="21">
        <v>0.22220000000000001</v>
      </c>
      <c r="N692" s="21">
        <v>0.22220000000000001</v>
      </c>
      <c r="O692" s="21">
        <v>3.6999999999999998E-2</v>
      </c>
      <c r="P692" s="21">
        <v>500</v>
      </c>
      <c r="Q692" s="21">
        <v>3.7999999999999999E-2</v>
      </c>
      <c r="R692" s="21">
        <v>11</v>
      </c>
      <c r="S692" s="21">
        <v>2</v>
      </c>
      <c r="T692" s="21">
        <v>7.1300000000000002E-2</v>
      </c>
      <c r="U692" s="21">
        <v>0</v>
      </c>
      <c r="W692" s="21">
        <v>463</v>
      </c>
      <c r="X692" s="21">
        <v>251</v>
      </c>
      <c r="Y692" s="21">
        <v>377</v>
      </c>
      <c r="Z692" s="21">
        <v>0.4</v>
      </c>
      <c r="AA692" s="21">
        <v>0.7</v>
      </c>
      <c r="AB692" s="21">
        <v>645</v>
      </c>
      <c r="AC692" s="21">
        <v>645</v>
      </c>
      <c r="AD692" s="21">
        <v>704</v>
      </c>
      <c r="AE692" s="21">
        <v>68</v>
      </c>
      <c r="AF692" s="21">
        <v>8.9200000000000002E-2</v>
      </c>
      <c r="AG692" s="21">
        <v>0</v>
      </c>
      <c r="AH692" s="21">
        <v>0</v>
      </c>
      <c r="AI692" s="21">
        <v>0</v>
      </c>
      <c r="AJ692" s="21">
        <v>0</v>
      </c>
      <c r="AK692" s="21">
        <v>0</v>
      </c>
      <c r="AL692" s="21">
        <v>0</v>
      </c>
      <c r="AM692" s="21">
        <v>0</v>
      </c>
      <c r="AN692" s="21">
        <v>0</v>
      </c>
      <c r="AP692" s="21">
        <v>10</v>
      </c>
      <c r="AQ692" s="21">
        <v>16</v>
      </c>
      <c r="AR692" s="21">
        <v>7</v>
      </c>
      <c r="AS692" s="21">
        <v>9</v>
      </c>
      <c r="AU692" s="21">
        <v>0</v>
      </c>
      <c r="AV692" s="21">
        <v>0</v>
      </c>
    </row>
    <row r="693" spans="1:48" x14ac:dyDescent="0.15">
      <c r="A693" s="20" t="s">
        <v>0</v>
      </c>
      <c r="B693" s="20" t="s">
        <v>110</v>
      </c>
      <c r="C693" s="21">
        <v>367650</v>
      </c>
      <c r="D693" s="21">
        <v>12316</v>
      </c>
      <c r="E693" s="21">
        <v>83050</v>
      </c>
      <c r="F693" s="21">
        <v>462927</v>
      </c>
      <c r="G693" s="21">
        <v>59975</v>
      </c>
      <c r="H693" s="21">
        <v>107435</v>
      </c>
      <c r="I693" s="21">
        <v>8520</v>
      </c>
      <c r="J693" s="21">
        <v>115663</v>
      </c>
      <c r="K693" s="21">
        <v>156448</v>
      </c>
      <c r="L693" s="21">
        <v>4690</v>
      </c>
      <c r="M693" s="21">
        <v>0.68140000000000001</v>
      </c>
      <c r="N693" s="21">
        <v>0.61839999999999995</v>
      </c>
      <c r="O693" s="21">
        <v>0.1638</v>
      </c>
      <c r="P693" s="21">
        <v>12056</v>
      </c>
      <c r="Q693" s="21">
        <v>0.45319999999999999</v>
      </c>
      <c r="R693" s="21">
        <v>98</v>
      </c>
      <c r="S693" s="21">
        <v>38</v>
      </c>
      <c r="T693" s="21">
        <v>7.1800000000000003E-2</v>
      </c>
      <c r="U693" s="21">
        <v>5.3100000000000001E-2</v>
      </c>
      <c r="V693" s="21">
        <v>0.78820000000000001</v>
      </c>
      <c r="W693" s="21">
        <v>9588</v>
      </c>
      <c r="X693" s="21">
        <v>3507</v>
      </c>
      <c r="Y693" s="21">
        <v>4823</v>
      </c>
      <c r="Z693" s="21">
        <v>0.4</v>
      </c>
      <c r="AA693" s="21">
        <v>0.7</v>
      </c>
      <c r="AB693" s="21">
        <v>10585</v>
      </c>
      <c r="AC693" s="21">
        <v>9744</v>
      </c>
      <c r="AD693" s="21">
        <v>9916</v>
      </c>
      <c r="AE693" s="21">
        <v>2532</v>
      </c>
      <c r="AF693" s="21">
        <v>0.27379999999999999</v>
      </c>
      <c r="AG693" s="21">
        <v>0</v>
      </c>
      <c r="AH693" s="21">
        <v>0</v>
      </c>
      <c r="AI693" s="21">
        <v>9.9099999999999994E-2</v>
      </c>
      <c r="AJ693" s="21">
        <v>0.56759999999999999</v>
      </c>
      <c r="AK693" s="21">
        <v>0</v>
      </c>
      <c r="AL693" s="21">
        <v>0</v>
      </c>
      <c r="AM693" s="21">
        <v>0</v>
      </c>
      <c r="AN693" s="21">
        <v>0</v>
      </c>
      <c r="AO693" s="21">
        <v>0.75460000000000005</v>
      </c>
      <c r="AP693" s="21">
        <v>66192</v>
      </c>
      <c r="AQ693" s="21">
        <v>651</v>
      </c>
      <c r="AR693" s="21">
        <v>464</v>
      </c>
      <c r="AS693" s="21">
        <v>174</v>
      </c>
      <c r="AT693" s="21">
        <v>14</v>
      </c>
      <c r="AU693" s="21">
        <v>649</v>
      </c>
      <c r="AV693" s="21">
        <v>337</v>
      </c>
    </row>
    <row r="694" spans="1:48" x14ac:dyDescent="0.15">
      <c r="A694" s="20" t="s">
        <v>54</v>
      </c>
      <c r="B694" s="20" t="s">
        <v>110</v>
      </c>
      <c r="C694" s="21">
        <v>59118</v>
      </c>
      <c r="D694" s="21">
        <v>-5</v>
      </c>
      <c r="E694" s="21">
        <v>0</v>
      </c>
      <c r="F694" s="21">
        <v>59113</v>
      </c>
      <c r="I694" s="21">
        <v>0</v>
      </c>
      <c r="J694" s="21">
        <v>7850</v>
      </c>
      <c r="K694" s="21">
        <v>50266</v>
      </c>
      <c r="L694" s="21">
        <v>241</v>
      </c>
      <c r="M694" s="21">
        <v>0.57889999999999997</v>
      </c>
      <c r="N694" s="21">
        <v>0.57889999999999997</v>
      </c>
      <c r="O694" s="21">
        <v>4.0000000000000001E-3</v>
      </c>
      <c r="P694" s="21">
        <v>1371</v>
      </c>
      <c r="Q694" s="21">
        <v>0.53249999999999997</v>
      </c>
      <c r="R694" s="21">
        <v>246</v>
      </c>
      <c r="S694" s="21">
        <v>43</v>
      </c>
      <c r="T694" s="21">
        <v>1.7399999999999999E-2</v>
      </c>
      <c r="U694" s="21">
        <v>6.7999999999999996E-3</v>
      </c>
      <c r="AB694" s="21">
        <v>0</v>
      </c>
      <c r="AC694" s="21">
        <v>0</v>
      </c>
      <c r="AD694" s="21">
        <v>0</v>
      </c>
      <c r="AE694" s="21">
        <v>0</v>
      </c>
      <c r="AF694" s="21">
        <v>0</v>
      </c>
      <c r="AG694" s="21">
        <v>0</v>
      </c>
      <c r="AH694" s="21">
        <v>0</v>
      </c>
      <c r="AI694" s="21">
        <v>0</v>
      </c>
      <c r="AJ694" s="21">
        <v>0</v>
      </c>
      <c r="AK694" s="21">
        <v>0</v>
      </c>
      <c r="AL694" s="21">
        <v>0</v>
      </c>
      <c r="AM694" s="21">
        <v>0</v>
      </c>
      <c r="AN694" s="21">
        <v>0</v>
      </c>
      <c r="AP694" s="21">
        <v>32</v>
      </c>
      <c r="AQ694" s="21">
        <v>32</v>
      </c>
      <c r="AR694" s="21">
        <v>20</v>
      </c>
      <c r="AS694" s="21">
        <v>12</v>
      </c>
      <c r="AU694" s="21">
        <v>0</v>
      </c>
      <c r="AV694" s="21">
        <v>0</v>
      </c>
    </row>
    <row r="695" spans="1:48" x14ac:dyDescent="0.15">
      <c r="A695" s="20" t="s">
        <v>55</v>
      </c>
      <c r="B695" s="20" t="s">
        <v>110</v>
      </c>
      <c r="C695" s="21">
        <v>0</v>
      </c>
      <c r="D695" s="21">
        <v>0</v>
      </c>
      <c r="E695" s="21">
        <v>0</v>
      </c>
      <c r="F695" s="21">
        <v>0</v>
      </c>
      <c r="AB695" s="21">
        <v>0</v>
      </c>
      <c r="AC695" s="21">
        <v>0</v>
      </c>
      <c r="AD695" s="21">
        <v>0</v>
      </c>
      <c r="AE695" s="21">
        <v>0</v>
      </c>
      <c r="AF695" s="21">
        <v>0</v>
      </c>
      <c r="AG695" s="21">
        <v>0</v>
      </c>
      <c r="AH695" s="21">
        <v>0</v>
      </c>
      <c r="AI695" s="21">
        <v>0</v>
      </c>
      <c r="AJ695" s="21">
        <v>0</v>
      </c>
      <c r="AK695" s="21">
        <v>0</v>
      </c>
      <c r="AL695" s="21">
        <v>0</v>
      </c>
      <c r="AM695" s="21">
        <v>0</v>
      </c>
      <c r="AN695" s="21">
        <v>0</v>
      </c>
      <c r="AU695" s="21">
        <v>0</v>
      </c>
      <c r="AV695" s="21">
        <v>0</v>
      </c>
    </row>
    <row r="696" spans="1:48" x14ac:dyDescent="0.15">
      <c r="A696" s="20" t="s">
        <v>56</v>
      </c>
      <c r="B696" s="20" t="s">
        <v>110</v>
      </c>
      <c r="C696" s="21">
        <v>24457</v>
      </c>
      <c r="D696" s="21">
        <v>62</v>
      </c>
      <c r="E696" s="21">
        <v>0</v>
      </c>
      <c r="F696" s="21">
        <v>24519</v>
      </c>
      <c r="H696" s="21">
        <v>1574</v>
      </c>
      <c r="J696" s="21">
        <v>13823</v>
      </c>
      <c r="K696" s="21">
        <v>8484</v>
      </c>
      <c r="L696" s="21">
        <v>176</v>
      </c>
      <c r="M696" s="21">
        <v>0.7167</v>
      </c>
      <c r="N696" s="21">
        <v>0.71109999999999995</v>
      </c>
      <c r="O696" s="21">
        <v>0.05</v>
      </c>
      <c r="P696" s="21">
        <v>669</v>
      </c>
      <c r="Q696" s="21">
        <v>0.38569999999999999</v>
      </c>
      <c r="R696" s="21">
        <v>143</v>
      </c>
      <c r="S696" s="21">
        <v>37</v>
      </c>
      <c r="T696" s="21">
        <v>4.3799999999999999E-2</v>
      </c>
      <c r="U696" s="21">
        <v>3.8100000000000002E-2</v>
      </c>
      <c r="W696" s="21">
        <v>327</v>
      </c>
      <c r="X696" s="21">
        <v>62</v>
      </c>
      <c r="Y696" s="21">
        <v>60</v>
      </c>
      <c r="Z696" s="21">
        <v>0.9</v>
      </c>
      <c r="AA696" s="21">
        <v>1</v>
      </c>
      <c r="AB696" s="21">
        <v>81</v>
      </c>
      <c r="AC696" s="21">
        <v>81</v>
      </c>
      <c r="AD696" s="21">
        <v>68</v>
      </c>
      <c r="AE696" s="21">
        <v>40</v>
      </c>
      <c r="AF696" s="21">
        <v>0.71430000000000005</v>
      </c>
      <c r="AG696" s="21">
        <v>0</v>
      </c>
      <c r="AH696" s="21">
        <v>0</v>
      </c>
      <c r="AI696" s="21">
        <v>7.6899999999999996E-2</v>
      </c>
      <c r="AJ696" s="21">
        <v>0.4</v>
      </c>
      <c r="AK696" s="21">
        <v>0</v>
      </c>
      <c r="AL696" s="21">
        <v>0</v>
      </c>
      <c r="AM696" s="21">
        <v>0</v>
      </c>
      <c r="AN696" s="21">
        <v>0</v>
      </c>
      <c r="AP696" s="21">
        <v>65617</v>
      </c>
      <c r="AQ696" s="21">
        <v>46</v>
      </c>
      <c r="AR696" s="21">
        <v>22</v>
      </c>
      <c r="AS696" s="21">
        <v>24</v>
      </c>
      <c r="AU696" s="21">
        <v>3</v>
      </c>
      <c r="AV696" s="21">
        <v>0</v>
      </c>
    </row>
    <row r="697" spans="1:48" x14ac:dyDescent="0.15">
      <c r="A697" s="20" t="s">
        <v>57</v>
      </c>
      <c r="B697" s="20" t="s">
        <v>110</v>
      </c>
      <c r="C697" s="21">
        <v>36875</v>
      </c>
      <c r="D697" s="21">
        <v>4347</v>
      </c>
      <c r="E697" s="21">
        <v>494</v>
      </c>
      <c r="F697" s="21">
        <v>41642</v>
      </c>
      <c r="G697" s="21">
        <v>6572</v>
      </c>
      <c r="H697" s="21">
        <v>9028</v>
      </c>
      <c r="I697" s="21">
        <v>3354</v>
      </c>
      <c r="J697" s="21">
        <v>21387</v>
      </c>
      <c r="K697" s="21">
        <v>494</v>
      </c>
      <c r="L697" s="21">
        <v>420</v>
      </c>
      <c r="M697" s="21">
        <v>0.68710000000000004</v>
      </c>
      <c r="N697" s="21">
        <v>0.50339999999999996</v>
      </c>
      <c r="O697" s="21">
        <v>0.22450000000000001</v>
      </c>
      <c r="P697" s="21">
        <v>619</v>
      </c>
      <c r="Q697" s="21">
        <v>0.55740000000000001</v>
      </c>
      <c r="R697" s="21">
        <v>98</v>
      </c>
      <c r="S697" s="21">
        <v>67</v>
      </c>
      <c r="T697" s="21">
        <v>8.6699999999999999E-2</v>
      </c>
      <c r="U697" s="21">
        <v>4.8300000000000003E-2</v>
      </c>
      <c r="V697" s="21">
        <v>0.80589999999999995</v>
      </c>
      <c r="W697" s="21">
        <v>1485</v>
      </c>
      <c r="X697" s="21">
        <v>389</v>
      </c>
      <c r="Y697" s="21">
        <v>324</v>
      </c>
      <c r="Z697" s="21">
        <v>0.3</v>
      </c>
      <c r="AA697" s="21">
        <v>1.2</v>
      </c>
      <c r="AB697" s="21">
        <v>1205</v>
      </c>
      <c r="AC697" s="21">
        <v>1205</v>
      </c>
      <c r="AD697" s="21">
        <v>1162</v>
      </c>
      <c r="AE697" s="21">
        <v>91</v>
      </c>
      <c r="AF697" s="21">
        <v>8.1299999999999997E-2</v>
      </c>
      <c r="AG697" s="21">
        <v>0</v>
      </c>
      <c r="AH697" s="21">
        <v>0</v>
      </c>
      <c r="AI697" s="21">
        <v>0</v>
      </c>
      <c r="AJ697" s="21">
        <v>0</v>
      </c>
      <c r="AK697" s="21">
        <v>0</v>
      </c>
      <c r="AL697" s="21">
        <v>0</v>
      </c>
      <c r="AM697" s="21">
        <v>0</v>
      </c>
      <c r="AN697" s="21">
        <v>0</v>
      </c>
      <c r="AO697" s="21">
        <v>0.86660000000000004</v>
      </c>
      <c r="AP697" s="21">
        <v>69</v>
      </c>
      <c r="AQ697" s="21">
        <v>69</v>
      </c>
      <c r="AR697" s="21">
        <v>57</v>
      </c>
      <c r="AS697" s="21">
        <v>11</v>
      </c>
      <c r="AT697" s="21">
        <v>0</v>
      </c>
      <c r="AU697" s="21">
        <v>400</v>
      </c>
      <c r="AV697" s="21">
        <v>89</v>
      </c>
    </row>
    <row r="698" spans="1:48" x14ac:dyDescent="0.15">
      <c r="A698" s="20" t="s">
        <v>58</v>
      </c>
      <c r="B698" s="20" t="s">
        <v>110</v>
      </c>
      <c r="C698" s="21">
        <v>25464</v>
      </c>
      <c r="D698" s="21">
        <v>312</v>
      </c>
      <c r="E698" s="21">
        <v>29463</v>
      </c>
      <c r="F698" s="21">
        <v>55239</v>
      </c>
      <c r="G698" s="21">
        <v>12325</v>
      </c>
      <c r="H698" s="21">
        <v>13452</v>
      </c>
      <c r="J698" s="21">
        <v>-1</v>
      </c>
      <c r="K698" s="21">
        <v>29463</v>
      </c>
      <c r="L698" s="21">
        <v>238</v>
      </c>
      <c r="M698" s="21">
        <v>0.83609999999999995</v>
      </c>
      <c r="N698" s="21">
        <v>0.83609999999999995</v>
      </c>
      <c r="O698" s="21">
        <v>0.15160000000000001</v>
      </c>
      <c r="P698" s="21">
        <v>744</v>
      </c>
      <c r="Q698" s="21">
        <v>0.6452</v>
      </c>
      <c r="R698" s="21">
        <v>234</v>
      </c>
      <c r="S698" s="21">
        <v>74</v>
      </c>
      <c r="T698" s="21">
        <v>0.1086</v>
      </c>
      <c r="U698" s="21">
        <v>1.03E-2</v>
      </c>
      <c r="W698" s="21">
        <v>647</v>
      </c>
      <c r="X698" s="21">
        <v>339</v>
      </c>
      <c r="Y698" s="21">
        <v>611</v>
      </c>
      <c r="Z698" s="21">
        <v>0.5</v>
      </c>
      <c r="AA698" s="21">
        <v>0.6</v>
      </c>
      <c r="AB698" s="21">
        <v>916</v>
      </c>
      <c r="AC698" s="21">
        <v>747</v>
      </c>
      <c r="AD698" s="21">
        <v>724</v>
      </c>
      <c r="AE698" s="21">
        <v>451</v>
      </c>
      <c r="AF698" s="21">
        <v>0.84619999999999995</v>
      </c>
      <c r="AG698" s="21">
        <v>0</v>
      </c>
      <c r="AH698" s="21">
        <v>0</v>
      </c>
      <c r="AI698" s="21">
        <v>8.8200000000000001E-2</v>
      </c>
      <c r="AJ698" s="21">
        <v>0.70830000000000004</v>
      </c>
      <c r="AK698" s="21">
        <v>0</v>
      </c>
      <c r="AL698" s="21">
        <v>0</v>
      </c>
      <c r="AM698" s="21">
        <v>0</v>
      </c>
      <c r="AN698" s="21">
        <v>0</v>
      </c>
      <c r="AP698" s="21">
        <v>35</v>
      </c>
      <c r="AQ698" s="21">
        <v>35</v>
      </c>
      <c r="AR698" s="21">
        <v>28</v>
      </c>
      <c r="AS698" s="21">
        <v>7</v>
      </c>
      <c r="AU698" s="21">
        <v>0</v>
      </c>
      <c r="AV698" s="21">
        <v>0</v>
      </c>
    </row>
    <row r="699" spans="1:48" x14ac:dyDescent="0.15">
      <c r="A699" s="20" t="s">
        <v>59</v>
      </c>
      <c r="B699" s="20" t="s">
        <v>110</v>
      </c>
      <c r="C699" s="21">
        <v>6871</v>
      </c>
      <c r="D699" s="21">
        <v>21</v>
      </c>
      <c r="E699" s="21">
        <v>1057</v>
      </c>
      <c r="F699" s="21">
        <v>7950</v>
      </c>
      <c r="I699" s="21">
        <v>589</v>
      </c>
      <c r="J699" s="21">
        <v>5365</v>
      </c>
      <c r="K699" s="21">
        <v>1996</v>
      </c>
      <c r="L699" s="21">
        <v>107</v>
      </c>
      <c r="M699" s="21">
        <v>0.69569999999999999</v>
      </c>
      <c r="N699" s="21">
        <v>0.69569999999999999</v>
      </c>
      <c r="O699" s="21">
        <v>0.113</v>
      </c>
      <c r="P699" s="21">
        <v>876</v>
      </c>
      <c r="Q699" s="21">
        <v>0.22950000000000001</v>
      </c>
      <c r="R699" s="21">
        <v>75</v>
      </c>
      <c r="S699" s="21">
        <v>9</v>
      </c>
      <c r="T699" s="21">
        <v>9.6000000000000002E-2</v>
      </c>
      <c r="U699" s="21">
        <v>2E-3</v>
      </c>
      <c r="AB699" s="21">
        <v>0</v>
      </c>
      <c r="AC699" s="21">
        <v>0</v>
      </c>
      <c r="AD699" s="21">
        <v>0</v>
      </c>
      <c r="AE699" s="21">
        <v>0</v>
      </c>
      <c r="AF699" s="21">
        <v>0</v>
      </c>
      <c r="AG699" s="21">
        <v>0</v>
      </c>
      <c r="AH699" s="21">
        <v>0</v>
      </c>
      <c r="AI699" s="21">
        <v>0</v>
      </c>
      <c r="AJ699" s="21">
        <v>0</v>
      </c>
      <c r="AK699" s="21">
        <v>0</v>
      </c>
      <c r="AL699" s="21">
        <v>0</v>
      </c>
      <c r="AM699" s="21">
        <v>0</v>
      </c>
      <c r="AN699" s="21">
        <v>0</v>
      </c>
      <c r="AP699" s="21">
        <v>3</v>
      </c>
      <c r="AQ699" s="21">
        <v>3</v>
      </c>
      <c r="AS699" s="21">
        <v>3</v>
      </c>
      <c r="AU699" s="21">
        <v>0</v>
      </c>
      <c r="AV699" s="21">
        <v>0</v>
      </c>
    </row>
    <row r="700" spans="1:48" x14ac:dyDescent="0.15">
      <c r="A700" s="20" t="s">
        <v>60</v>
      </c>
      <c r="B700" s="20" t="s">
        <v>110</v>
      </c>
      <c r="C700" s="21">
        <v>20958</v>
      </c>
      <c r="D700" s="21">
        <v>1503</v>
      </c>
      <c r="E700" s="21">
        <v>1440</v>
      </c>
      <c r="F700" s="21">
        <v>23887</v>
      </c>
      <c r="G700" s="21">
        <v>3736</v>
      </c>
      <c r="H700" s="21">
        <v>10904</v>
      </c>
      <c r="I700" s="21">
        <v>1210</v>
      </c>
      <c r="J700" s="21">
        <v>5755</v>
      </c>
      <c r="K700" s="21">
        <v>2282</v>
      </c>
      <c r="L700" s="21">
        <v>280</v>
      </c>
      <c r="M700" s="21">
        <v>0.65959999999999996</v>
      </c>
      <c r="N700" s="21">
        <v>0.52629999999999999</v>
      </c>
      <c r="O700" s="21">
        <v>0.2351</v>
      </c>
      <c r="P700" s="21">
        <v>300</v>
      </c>
      <c r="Q700" s="21">
        <v>0.75329999999999997</v>
      </c>
      <c r="R700" s="21">
        <v>86</v>
      </c>
      <c r="S700" s="21">
        <v>80</v>
      </c>
      <c r="T700" s="21">
        <v>5.2400000000000002E-2</v>
      </c>
      <c r="U700" s="21">
        <v>4.53E-2</v>
      </c>
      <c r="V700" s="21">
        <v>1</v>
      </c>
      <c r="W700" s="21">
        <v>2130</v>
      </c>
      <c r="X700" s="21">
        <v>419</v>
      </c>
      <c r="Y700" s="21">
        <v>480</v>
      </c>
      <c r="Z700" s="21">
        <v>0.3</v>
      </c>
      <c r="AA700" s="21">
        <v>0.9</v>
      </c>
      <c r="AB700" s="21">
        <v>1298</v>
      </c>
      <c r="AC700" s="21">
        <v>1298</v>
      </c>
      <c r="AD700" s="21">
        <v>1351</v>
      </c>
      <c r="AE700" s="21">
        <v>98</v>
      </c>
      <c r="AF700" s="21">
        <v>6.9800000000000001E-2</v>
      </c>
      <c r="AG700" s="21">
        <v>0</v>
      </c>
      <c r="AH700" s="21">
        <v>0</v>
      </c>
      <c r="AI700" s="21">
        <v>6.6699999999999995E-2</v>
      </c>
      <c r="AJ700" s="21">
        <v>0.16669999999999999</v>
      </c>
      <c r="AK700" s="21">
        <v>0</v>
      </c>
      <c r="AL700" s="21">
        <v>0</v>
      </c>
      <c r="AM700" s="21">
        <v>0</v>
      </c>
      <c r="AN700" s="21">
        <v>0</v>
      </c>
      <c r="AP700" s="21">
        <v>112</v>
      </c>
      <c r="AQ700" s="21">
        <v>112</v>
      </c>
      <c r="AR700" s="21">
        <v>61</v>
      </c>
      <c r="AS700" s="21">
        <v>51</v>
      </c>
      <c r="AU700" s="21">
        <v>0</v>
      </c>
      <c r="AV700" s="21">
        <v>0</v>
      </c>
    </row>
    <row r="701" spans="1:48" x14ac:dyDescent="0.15">
      <c r="A701" s="20" t="s">
        <v>61</v>
      </c>
      <c r="B701" s="20" t="s">
        <v>110</v>
      </c>
      <c r="C701" s="21">
        <v>10475</v>
      </c>
      <c r="D701" s="21">
        <v>537</v>
      </c>
      <c r="E701" s="21">
        <v>1030</v>
      </c>
      <c r="F701" s="21">
        <v>12042</v>
      </c>
      <c r="G701" s="21">
        <v>2310</v>
      </c>
      <c r="H701" s="21">
        <v>1919</v>
      </c>
      <c r="I701" s="21">
        <v>323</v>
      </c>
      <c r="J701" s="21">
        <v>6068</v>
      </c>
      <c r="K701" s="21">
        <v>1422</v>
      </c>
      <c r="L701" s="21">
        <v>156</v>
      </c>
      <c r="M701" s="21">
        <v>0.6341</v>
      </c>
      <c r="N701" s="21">
        <v>0.50609999999999999</v>
      </c>
      <c r="O701" s="21">
        <v>0.29270000000000002</v>
      </c>
      <c r="P701" s="21">
        <v>174</v>
      </c>
      <c r="Q701" s="21">
        <v>0.81610000000000005</v>
      </c>
      <c r="R701" s="21">
        <v>75</v>
      </c>
      <c r="S701" s="21">
        <v>69</v>
      </c>
      <c r="T701" s="21">
        <v>3.15E-2</v>
      </c>
      <c r="U701" s="21">
        <v>6.6699999999999995E-2</v>
      </c>
      <c r="V701" s="21">
        <v>0.58689999999999998</v>
      </c>
      <c r="W701" s="21">
        <v>276</v>
      </c>
      <c r="X701" s="21">
        <v>107</v>
      </c>
      <c r="Y701" s="21">
        <v>104</v>
      </c>
      <c r="Z701" s="21">
        <v>0.2</v>
      </c>
      <c r="AA701" s="21">
        <v>1</v>
      </c>
      <c r="AB701" s="21">
        <v>522</v>
      </c>
      <c r="AC701" s="21">
        <v>522</v>
      </c>
      <c r="AD701" s="21">
        <v>519</v>
      </c>
      <c r="AE701" s="21">
        <v>60</v>
      </c>
      <c r="AF701" s="21">
        <v>0.1163</v>
      </c>
      <c r="AG701" s="21">
        <v>0</v>
      </c>
      <c r="AH701" s="21">
        <v>0</v>
      </c>
      <c r="AI701" s="21">
        <v>9.0899999999999995E-2</v>
      </c>
      <c r="AJ701" s="21">
        <v>0</v>
      </c>
      <c r="AK701" s="21">
        <v>0</v>
      </c>
      <c r="AL701" s="21">
        <v>0</v>
      </c>
      <c r="AM701" s="21">
        <v>0</v>
      </c>
      <c r="AN701" s="21">
        <v>0</v>
      </c>
      <c r="AP701" s="21">
        <v>22</v>
      </c>
      <c r="AQ701" s="21">
        <v>22</v>
      </c>
      <c r="AR701" s="21">
        <v>20</v>
      </c>
      <c r="AS701" s="21">
        <v>2</v>
      </c>
      <c r="AU701" s="21">
        <v>41</v>
      </c>
      <c r="AV701" s="21">
        <v>0</v>
      </c>
    </row>
    <row r="702" spans="1:48" x14ac:dyDescent="0.15">
      <c r="A702" s="20" t="s">
        <v>48</v>
      </c>
      <c r="B702" s="20" t="s">
        <v>111</v>
      </c>
      <c r="C702" s="21">
        <v>48970</v>
      </c>
      <c r="D702" s="21">
        <v>1675</v>
      </c>
      <c r="E702" s="21">
        <v>0</v>
      </c>
      <c r="F702" s="21">
        <v>50645</v>
      </c>
      <c r="G702" s="21">
        <v>14191</v>
      </c>
      <c r="H702" s="21">
        <v>10824</v>
      </c>
      <c r="I702" s="21">
        <v>915</v>
      </c>
      <c r="J702" s="21">
        <v>9317</v>
      </c>
      <c r="K702" s="21">
        <v>1371</v>
      </c>
      <c r="L702" s="21">
        <v>418</v>
      </c>
      <c r="M702" s="21">
        <v>0.80889999999999995</v>
      </c>
      <c r="N702" s="21">
        <v>0.75519999999999998</v>
      </c>
      <c r="O702" s="21">
        <v>0.24010000000000001</v>
      </c>
      <c r="P702" s="21">
        <v>865</v>
      </c>
      <c r="Q702" s="21">
        <v>0.57920000000000005</v>
      </c>
      <c r="R702" s="21">
        <v>122</v>
      </c>
      <c r="S702" s="21">
        <v>59</v>
      </c>
      <c r="T702" s="21">
        <v>5.33E-2</v>
      </c>
      <c r="U702" s="21">
        <v>4.41E-2</v>
      </c>
      <c r="V702" s="21">
        <v>0.74660000000000004</v>
      </c>
      <c r="W702" s="21">
        <v>227</v>
      </c>
      <c r="X702" s="21">
        <v>58</v>
      </c>
      <c r="Y702" s="21">
        <v>75</v>
      </c>
      <c r="Z702" s="21">
        <v>0.1</v>
      </c>
      <c r="AA702" s="21">
        <v>0.8</v>
      </c>
      <c r="AB702" s="21">
        <v>553</v>
      </c>
      <c r="AC702" s="21">
        <v>395</v>
      </c>
      <c r="AD702" s="21">
        <v>492</v>
      </c>
      <c r="AE702" s="21">
        <v>168</v>
      </c>
      <c r="AF702" s="21">
        <v>0.39069999999999999</v>
      </c>
      <c r="AG702" s="21">
        <v>0</v>
      </c>
      <c r="AH702" s="21">
        <v>0</v>
      </c>
      <c r="AI702" s="21">
        <v>0.10340000000000001</v>
      </c>
      <c r="AJ702" s="21">
        <v>0.71430000000000005</v>
      </c>
      <c r="AK702" s="21">
        <v>0</v>
      </c>
      <c r="AL702" s="21">
        <v>0</v>
      </c>
      <c r="AM702" s="21">
        <v>0</v>
      </c>
      <c r="AN702" s="21">
        <v>0</v>
      </c>
      <c r="AO702" s="21">
        <v>0.82210000000000005</v>
      </c>
      <c r="AP702" s="21">
        <v>71</v>
      </c>
      <c r="AQ702" s="21">
        <v>71</v>
      </c>
      <c r="AR702" s="21">
        <v>44</v>
      </c>
      <c r="AS702" s="21">
        <v>27</v>
      </c>
      <c r="AT702" s="21">
        <v>0</v>
      </c>
      <c r="AU702" s="21">
        <v>3</v>
      </c>
      <c r="AV702" s="21">
        <v>44</v>
      </c>
    </row>
    <row r="703" spans="1:48" x14ac:dyDescent="0.15">
      <c r="A703" s="20" t="s">
        <v>50</v>
      </c>
      <c r="B703" s="20" t="s">
        <v>111</v>
      </c>
      <c r="C703" s="21">
        <v>57224</v>
      </c>
      <c r="D703" s="21">
        <v>468</v>
      </c>
      <c r="E703" s="21">
        <v>0</v>
      </c>
      <c r="F703" s="21">
        <v>57692</v>
      </c>
      <c r="G703" s="21">
        <v>8708</v>
      </c>
      <c r="H703" s="21">
        <v>27823</v>
      </c>
      <c r="I703" s="21">
        <v>0</v>
      </c>
      <c r="J703" s="21">
        <v>14860</v>
      </c>
      <c r="K703" s="21">
        <v>3414</v>
      </c>
      <c r="L703" s="21">
        <v>432</v>
      </c>
      <c r="M703" s="21">
        <v>0.74829999999999997</v>
      </c>
      <c r="N703" s="21">
        <v>0.746</v>
      </c>
      <c r="O703" s="21">
        <v>9.2999999999999999E-2</v>
      </c>
      <c r="P703" s="21">
        <v>767</v>
      </c>
      <c r="Q703" s="21">
        <v>0.60629999999999995</v>
      </c>
      <c r="R703" s="21">
        <v>134</v>
      </c>
      <c r="S703" s="21">
        <v>75</v>
      </c>
      <c r="T703" s="21">
        <v>6.7599999999999993E-2</v>
      </c>
      <c r="U703" s="21">
        <v>5.16E-2</v>
      </c>
      <c r="V703" s="21">
        <v>0.83389999999999997</v>
      </c>
      <c r="W703" s="21">
        <v>201</v>
      </c>
      <c r="X703" s="21">
        <v>89</v>
      </c>
      <c r="Y703" s="21">
        <v>106</v>
      </c>
      <c r="Z703" s="21">
        <v>0.3</v>
      </c>
      <c r="AA703" s="21">
        <v>0.8</v>
      </c>
      <c r="AB703" s="21">
        <v>301</v>
      </c>
      <c r="AC703" s="21">
        <v>300</v>
      </c>
      <c r="AD703" s="21">
        <v>298</v>
      </c>
      <c r="AE703" s="21">
        <v>17</v>
      </c>
      <c r="AF703" s="21">
        <v>5.74E-2</v>
      </c>
      <c r="AG703" s="21">
        <v>0</v>
      </c>
      <c r="AH703" s="21">
        <v>0</v>
      </c>
      <c r="AI703" s="21">
        <v>0</v>
      </c>
      <c r="AJ703" s="21">
        <v>0.44440000000000002</v>
      </c>
      <c r="AK703" s="21">
        <v>0</v>
      </c>
      <c r="AL703" s="21">
        <v>0</v>
      </c>
      <c r="AM703" s="21">
        <v>0</v>
      </c>
      <c r="AN703" s="21">
        <v>0</v>
      </c>
      <c r="AO703" s="21">
        <v>0.65390000000000004</v>
      </c>
      <c r="AP703" s="21">
        <v>183</v>
      </c>
      <c r="AQ703" s="21">
        <v>183</v>
      </c>
      <c r="AR703" s="21">
        <v>147</v>
      </c>
      <c r="AS703" s="21">
        <v>24</v>
      </c>
      <c r="AT703" s="21">
        <v>12</v>
      </c>
      <c r="AU703" s="21">
        <v>9</v>
      </c>
      <c r="AV703" s="21">
        <v>32</v>
      </c>
    </row>
    <row r="704" spans="1:48" x14ac:dyDescent="0.15">
      <c r="A704" s="20" t="s">
        <v>51</v>
      </c>
      <c r="B704" s="20" t="s">
        <v>111</v>
      </c>
      <c r="C704" s="21">
        <v>92159</v>
      </c>
      <c r="D704" s="21">
        <v>4312</v>
      </c>
      <c r="E704" s="21">
        <v>16</v>
      </c>
      <c r="F704" s="21">
        <v>96450</v>
      </c>
      <c r="G704" s="21">
        <v>8701</v>
      </c>
      <c r="H704" s="21">
        <v>33508</v>
      </c>
      <c r="I704" s="21">
        <v>2638</v>
      </c>
      <c r="J704" s="21">
        <v>24400</v>
      </c>
      <c r="K704" s="21">
        <v>26303</v>
      </c>
      <c r="L704" s="21">
        <v>1641</v>
      </c>
      <c r="M704" s="21">
        <v>0.71360000000000001</v>
      </c>
      <c r="N704" s="21">
        <v>0.63759999999999994</v>
      </c>
      <c r="O704" s="21">
        <v>0.25069999999999998</v>
      </c>
      <c r="P704" s="21">
        <v>3375</v>
      </c>
      <c r="Q704" s="21">
        <v>0.52410000000000001</v>
      </c>
      <c r="R704" s="21">
        <v>58</v>
      </c>
      <c r="S704" s="21">
        <v>29</v>
      </c>
      <c r="T704" s="21">
        <v>7.4800000000000005E-2</v>
      </c>
      <c r="U704" s="21">
        <v>6.9699999999999998E-2</v>
      </c>
      <c r="V704" s="21">
        <v>0.68340000000000001</v>
      </c>
      <c r="W704" s="21">
        <v>2126</v>
      </c>
      <c r="X704" s="21">
        <v>1352</v>
      </c>
      <c r="Y704" s="21">
        <v>2361</v>
      </c>
      <c r="Z704" s="21">
        <v>0.3</v>
      </c>
      <c r="AA704" s="21">
        <v>0.6</v>
      </c>
      <c r="AB704" s="21">
        <v>5525</v>
      </c>
      <c r="AC704" s="21">
        <v>4610</v>
      </c>
      <c r="AD704" s="21">
        <v>5034</v>
      </c>
      <c r="AE704" s="21">
        <v>1364</v>
      </c>
      <c r="AF704" s="21">
        <v>0.30030000000000001</v>
      </c>
      <c r="AG704" s="21">
        <v>0</v>
      </c>
      <c r="AH704" s="21">
        <v>0</v>
      </c>
      <c r="AI704" s="21">
        <v>0.10879999999999999</v>
      </c>
      <c r="AJ704" s="21">
        <v>0.60319999999999996</v>
      </c>
      <c r="AK704" s="21">
        <v>0</v>
      </c>
      <c r="AL704" s="21">
        <v>0</v>
      </c>
      <c r="AM704" s="21">
        <v>0</v>
      </c>
      <c r="AN704" s="21">
        <v>0</v>
      </c>
      <c r="AO704" s="21">
        <v>0.71330000000000005</v>
      </c>
      <c r="AP704" s="21">
        <v>278</v>
      </c>
      <c r="AQ704" s="21">
        <v>278</v>
      </c>
      <c r="AR704" s="21">
        <v>158</v>
      </c>
      <c r="AS704" s="21">
        <v>119</v>
      </c>
      <c r="AT704" s="21">
        <v>0</v>
      </c>
      <c r="AU704" s="21">
        <v>80</v>
      </c>
      <c r="AV704" s="21">
        <v>97</v>
      </c>
    </row>
    <row r="705" spans="1:48" x14ac:dyDescent="0.15">
      <c r="A705" s="20" t="s">
        <v>52</v>
      </c>
      <c r="B705" s="20" t="s">
        <v>111</v>
      </c>
      <c r="C705" s="21">
        <v>66594</v>
      </c>
      <c r="D705" s="21">
        <v>610</v>
      </c>
      <c r="E705" s="21">
        <v>-38</v>
      </c>
      <c r="F705" s="21">
        <v>67166</v>
      </c>
      <c r="G705" s="21">
        <v>24419</v>
      </c>
      <c r="H705" s="21">
        <v>11229</v>
      </c>
      <c r="I705" s="21">
        <v>10</v>
      </c>
      <c r="J705" s="21">
        <v>24999</v>
      </c>
      <c r="K705" s="21">
        <v>6509</v>
      </c>
      <c r="L705" s="21">
        <v>475</v>
      </c>
      <c r="M705" s="21">
        <v>0.79959999999999998</v>
      </c>
      <c r="N705" s="21">
        <v>0.79349999999999998</v>
      </c>
      <c r="O705" s="21">
        <v>8.3000000000000004E-2</v>
      </c>
      <c r="P705" s="21">
        <v>1030</v>
      </c>
      <c r="Q705" s="21">
        <v>0.5544</v>
      </c>
      <c r="R705" s="21">
        <v>139</v>
      </c>
      <c r="S705" s="21">
        <v>65</v>
      </c>
      <c r="T705" s="21">
        <v>7.2400000000000006E-2</v>
      </c>
      <c r="U705" s="21">
        <v>5.3400000000000003E-2</v>
      </c>
      <c r="V705" s="21">
        <v>0.98270000000000002</v>
      </c>
      <c r="W705" s="21">
        <v>645</v>
      </c>
      <c r="X705" s="21">
        <v>271</v>
      </c>
      <c r="Y705" s="21">
        <v>273</v>
      </c>
      <c r="Z705" s="21">
        <v>0.4</v>
      </c>
      <c r="AA705" s="21">
        <v>1</v>
      </c>
      <c r="AB705" s="21">
        <v>846</v>
      </c>
      <c r="AC705" s="21">
        <v>674</v>
      </c>
      <c r="AD705" s="21">
        <v>748</v>
      </c>
      <c r="AE705" s="21">
        <v>254</v>
      </c>
      <c r="AF705" s="21">
        <v>0.39079999999999998</v>
      </c>
      <c r="AG705" s="21">
        <v>0</v>
      </c>
      <c r="AH705" s="21">
        <v>0</v>
      </c>
      <c r="AI705" s="21">
        <v>0</v>
      </c>
      <c r="AJ705" s="21">
        <v>0.81079999999999997</v>
      </c>
      <c r="AK705" s="21">
        <v>0</v>
      </c>
      <c r="AL705" s="21">
        <v>0</v>
      </c>
      <c r="AM705" s="21">
        <v>0</v>
      </c>
      <c r="AN705" s="21">
        <v>0</v>
      </c>
      <c r="AO705" s="21">
        <v>0.9637</v>
      </c>
      <c r="AP705" s="21">
        <v>43</v>
      </c>
      <c r="AQ705" s="21">
        <v>43</v>
      </c>
      <c r="AR705" s="21">
        <v>19</v>
      </c>
      <c r="AS705" s="21">
        <v>24</v>
      </c>
      <c r="AU705" s="21">
        <v>22</v>
      </c>
      <c r="AV705" s="21">
        <v>125</v>
      </c>
    </row>
    <row r="706" spans="1:48" x14ac:dyDescent="0.15">
      <c r="A706" s="20" t="s">
        <v>53</v>
      </c>
      <c r="B706" s="20" t="s">
        <v>111</v>
      </c>
      <c r="C706" s="21">
        <v>979</v>
      </c>
      <c r="D706" s="21">
        <v>0</v>
      </c>
      <c r="E706" s="21">
        <v>0</v>
      </c>
      <c r="F706" s="21">
        <v>980</v>
      </c>
      <c r="H706" s="21">
        <v>180</v>
      </c>
      <c r="I706" s="21">
        <v>0</v>
      </c>
      <c r="J706" s="21">
        <v>799</v>
      </c>
      <c r="K706" s="21">
        <v>0</v>
      </c>
      <c r="L706" s="21">
        <v>45</v>
      </c>
      <c r="M706" s="21">
        <v>0.29630000000000001</v>
      </c>
      <c r="N706" s="21">
        <v>0.29630000000000001</v>
      </c>
      <c r="O706" s="21">
        <v>0</v>
      </c>
      <c r="P706" s="21">
        <v>818</v>
      </c>
      <c r="Q706" s="21">
        <v>5.2600000000000001E-2</v>
      </c>
      <c r="R706" s="21">
        <v>16</v>
      </c>
      <c r="S706" s="21">
        <v>1</v>
      </c>
      <c r="T706" s="21">
        <v>0.25419999999999998</v>
      </c>
      <c r="U706" s="21">
        <v>0</v>
      </c>
      <c r="W706" s="21">
        <v>400</v>
      </c>
      <c r="X706" s="21">
        <v>322</v>
      </c>
      <c r="Y706" s="21">
        <v>387</v>
      </c>
      <c r="Z706" s="21">
        <v>0.5</v>
      </c>
      <c r="AA706" s="21">
        <v>0.8</v>
      </c>
      <c r="AB706" s="21">
        <v>640</v>
      </c>
      <c r="AC706" s="21">
        <v>640</v>
      </c>
      <c r="AD706" s="21">
        <v>642</v>
      </c>
      <c r="AE706" s="21">
        <v>72</v>
      </c>
      <c r="AF706" s="21">
        <v>0.1116</v>
      </c>
      <c r="AG706" s="21">
        <v>0</v>
      </c>
      <c r="AH706" s="21">
        <v>0</v>
      </c>
      <c r="AI706" s="21">
        <v>0</v>
      </c>
      <c r="AJ706" s="21">
        <v>0</v>
      </c>
      <c r="AK706" s="21">
        <v>0</v>
      </c>
      <c r="AL706" s="21">
        <v>0</v>
      </c>
      <c r="AM706" s="21">
        <v>0</v>
      </c>
      <c r="AN706" s="21">
        <v>0</v>
      </c>
      <c r="AP706" s="21">
        <v>35</v>
      </c>
      <c r="AQ706" s="21">
        <v>35</v>
      </c>
      <c r="AR706" s="21">
        <v>13</v>
      </c>
      <c r="AS706" s="21">
        <v>23</v>
      </c>
      <c r="AU706" s="21">
        <v>0</v>
      </c>
      <c r="AV706" s="21">
        <v>0</v>
      </c>
    </row>
    <row r="707" spans="1:48" x14ac:dyDescent="0.15">
      <c r="A707" s="20" t="s">
        <v>0</v>
      </c>
      <c r="B707" s="20" t="s">
        <v>111</v>
      </c>
      <c r="C707" s="21">
        <v>541772</v>
      </c>
      <c r="D707" s="21">
        <v>9464</v>
      </c>
      <c r="E707" s="21">
        <v>33798</v>
      </c>
      <c r="F707" s="21">
        <v>584972</v>
      </c>
      <c r="G707" s="21">
        <v>85702</v>
      </c>
      <c r="H707" s="21">
        <v>135109</v>
      </c>
      <c r="I707" s="21">
        <v>4899</v>
      </c>
      <c r="J707" s="21">
        <v>137979</v>
      </c>
      <c r="K707" s="21">
        <v>190866</v>
      </c>
      <c r="L707" s="21">
        <v>4634</v>
      </c>
      <c r="M707" s="21">
        <v>0.72989999999999999</v>
      </c>
      <c r="N707" s="21">
        <v>0.68130000000000002</v>
      </c>
      <c r="O707" s="21">
        <v>0.17610000000000001</v>
      </c>
      <c r="P707" s="21">
        <v>12004</v>
      </c>
      <c r="Q707" s="21">
        <v>0.50680000000000003</v>
      </c>
      <c r="R707" s="21">
        <v>125</v>
      </c>
      <c r="S707" s="21">
        <v>49</v>
      </c>
      <c r="T707" s="21">
        <v>7.1900000000000006E-2</v>
      </c>
      <c r="U707" s="21">
        <v>5.2900000000000003E-2</v>
      </c>
      <c r="V707" s="21">
        <v>0.84540000000000004</v>
      </c>
      <c r="W707" s="21">
        <v>7225</v>
      </c>
      <c r="X707" s="21">
        <v>3302</v>
      </c>
      <c r="Y707" s="21">
        <v>4822</v>
      </c>
      <c r="Z707" s="21">
        <v>0.3</v>
      </c>
      <c r="AA707" s="21">
        <v>0.7</v>
      </c>
      <c r="AB707" s="21">
        <v>12054</v>
      </c>
      <c r="AC707" s="21">
        <v>9562</v>
      </c>
      <c r="AD707" s="21">
        <v>11320</v>
      </c>
      <c r="AE707" s="21">
        <v>3476</v>
      </c>
      <c r="AF707" s="21">
        <v>0.32840000000000003</v>
      </c>
      <c r="AG707" s="21">
        <v>0</v>
      </c>
      <c r="AH707" s="21">
        <v>0</v>
      </c>
      <c r="AI707" s="21">
        <v>0.1018</v>
      </c>
      <c r="AJ707" s="21">
        <v>0.56040000000000001</v>
      </c>
      <c r="AK707" s="21">
        <v>0</v>
      </c>
      <c r="AL707" s="21">
        <v>0</v>
      </c>
      <c r="AM707" s="21">
        <v>0</v>
      </c>
      <c r="AN707" s="21">
        <v>0</v>
      </c>
      <c r="AO707" s="21">
        <v>0.83279999999999998</v>
      </c>
      <c r="AP707" s="21">
        <v>1370</v>
      </c>
      <c r="AQ707" s="21">
        <v>1370</v>
      </c>
      <c r="AR707" s="21">
        <v>968</v>
      </c>
      <c r="AS707" s="21">
        <v>389</v>
      </c>
      <c r="AT707" s="21">
        <v>13</v>
      </c>
      <c r="AU707" s="21">
        <v>1217</v>
      </c>
      <c r="AV707" s="21">
        <v>461</v>
      </c>
    </row>
    <row r="708" spans="1:48" x14ac:dyDescent="0.15">
      <c r="A708" s="20" t="s">
        <v>54</v>
      </c>
      <c r="B708" s="20" t="s">
        <v>111</v>
      </c>
      <c r="C708" s="21">
        <v>121357</v>
      </c>
      <c r="D708" s="21">
        <v>6</v>
      </c>
      <c r="E708" s="21">
        <v>0</v>
      </c>
      <c r="F708" s="21">
        <v>121363</v>
      </c>
      <c r="I708" s="21">
        <v>0</v>
      </c>
      <c r="J708" s="21">
        <v>8730</v>
      </c>
      <c r="K708" s="21">
        <v>111993</v>
      </c>
      <c r="L708" s="21">
        <v>245</v>
      </c>
      <c r="M708" s="21">
        <v>0.84</v>
      </c>
      <c r="N708" s="21">
        <v>0.84</v>
      </c>
      <c r="O708" s="21">
        <v>1.2E-2</v>
      </c>
      <c r="P708" s="21">
        <v>1666</v>
      </c>
      <c r="Q708" s="21">
        <v>0.55879999999999996</v>
      </c>
      <c r="R708" s="21">
        <v>499</v>
      </c>
      <c r="S708" s="21">
        <v>73</v>
      </c>
      <c r="T708" s="21">
        <v>5.1799999999999999E-2</v>
      </c>
      <c r="U708" s="21">
        <v>1.15E-2</v>
      </c>
      <c r="W708" s="21">
        <v>12</v>
      </c>
      <c r="X708" s="21">
        <v>2</v>
      </c>
      <c r="Y708" s="21">
        <v>3</v>
      </c>
      <c r="Z708" s="21">
        <v>0</v>
      </c>
      <c r="AA708" s="21">
        <v>0.5</v>
      </c>
      <c r="AB708" s="21">
        <v>668</v>
      </c>
      <c r="AC708" s="21">
        <v>0</v>
      </c>
      <c r="AD708" s="21">
        <v>334</v>
      </c>
      <c r="AE708" s="21">
        <v>673</v>
      </c>
      <c r="AF708" s="21">
        <v>0</v>
      </c>
      <c r="AG708" s="21">
        <v>0</v>
      </c>
      <c r="AH708" s="21">
        <v>0</v>
      </c>
      <c r="AI708" s="21">
        <v>0</v>
      </c>
      <c r="AJ708" s="21">
        <v>0</v>
      </c>
      <c r="AK708" s="21">
        <v>0</v>
      </c>
      <c r="AL708" s="21">
        <v>0</v>
      </c>
      <c r="AM708" s="21">
        <v>0</v>
      </c>
      <c r="AN708" s="21">
        <v>0</v>
      </c>
      <c r="AP708" s="21">
        <v>25</v>
      </c>
      <c r="AQ708" s="21">
        <v>25</v>
      </c>
      <c r="AR708" s="21">
        <v>3</v>
      </c>
      <c r="AS708" s="21">
        <v>20</v>
      </c>
      <c r="AT708" s="21">
        <v>1</v>
      </c>
      <c r="AU708" s="21">
        <v>0</v>
      </c>
      <c r="AV708" s="21">
        <v>0</v>
      </c>
    </row>
    <row r="709" spans="1:48" x14ac:dyDescent="0.15">
      <c r="A709" s="20" t="s">
        <v>55</v>
      </c>
      <c r="B709" s="20" t="s">
        <v>111</v>
      </c>
      <c r="C709" s="21">
        <v>0</v>
      </c>
      <c r="D709" s="21">
        <v>0</v>
      </c>
      <c r="E709" s="21">
        <v>0</v>
      </c>
      <c r="F709" s="21">
        <v>0</v>
      </c>
      <c r="AB709" s="21">
        <v>0</v>
      </c>
      <c r="AC709" s="21">
        <v>0</v>
      </c>
      <c r="AD709" s="21">
        <v>0</v>
      </c>
      <c r="AE709" s="21">
        <v>0</v>
      </c>
      <c r="AF709" s="21">
        <v>0</v>
      </c>
      <c r="AG709" s="21">
        <v>0</v>
      </c>
      <c r="AH709" s="21">
        <v>0</v>
      </c>
      <c r="AI709" s="21">
        <v>0</v>
      </c>
      <c r="AJ709" s="21">
        <v>0</v>
      </c>
      <c r="AK709" s="21">
        <v>0</v>
      </c>
      <c r="AL709" s="21">
        <v>0</v>
      </c>
      <c r="AM709" s="21">
        <v>0</v>
      </c>
      <c r="AN709" s="21">
        <v>0</v>
      </c>
      <c r="AU709" s="21">
        <v>0</v>
      </c>
      <c r="AV709" s="21">
        <v>0</v>
      </c>
    </row>
    <row r="710" spans="1:48" x14ac:dyDescent="0.15">
      <c r="A710" s="20" t="s">
        <v>56</v>
      </c>
      <c r="B710" s="20" t="s">
        <v>111</v>
      </c>
      <c r="C710" s="21">
        <v>20489</v>
      </c>
      <c r="D710" s="21">
        <v>-1</v>
      </c>
      <c r="E710" s="21">
        <v>0</v>
      </c>
      <c r="F710" s="21">
        <v>20488</v>
      </c>
      <c r="H710" s="21">
        <v>2164</v>
      </c>
      <c r="J710" s="21">
        <v>10679</v>
      </c>
      <c r="K710" s="21">
        <v>7704</v>
      </c>
      <c r="L710" s="21">
        <v>177</v>
      </c>
      <c r="M710" s="21">
        <v>0.69399999999999995</v>
      </c>
      <c r="N710" s="21">
        <v>0.69399999999999995</v>
      </c>
      <c r="O710" s="21">
        <v>5.4999999999999997E-3</v>
      </c>
      <c r="P710" s="21">
        <v>669</v>
      </c>
      <c r="Q710" s="21">
        <v>0.3483</v>
      </c>
      <c r="R710" s="21">
        <v>116</v>
      </c>
      <c r="S710" s="21">
        <v>31</v>
      </c>
      <c r="T710" s="21">
        <v>0.08</v>
      </c>
      <c r="U710" s="21">
        <v>4.7800000000000002E-2</v>
      </c>
      <c r="V710" s="21">
        <v>1</v>
      </c>
      <c r="W710" s="21">
        <v>188</v>
      </c>
      <c r="X710" s="21">
        <v>60</v>
      </c>
      <c r="Y710" s="21">
        <v>68</v>
      </c>
      <c r="Z710" s="21">
        <v>0.7</v>
      </c>
      <c r="AA710" s="21">
        <v>0.9</v>
      </c>
      <c r="AB710" s="21">
        <v>88</v>
      </c>
      <c r="AC710" s="21">
        <v>88</v>
      </c>
      <c r="AD710" s="21">
        <v>84</v>
      </c>
      <c r="AE710" s="21">
        <v>18</v>
      </c>
      <c r="AF710" s="21">
        <v>0.22220000000000001</v>
      </c>
      <c r="AG710" s="21">
        <v>0</v>
      </c>
      <c r="AH710" s="21">
        <v>0</v>
      </c>
      <c r="AI710" s="21">
        <v>0.1429</v>
      </c>
      <c r="AJ710" s="21">
        <v>0.18179999999999999</v>
      </c>
      <c r="AK710" s="21">
        <v>0</v>
      </c>
      <c r="AL710" s="21">
        <v>0</v>
      </c>
      <c r="AM710" s="21">
        <v>0</v>
      </c>
      <c r="AN710" s="21">
        <v>0</v>
      </c>
      <c r="AP710" s="21">
        <v>28</v>
      </c>
      <c r="AQ710" s="21">
        <v>28</v>
      </c>
      <c r="AR710" s="21">
        <v>20</v>
      </c>
      <c r="AS710" s="21">
        <v>7</v>
      </c>
      <c r="AU710" s="21">
        <v>1</v>
      </c>
      <c r="AV710" s="21">
        <v>0</v>
      </c>
    </row>
    <row r="711" spans="1:48" x14ac:dyDescent="0.15">
      <c r="A711" s="20" t="s">
        <v>57</v>
      </c>
      <c r="B711" s="20" t="s">
        <v>111</v>
      </c>
      <c r="C711" s="21">
        <v>27764</v>
      </c>
      <c r="D711" s="21">
        <v>910</v>
      </c>
      <c r="E711" s="21">
        <v>13683</v>
      </c>
      <c r="F711" s="21">
        <v>42343</v>
      </c>
      <c r="G711" s="21">
        <v>156</v>
      </c>
      <c r="H711" s="21">
        <v>13809</v>
      </c>
      <c r="I711" s="21">
        <v>581</v>
      </c>
      <c r="J711" s="21">
        <v>15486</v>
      </c>
      <c r="K711" s="21">
        <v>288</v>
      </c>
      <c r="L711" s="21">
        <v>410</v>
      </c>
      <c r="M711" s="21">
        <v>0.58740000000000003</v>
      </c>
      <c r="N711" s="21">
        <v>0.51749999999999996</v>
      </c>
      <c r="O711" s="21">
        <v>0.1469</v>
      </c>
      <c r="P711" s="21">
        <v>619</v>
      </c>
      <c r="Q711" s="21">
        <v>0.47010000000000002</v>
      </c>
      <c r="R711" s="21">
        <v>102</v>
      </c>
      <c r="S711" s="21">
        <v>68</v>
      </c>
      <c r="T711" s="21">
        <v>8.4400000000000003E-2</v>
      </c>
      <c r="U711" s="21">
        <v>4.7399999999999998E-2</v>
      </c>
      <c r="V711" s="21">
        <v>0.88500000000000001</v>
      </c>
      <c r="W711" s="21">
        <v>899</v>
      </c>
      <c r="X711" s="21">
        <v>297</v>
      </c>
      <c r="Y711" s="21">
        <v>285</v>
      </c>
      <c r="Z711" s="21">
        <v>0.3</v>
      </c>
      <c r="AA711" s="21">
        <v>1</v>
      </c>
      <c r="AB711" s="21">
        <v>929</v>
      </c>
      <c r="AC711" s="21">
        <v>929</v>
      </c>
      <c r="AD711" s="21">
        <v>1067</v>
      </c>
      <c r="AE711" s="21">
        <v>30</v>
      </c>
      <c r="AF711" s="21">
        <v>2.4899999999999999E-2</v>
      </c>
      <c r="AG711" s="21">
        <v>0</v>
      </c>
      <c r="AH711" s="21">
        <v>0</v>
      </c>
      <c r="AI711" s="21">
        <v>0</v>
      </c>
      <c r="AJ711" s="21">
        <v>0.89659999999999995</v>
      </c>
      <c r="AK711" s="21">
        <v>0</v>
      </c>
      <c r="AL711" s="21">
        <v>0</v>
      </c>
      <c r="AM711" s="21">
        <v>0</v>
      </c>
      <c r="AN711" s="21">
        <v>0</v>
      </c>
      <c r="AO711" s="21">
        <v>0.87749999999999995</v>
      </c>
      <c r="AP711" s="21">
        <v>207</v>
      </c>
      <c r="AQ711" s="21">
        <v>207</v>
      </c>
      <c r="AR711" s="21">
        <v>141</v>
      </c>
      <c r="AS711" s="21">
        <v>66</v>
      </c>
      <c r="AT711" s="21">
        <v>0</v>
      </c>
      <c r="AU711" s="21">
        <v>1076</v>
      </c>
      <c r="AV711" s="21">
        <v>163</v>
      </c>
    </row>
    <row r="712" spans="1:48" x14ac:dyDescent="0.15">
      <c r="A712" s="20" t="s">
        <v>58</v>
      </c>
      <c r="B712" s="20" t="s">
        <v>111</v>
      </c>
      <c r="C712" s="21">
        <v>33028</v>
      </c>
      <c r="D712" s="21">
        <v>302</v>
      </c>
      <c r="E712" s="21">
        <v>14067</v>
      </c>
      <c r="F712" s="21">
        <v>47397</v>
      </c>
      <c r="G712" s="21">
        <v>15424</v>
      </c>
      <c r="H712" s="21">
        <v>17903</v>
      </c>
      <c r="J712" s="21">
        <v>2</v>
      </c>
      <c r="K712" s="21">
        <v>14067</v>
      </c>
      <c r="L712" s="21">
        <v>238</v>
      </c>
      <c r="M712" s="21">
        <v>0.85489999999999999</v>
      </c>
      <c r="N712" s="21">
        <v>0.85099999999999998</v>
      </c>
      <c r="O712" s="21">
        <v>0.1608</v>
      </c>
      <c r="P712" s="21">
        <v>758</v>
      </c>
      <c r="Q712" s="21">
        <v>0.67810000000000004</v>
      </c>
      <c r="R712" s="21">
        <v>199</v>
      </c>
      <c r="S712" s="21">
        <v>63</v>
      </c>
      <c r="T712" s="21">
        <v>0.13339999999999999</v>
      </c>
      <c r="U712" s="21">
        <v>1.1599999999999999E-2</v>
      </c>
      <c r="W712" s="21">
        <v>1569</v>
      </c>
      <c r="X712" s="21">
        <v>506</v>
      </c>
      <c r="Y712" s="21">
        <v>797</v>
      </c>
      <c r="Z712" s="21">
        <v>0.5</v>
      </c>
      <c r="AA712" s="21">
        <v>0.6</v>
      </c>
      <c r="AB712" s="21">
        <v>1138</v>
      </c>
      <c r="AC712" s="21">
        <v>886</v>
      </c>
      <c r="AD712" s="21">
        <v>1027</v>
      </c>
      <c r="AE712" s="21">
        <v>457</v>
      </c>
      <c r="AF712" s="21">
        <v>0.49890000000000001</v>
      </c>
      <c r="AG712" s="21">
        <v>0</v>
      </c>
      <c r="AH712" s="21">
        <v>0</v>
      </c>
      <c r="AI712" s="21">
        <v>0.14580000000000001</v>
      </c>
      <c r="AJ712" s="21">
        <v>0.44500000000000001</v>
      </c>
      <c r="AK712" s="21">
        <v>0</v>
      </c>
      <c r="AL712" s="21">
        <v>0</v>
      </c>
      <c r="AM712" s="21">
        <v>0</v>
      </c>
      <c r="AN712" s="21">
        <v>0</v>
      </c>
      <c r="AP712" s="21">
        <v>122</v>
      </c>
      <c r="AQ712" s="21">
        <v>122</v>
      </c>
      <c r="AR712" s="21">
        <v>92</v>
      </c>
      <c r="AS712" s="21">
        <v>30</v>
      </c>
      <c r="AU712" s="21">
        <v>0</v>
      </c>
      <c r="AV712" s="21">
        <v>0</v>
      </c>
    </row>
    <row r="713" spans="1:48" x14ac:dyDescent="0.15">
      <c r="A713" s="20" t="s">
        <v>59</v>
      </c>
      <c r="B713" s="20" t="s">
        <v>111</v>
      </c>
      <c r="C713" s="21">
        <v>26527</v>
      </c>
      <c r="D713" s="21">
        <v>65</v>
      </c>
      <c r="E713" s="21">
        <v>6055</v>
      </c>
      <c r="F713" s="21">
        <v>32647</v>
      </c>
      <c r="G713" s="21">
        <v>6676</v>
      </c>
      <c r="I713" s="21">
        <v>58</v>
      </c>
      <c r="J713" s="21">
        <v>9607</v>
      </c>
      <c r="K713" s="21">
        <v>16306</v>
      </c>
      <c r="L713" s="21">
        <v>110</v>
      </c>
      <c r="M713" s="21">
        <v>0.83620000000000005</v>
      </c>
      <c r="N713" s="21">
        <v>0.83620000000000005</v>
      </c>
      <c r="O713" s="21">
        <v>0.1724</v>
      </c>
      <c r="P713" s="21">
        <v>964</v>
      </c>
      <c r="Q713" s="21">
        <v>0.4098</v>
      </c>
      <c r="R713" s="21">
        <v>301</v>
      </c>
      <c r="S713" s="21">
        <v>34</v>
      </c>
      <c r="T713" s="21">
        <v>5.1700000000000003E-2</v>
      </c>
      <c r="U713" s="21">
        <v>3.0999999999999999E-3</v>
      </c>
      <c r="AB713" s="21">
        <v>154</v>
      </c>
      <c r="AC713" s="21">
        <v>0</v>
      </c>
      <c r="AD713" s="21">
        <v>77</v>
      </c>
      <c r="AE713" s="21">
        <v>155</v>
      </c>
      <c r="AF713" s="21">
        <v>0</v>
      </c>
      <c r="AG713" s="21">
        <v>0</v>
      </c>
      <c r="AH713" s="21">
        <v>0</v>
      </c>
      <c r="AI713" s="21">
        <v>0</v>
      </c>
      <c r="AJ713" s="21">
        <v>0</v>
      </c>
      <c r="AK713" s="21">
        <v>0</v>
      </c>
      <c r="AL713" s="21">
        <v>0</v>
      </c>
      <c r="AM713" s="21">
        <v>0</v>
      </c>
      <c r="AN713" s="21">
        <v>0</v>
      </c>
      <c r="AP713" s="21">
        <v>1</v>
      </c>
      <c r="AQ713" s="21">
        <v>1</v>
      </c>
      <c r="AS713" s="21">
        <v>1</v>
      </c>
      <c r="AU713" s="21">
        <v>0</v>
      </c>
      <c r="AV713" s="21">
        <v>0</v>
      </c>
    </row>
    <row r="714" spans="1:48" x14ac:dyDescent="0.15">
      <c r="A714" s="20" t="s">
        <v>60</v>
      </c>
      <c r="B714" s="20" t="s">
        <v>111</v>
      </c>
      <c r="C714" s="21">
        <v>29637</v>
      </c>
      <c r="D714" s="21">
        <v>661</v>
      </c>
      <c r="E714" s="21">
        <v>18</v>
      </c>
      <c r="F714" s="21">
        <v>30303</v>
      </c>
      <c r="G714" s="21">
        <v>3030</v>
      </c>
      <c r="H714" s="21">
        <v>12127</v>
      </c>
      <c r="I714" s="21">
        <v>459</v>
      </c>
      <c r="J714" s="21">
        <v>13013</v>
      </c>
      <c r="K714" s="21">
        <v>1674</v>
      </c>
      <c r="L714" s="21">
        <v>287</v>
      </c>
      <c r="M714" s="21">
        <v>0.68620000000000003</v>
      </c>
      <c r="N714" s="21">
        <v>0.59660000000000002</v>
      </c>
      <c r="O714" s="21">
        <v>0.2034</v>
      </c>
      <c r="P714" s="21">
        <v>299</v>
      </c>
      <c r="Q714" s="21">
        <v>0.73580000000000001</v>
      </c>
      <c r="R714" s="21">
        <v>107</v>
      </c>
      <c r="S714" s="21">
        <v>101</v>
      </c>
      <c r="T714" s="21">
        <v>7.1099999999999997E-2</v>
      </c>
      <c r="U714" s="21">
        <v>4.5400000000000003E-2</v>
      </c>
      <c r="V714" s="21">
        <v>1</v>
      </c>
      <c r="W714" s="21">
        <v>820</v>
      </c>
      <c r="X714" s="21">
        <v>290</v>
      </c>
      <c r="Y714" s="21">
        <v>427</v>
      </c>
      <c r="Z714" s="21">
        <v>0.3</v>
      </c>
      <c r="AA714" s="21">
        <v>0.7</v>
      </c>
      <c r="AB714" s="21">
        <v>688</v>
      </c>
      <c r="AC714" s="21">
        <v>688</v>
      </c>
      <c r="AD714" s="21">
        <v>993</v>
      </c>
      <c r="AE714" s="21">
        <v>73</v>
      </c>
      <c r="AF714" s="21">
        <v>5.62E-2</v>
      </c>
      <c r="AG714" s="21">
        <v>0</v>
      </c>
      <c r="AH714" s="21">
        <v>0</v>
      </c>
      <c r="AI714" s="21">
        <v>4.5499999999999999E-2</v>
      </c>
      <c r="AJ714" s="21">
        <v>0.5333</v>
      </c>
      <c r="AK714" s="21">
        <v>0</v>
      </c>
      <c r="AL714" s="21">
        <v>0</v>
      </c>
      <c r="AM714" s="21">
        <v>0</v>
      </c>
      <c r="AN714" s="21">
        <v>0</v>
      </c>
      <c r="AP714" s="21">
        <v>329</v>
      </c>
      <c r="AQ714" s="21">
        <v>329</v>
      </c>
      <c r="AR714" s="21">
        <v>305</v>
      </c>
      <c r="AS714" s="21">
        <v>24</v>
      </c>
      <c r="AU714" s="21">
        <v>5</v>
      </c>
      <c r="AV714" s="21">
        <v>0</v>
      </c>
    </row>
    <row r="715" spans="1:48" x14ac:dyDescent="0.15">
      <c r="A715" s="20" t="s">
        <v>61</v>
      </c>
      <c r="B715" s="20" t="s">
        <v>111</v>
      </c>
      <c r="C715" s="21">
        <v>17045</v>
      </c>
      <c r="D715" s="21">
        <v>456</v>
      </c>
      <c r="E715" s="21">
        <v>-2</v>
      </c>
      <c r="F715" s="21">
        <v>17500</v>
      </c>
      <c r="G715" s="21">
        <v>4397</v>
      </c>
      <c r="H715" s="21">
        <v>5541</v>
      </c>
      <c r="I715" s="21">
        <v>238</v>
      </c>
      <c r="J715" s="21">
        <v>6087</v>
      </c>
      <c r="K715" s="21">
        <v>1236</v>
      </c>
      <c r="L715" s="21">
        <v>156</v>
      </c>
      <c r="M715" s="21">
        <v>0.69810000000000005</v>
      </c>
      <c r="N715" s="21">
        <v>0.55969999999999998</v>
      </c>
      <c r="O715" s="21">
        <v>0.33329999999999999</v>
      </c>
      <c r="P715" s="21">
        <v>174</v>
      </c>
      <c r="Q715" s="21">
        <v>0.86780000000000002</v>
      </c>
      <c r="R715" s="21">
        <v>112</v>
      </c>
      <c r="S715" s="21">
        <v>101</v>
      </c>
      <c r="T715" s="21">
        <v>6.2799999999999995E-2</v>
      </c>
      <c r="U715" s="21">
        <v>6.4100000000000004E-2</v>
      </c>
      <c r="V715" s="21">
        <v>0.50649999999999995</v>
      </c>
      <c r="W715" s="21">
        <v>138</v>
      </c>
      <c r="X715" s="21">
        <v>55</v>
      </c>
      <c r="Y715" s="21">
        <v>40</v>
      </c>
      <c r="Z715" s="21">
        <v>0.1</v>
      </c>
      <c r="AA715" s="21">
        <v>1.4</v>
      </c>
      <c r="AB715" s="21">
        <v>524</v>
      </c>
      <c r="AC715" s="21">
        <v>352</v>
      </c>
      <c r="AD715" s="21">
        <v>523</v>
      </c>
      <c r="AE715" s="21">
        <v>195</v>
      </c>
      <c r="AF715" s="21">
        <v>0.37359999999999999</v>
      </c>
      <c r="AG715" s="21">
        <v>0</v>
      </c>
      <c r="AH715" s="21">
        <v>0</v>
      </c>
      <c r="AI715" s="21">
        <v>0</v>
      </c>
      <c r="AJ715" s="21">
        <v>0.26919999999999999</v>
      </c>
      <c r="AK715" s="21">
        <v>0</v>
      </c>
      <c r="AL715" s="21">
        <v>0</v>
      </c>
      <c r="AM715" s="21">
        <v>0</v>
      </c>
      <c r="AN715" s="21">
        <v>0</v>
      </c>
      <c r="AP715" s="21">
        <v>50</v>
      </c>
      <c r="AQ715" s="21">
        <v>50</v>
      </c>
      <c r="AR715" s="21">
        <v>27</v>
      </c>
      <c r="AS715" s="21">
        <v>23</v>
      </c>
      <c r="AU715" s="21">
        <v>21</v>
      </c>
      <c r="AV715" s="21">
        <v>0</v>
      </c>
    </row>
    <row r="716" spans="1:48" x14ac:dyDescent="0.15">
      <c r="A716" s="20" t="s">
        <v>48</v>
      </c>
      <c r="B716" s="20" t="s">
        <v>112</v>
      </c>
      <c r="C716" s="21">
        <v>37659</v>
      </c>
      <c r="D716" s="21">
        <v>912</v>
      </c>
      <c r="E716" s="21">
        <v>0</v>
      </c>
      <c r="F716" s="21">
        <v>38571</v>
      </c>
      <c r="G716" s="21">
        <v>10411</v>
      </c>
      <c r="H716" s="21">
        <v>9760</v>
      </c>
      <c r="I716" s="21">
        <v>473</v>
      </c>
      <c r="J716" s="21">
        <v>7572</v>
      </c>
      <c r="K716" s="21">
        <v>616</v>
      </c>
      <c r="L716" s="21">
        <v>410</v>
      </c>
      <c r="M716" s="21">
        <v>0.69189999999999996</v>
      </c>
      <c r="N716" s="21">
        <v>0.66110000000000002</v>
      </c>
      <c r="O716" s="21">
        <v>0.22509999999999999</v>
      </c>
      <c r="P716" s="21">
        <v>872</v>
      </c>
      <c r="Q716" s="21">
        <v>0.52180000000000004</v>
      </c>
      <c r="R716" s="21">
        <v>93</v>
      </c>
      <c r="S716" s="21">
        <v>44</v>
      </c>
      <c r="T716" s="21">
        <v>7.51E-2</v>
      </c>
      <c r="U716" s="21">
        <v>4.5900000000000003E-2</v>
      </c>
      <c r="V716" s="21">
        <v>1</v>
      </c>
      <c r="W716" s="21">
        <v>450</v>
      </c>
      <c r="X716" s="21">
        <v>126</v>
      </c>
      <c r="Y716" s="21">
        <v>187</v>
      </c>
      <c r="Z716" s="21">
        <v>0.2</v>
      </c>
      <c r="AA716" s="21">
        <v>0.7</v>
      </c>
      <c r="AB716" s="21">
        <v>561</v>
      </c>
      <c r="AC716" s="21">
        <v>509</v>
      </c>
      <c r="AD716" s="21">
        <v>557</v>
      </c>
      <c r="AE716" s="21">
        <v>91</v>
      </c>
      <c r="AF716" s="21">
        <v>0.1646</v>
      </c>
      <c r="AG716" s="21">
        <v>0</v>
      </c>
      <c r="AH716" s="21">
        <v>0</v>
      </c>
      <c r="AI716" s="21">
        <v>0.36359999999999998</v>
      </c>
      <c r="AJ716" s="21">
        <v>0.47689999999999999</v>
      </c>
      <c r="AK716" s="21">
        <v>0</v>
      </c>
      <c r="AL716" s="21">
        <v>0</v>
      </c>
      <c r="AM716" s="21">
        <v>0</v>
      </c>
      <c r="AN716" s="21">
        <v>0</v>
      </c>
      <c r="AO716" s="21">
        <v>0.71679999999999999</v>
      </c>
      <c r="AP716" s="21">
        <v>3206</v>
      </c>
      <c r="AQ716" s="21">
        <v>93</v>
      </c>
      <c r="AR716" s="21">
        <v>83</v>
      </c>
      <c r="AS716" s="21">
        <v>10</v>
      </c>
      <c r="AT716" s="21">
        <v>0</v>
      </c>
      <c r="AU716" s="21">
        <v>6</v>
      </c>
      <c r="AV716" s="21">
        <v>74</v>
      </c>
    </row>
    <row r="717" spans="1:48" x14ac:dyDescent="0.15">
      <c r="A717" s="20" t="s">
        <v>50</v>
      </c>
      <c r="B717" s="20" t="s">
        <v>112</v>
      </c>
      <c r="C717" s="21">
        <v>72271</v>
      </c>
      <c r="D717" s="21">
        <v>1044</v>
      </c>
      <c r="E717" s="21">
        <v>0</v>
      </c>
      <c r="F717" s="21">
        <v>73315</v>
      </c>
      <c r="G717" s="21">
        <v>12208</v>
      </c>
      <c r="H717" s="21">
        <v>40944</v>
      </c>
      <c r="I717" s="21">
        <v>0</v>
      </c>
      <c r="J717" s="21">
        <v>12091</v>
      </c>
      <c r="K717" s="21">
        <v>4267</v>
      </c>
      <c r="L717" s="21">
        <v>422</v>
      </c>
      <c r="M717" s="21">
        <v>0.91239999999999999</v>
      </c>
      <c r="N717" s="21">
        <v>0.91239999999999999</v>
      </c>
      <c r="O717" s="21">
        <v>0.1221</v>
      </c>
      <c r="P717" s="21">
        <v>767</v>
      </c>
      <c r="Q717" s="21">
        <v>0.8175</v>
      </c>
      <c r="R717" s="21">
        <v>172</v>
      </c>
      <c r="S717" s="21">
        <v>96</v>
      </c>
      <c r="T717" s="21">
        <v>5.21E-2</v>
      </c>
      <c r="U717" s="21">
        <v>4.9599999999999998E-2</v>
      </c>
      <c r="V717" s="21">
        <v>0.94689999999999996</v>
      </c>
      <c r="W717" s="21">
        <v>174</v>
      </c>
      <c r="X717" s="21">
        <v>102</v>
      </c>
      <c r="Y717" s="21">
        <v>151</v>
      </c>
      <c r="Z717" s="21">
        <v>0.3</v>
      </c>
      <c r="AA717" s="21">
        <v>0.7</v>
      </c>
      <c r="AB717" s="21">
        <v>402</v>
      </c>
      <c r="AC717" s="21">
        <v>292</v>
      </c>
      <c r="AD717" s="21">
        <v>352</v>
      </c>
      <c r="AE717" s="21">
        <v>149</v>
      </c>
      <c r="AF717" s="21">
        <v>0.495</v>
      </c>
      <c r="AG717" s="21">
        <v>0</v>
      </c>
      <c r="AH717" s="21">
        <v>0</v>
      </c>
      <c r="AI717" s="21">
        <v>3.6999999999999998E-2</v>
      </c>
      <c r="AJ717" s="21">
        <v>0.25540000000000002</v>
      </c>
      <c r="AK717" s="21">
        <v>0</v>
      </c>
      <c r="AL717" s="21">
        <v>0</v>
      </c>
      <c r="AM717" s="21">
        <v>0</v>
      </c>
      <c r="AN717" s="21">
        <v>0</v>
      </c>
      <c r="AO717" s="21">
        <v>0.51910000000000001</v>
      </c>
      <c r="AP717" s="21">
        <v>1995</v>
      </c>
      <c r="AQ717" s="21">
        <v>136</v>
      </c>
      <c r="AR717" s="21">
        <v>128</v>
      </c>
      <c r="AS717" s="21">
        <v>1</v>
      </c>
      <c r="AT717" s="21">
        <v>7</v>
      </c>
      <c r="AU717" s="21">
        <v>6</v>
      </c>
      <c r="AV717" s="21">
        <v>53</v>
      </c>
    </row>
    <row r="718" spans="1:48" x14ac:dyDescent="0.15">
      <c r="A718" s="20" t="s">
        <v>51</v>
      </c>
      <c r="B718" s="20" t="s">
        <v>112</v>
      </c>
      <c r="C718" s="21">
        <v>110461</v>
      </c>
      <c r="D718" s="21">
        <v>5776</v>
      </c>
      <c r="E718" s="21">
        <v>24</v>
      </c>
      <c r="F718" s="21">
        <v>116237</v>
      </c>
      <c r="G718" s="21">
        <v>10019</v>
      </c>
      <c r="H718" s="21">
        <v>46538</v>
      </c>
      <c r="I718" s="21">
        <v>3702</v>
      </c>
      <c r="J718" s="21">
        <v>23425</v>
      </c>
      <c r="K718" s="21">
        <v>31953</v>
      </c>
      <c r="L718" s="21">
        <v>1646</v>
      </c>
      <c r="M718" s="21">
        <v>0.75629999999999997</v>
      </c>
      <c r="N718" s="21">
        <v>0.67210000000000003</v>
      </c>
      <c r="O718" s="21">
        <v>0.25750000000000001</v>
      </c>
      <c r="P718" s="21">
        <v>3410</v>
      </c>
      <c r="Q718" s="21">
        <v>0.58330000000000004</v>
      </c>
      <c r="R718" s="21">
        <v>71</v>
      </c>
      <c r="S718" s="21">
        <v>34</v>
      </c>
      <c r="T718" s="21">
        <v>8.9200000000000002E-2</v>
      </c>
      <c r="U718" s="21">
        <v>7.0800000000000002E-2</v>
      </c>
      <c r="V718" s="21">
        <v>0.68030000000000002</v>
      </c>
      <c r="W718" s="21">
        <v>3706</v>
      </c>
      <c r="X718" s="21">
        <v>1781</v>
      </c>
      <c r="Y718" s="21">
        <v>3046</v>
      </c>
      <c r="Z718" s="21">
        <v>0.3</v>
      </c>
      <c r="AA718" s="21">
        <v>0.6</v>
      </c>
      <c r="AB718" s="21">
        <v>5994</v>
      </c>
      <c r="AC718" s="21">
        <v>5614</v>
      </c>
      <c r="AD718" s="21">
        <v>5760</v>
      </c>
      <c r="AE718" s="21">
        <v>1046</v>
      </c>
      <c r="AF718" s="21">
        <v>0.1893</v>
      </c>
      <c r="AG718" s="21">
        <v>0</v>
      </c>
      <c r="AH718" s="21">
        <v>0</v>
      </c>
      <c r="AI718" s="21">
        <v>0.13200000000000001</v>
      </c>
      <c r="AJ718" s="21">
        <v>0.5252</v>
      </c>
      <c r="AK718" s="21">
        <v>0</v>
      </c>
      <c r="AL718" s="21">
        <v>0</v>
      </c>
      <c r="AM718" s="21">
        <v>0</v>
      </c>
      <c r="AN718" s="21">
        <v>0</v>
      </c>
      <c r="AO718" s="21">
        <v>0.67079999999999995</v>
      </c>
      <c r="AP718" s="21">
        <v>1414</v>
      </c>
      <c r="AQ718" s="21">
        <v>440</v>
      </c>
      <c r="AR718" s="21">
        <v>300</v>
      </c>
      <c r="AS718" s="21">
        <v>141</v>
      </c>
      <c r="AT718" s="21">
        <v>0</v>
      </c>
      <c r="AU718" s="21">
        <v>79</v>
      </c>
      <c r="AV718" s="21">
        <v>118</v>
      </c>
    </row>
    <row r="719" spans="1:48" x14ac:dyDescent="0.15">
      <c r="A719" s="20" t="s">
        <v>52</v>
      </c>
      <c r="B719" s="20" t="s">
        <v>112</v>
      </c>
      <c r="C719" s="21">
        <v>96364</v>
      </c>
      <c r="D719" s="21">
        <v>687</v>
      </c>
      <c r="E719" s="21">
        <v>2</v>
      </c>
      <c r="F719" s="21">
        <v>97054</v>
      </c>
      <c r="G719" s="21">
        <v>28594</v>
      </c>
      <c r="H719" s="21">
        <v>30112</v>
      </c>
      <c r="I719" s="21">
        <v>102</v>
      </c>
      <c r="J719" s="21">
        <v>29729</v>
      </c>
      <c r="K719" s="21">
        <v>8518</v>
      </c>
      <c r="L719" s="21">
        <v>451</v>
      </c>
      <c r="M719" s="21">
        <v>0.89290000000000003</v>
      </c>
      <c r="N719" s="21">
        <v>0.88660000000000005</v>
      </c>
      <c r="O719" s="21">
        <v>0.1366</v>
      </c>
      <c r="P719" s="21">
        <v>1023</v>
      </c>
      <c r="Q719" s="21">
        <v>0.70479999999999998</v>
      </c>
      <c r="R719" s="21">
        <v>210</v>
      </c>
      <c r="S719" s="21">
        <v>95</v>
      </c>
      <c r="T719" s="21">
        <v>7.0400000000000004E-2</v>
      </c>
      <c r="U719" s="21">
        <v>5.4199999999999998E-2</v>
      </c>
      <c r="V719" s="21">
        <v>0.67649999999999999</v>
      </c>
      <c r="W719" s="21">
        <v>623</v>
      </c>
      <c r="X719" s="21">
        <v>244</v>
      </c>
      <c r="Y719" s="21">
        <v>310</v>
      </c>
      <c r="Z719" s="21">
        <v>0.4</v>
      </c>
      <c r="AA719" s="21">
        <v>0.8</v>
      </c>
      <c r="AB719" s="21">
        <v>512</v>
      </c>
      <c r="AC719" s="21">
        <v>512</v>
      </c>
      <c r="AD719" s="21">
        <v>679</v>
      </c>
      <c r="AE719" s="21">
        <v>45</v>
      </c>
      <c r="AF719" s="21">
        <v>5.3199999999999997E-2</v>
      </c>
      <c r="AG719" s="21">
        <v>0</v>
      </c>
      <c r="AH719" s="21">
        <v>0</v>
      </c>
      <c r="AI719" s="21">
        <v>0.15379999999999999</v>
      </c>
      <c r="AJ719" s="21">
        <v>0.48720000000000002</v>
      </c>
      <c r="AK719" s="21">
        <v>0</v>
      </c>
      <c r="AL719" s="21">
        <v>0</v>
      </c>
      <c r="AM719" s="21">
        <v>0</v>
      </c>
      <c r="AN719" s="21">
        <v>0</v>
      </c>
      <c r="AO719" s="21">
        <v>0.93520000000000003</v>
      </c>
      <c r="AP719" s="21">
        <v>599</v>
      </c>
      <c r="AQ719" s="21">
        <v>212</v>
      </c>
      <c r="AR719" s="21">
        <v>190</v>
      </c>
      <c r="AS719" s="21">
        <v>22</v>
      </c>
      <c r="AU719" s="21">
        <v>46</v>
      </c>
      <c r="AV719" s="21">
        <v>298</v>
      </c>
    </row>
    <row r="720" spans="1:48" x14ac:dyDescent="0.15">
      <c r="A720" s="20" t="s">
        <v>53</v>
      </c>
      <c r="B720" s="20" t="s">
        <v>112</v>
      </c>
      <c r="C720" s="21">
        <v>2426</v>
      </c>
      <c r="D720" s="21">
        <v>1</v>
      </c>
      <c r="E720" s="21">
        <v>60871</v>
      </c>
      <c r="F720" s="21">
        <v>63298</v>
      </c>
      <c r="H720" s="21">
        <v>19978</v>
      </c>
      <c r="I720" s="21">
        <v>39498</v>
      </c>
      <c r="J720" s="21">
        <v>3822</v>
      </c>
      <c r="K720" s="21">
        <v>0</v>
      </c>
      <c r="L720" s="21">
        <v>65</v>
      </c>
      <c r="M720" s="21">
        <v>0.55379999999999996</v>
      </c>
      <c r="N720" s="21">
        <v>0.55379999999999996</v>
      </c>
      <c r="O720" s="21">
        <v>1.54E-2</v>
      </c>
      <c r="P720" s="21">
        <v>1308</v>
      </c>
      <c r="Q720" s="21">
        <v>0.36009999999999998</v>
      </c>
      <c r="R720" s="21">
        <v>1151</v>
      </c>
      <c r="S720" s="21">
        <v>48</v>
      </c>
      <c r="T720" s="21">
        <v>0.1043</v>
      </c>
      <c r="U720" s="21">
        <v>8.9999999999999998E-4</v>
      </c>
      <c r="W720" s="21">
        <v>413</v>
      </c>
      <c r="X720" s="21">
        <v>426</v>
      </c>
      <c r="Y720" s="21">
        <v>490</v>
      </c>
      <c r="Z720" s="21">
        <v>0.6</v>
      </c>
      <c r="AA720" s="21">
        <v>0.9</v>
      </c>
      <c r="AB720" s="21">
        <v>710</v>
      </c>
      <c r="AC720" s="21">
        <v>710</v>
      </c>
      <c r="AD720" s="21">
        <v>675</v>
      </c>
      <c r="AE720" s="21">
        <v>143</v>
      </c>
      <c r="AF720" s="21">
        <v>0.22339999999999999</v>
      </c>
      <c r="AG720" s="21">
        <v>0</v>
      </c>
      <c r="AH720" s="21">
        <v>0</v>
      </c>
      <c r="AI720" s="21">
        <v>0.22450000000000001</v>
      </c>
      <c r="AJ720" s="21">
        <v>1</v>
      </c>
      <c r="AK720" s="21">
        <v>0</v>
      </c>
      <c r="AL720" s="21">
        <v>0</v>
      </c>
      <c r="AM720" s="21">
        <v>0</v>
      </c>
      <c r="AN720" s="21">
        <v>0</v>
      </c>
      <c r="AP720" s="21">
        <v>7638</v>
      </c>
      <c r="AQ720" s="21">
        <v>159</v>
      </c>
      <c r="AR720" s="21">
        <v>147</v>
      </c>
      <c r="AS720" s="21">
        <v>12</v>
      </c>
      <c r="AU720" s="21">
        <v>0</v>
      </c>
      <c r="AV720" s="21">
        <v>0</v>
      </c>
    </row>
    <row r="721" spans="1:48" x14ac:dyDescent="0.15">
      <c r="A721" s="20" t="s">
        <v>0</v>
      </c>
      <c r="B721" s="20" t="s">
        <v>112</v>
      </c>
      <c r="C721" s="21">
        <v>586802</v>
      </c>
      <c r="D721" s="21">
        <v>11212</v>
      </c>
      <c r="E721" s="21">
        <v>137313</v>
      </c>
      <c r="F721" s="21">
        <v>735294</v>
      </c>
      <c r="G721" s="21">
        <v>95609</v>
      </c>
      <c r="H721" s="21">
        <v>238872</v>
      </c>
      <c r="I721" s="21">
        <v>48132</v>
      </c>
      <c r="J721" s="21">
        <v>135448</v>
      </c>
      <c r="K721" s="21">
        <v>193726</v>
      </c>
      <c r="L721" s="21">
        <v>4681</v>
      </c>
      <c r="M721" s="21">
        <v>0.7671</v>
      </c>
      <c r="N721" s="21">
        <v>0.72109999999999996</v>
      </c>
      <c r="O721" s="21">
        <v>0.1782</v>
      </c>
      <c r="P721" s="21">
        <v>14082</v>
      </c>
      <c r="Q721" s="21">
        <v>0.53220000000000001</v>
      </c>
      <c r="R721" s="21">
        <v>158</v>
      </c>
      <c r="S721" s="21">
        <v>52</v>
      </c>
      <c r="T721" s="21">
        <v>8.5599999999999996E-2</v>
      </c>
      <c r="U721" s="21">
        <v>5.28E-2</v>
      </c>
      <c r="V721" s="21">
        <v>0.8196</v>
      </c>
      <c r="W721" s="21">
        <v>11458</v>
      </c>
      <c r="X721" s="21">
        <v>4691</v>
      </c>
      <c r="Y721" s="21">
        <v>6942</v>
      </c>
      <c r="Z721" s="21">
        <v>0.4</v>
      </c>
      <c r="AA721" s="21">
        <v>0.7</v>
      </c>
      <c r="AB721" s="21">
        <v>12485</v>
      </c>
      <c r="AC721" s="21">
        <v>11682</v>
      </c>
      <c r="AD721" s="21">
        <v>12270</v>
      </c>
      <c r="AE721" s="21">
        <v>2290</v>
      </c>
      <c r="AF721" s="21">
        <v>0.19</v>
      </c>
      <c r="AG721" s="21">
        <v>0</v>
      </c>
      <c r="AH721" s="21">
        <v>0</v>
      </c>
      <c r="AI721" s="21">
        <v>0.1457</v>
      </c>
      <c r="AJ721" s="21">
        <v>0.44819999999999999</v>
      </c>
      <c r="AK721" s="21">
        <v>0</v>
      </c>
      <c r="AL721" s="21">
        <v>0</v>
      </c>
      <c r="AM721" s="21">
        <v>0</v>
      </c>
      <c r="AN721" s="21">
        <v>0</v>
      </c>
      <c r="AO721" s="21">
        <v>0.80940000000000001</v>
      </c>
      <c r="AP721" s="21">
        <v>125851</v>
      </c>
      <c r="AQ721" s="21">
        <v>1692</v>
      </c>
      <c r="AR721" s="21">
        <v>1395</v>
      </c>
      <c r="AS721" s="21">
        <v>225</v>
      </c>
      <c r="AT721" s="21">
        <v>72</v>
      </c>
      <c r="AU721" s="21">
        <v>1050</v>
      </c>
      <c r="AV721" s="21">
        <v>706</v>
      </c>
    </row>
    <row r="722" spans="1:48" x14ac:dyDescent="0.15">
      <c r="A722" s="20" t="s">
        <v>54</v>
      </c>
      <c r="B722" s="20" t="s">
        <v>112</v>
      </c>
      <c r="C722" s="21">
        <v>104569</v>
      </c>
      <c r="D722" s="21">
        <v>52</v>
      </c>
      <c r="E722" s="21">
        <v>40102</v>
      </c>
      <c r="F722" s="21">
        <v>144723</v>
      </c>
      <c r="H722" s="21">
        <v>40515</v>
      </c>
      <c r="I722" s="21">
        <v>0</v>
      </c>
      <c r="J722" s="21">
        <v>7113</v>
      </c>
      <c r="K722" s="21">
        <v>96279</v>
      </c>
      <c r="L722" s="21">
        <v>238</v>
      </c>
      <c r="M722" s="21">
        <v>0.83330000000000004</v>
      </c>
      <c r="N722" s="21">
        <v>0.83330000000000004</v>
      </c>
      <c r="O722" s="21">
        <v>1.9400000000000001E-2</v>
      </c>
      <c r="P722" s="21">
        <v>2346</v>
      </c>
      <c r="Q722" s="21">
        <v>0.5857</v>
      </c>
      <c r="R722" s="21">
        <v>599</v>
      </c>
      <c r="S722" s="21">
        <v>62</v>
      </c>
      <c r="T722" s="21">
        <v>6.5799999999999997E-2</v>
      </c>
      <c r="U722" s="21">
        <v>1.2200000000000001E-2</v>
      </c>
      <c r="W722" s="21">
        <v>2459</v>
      </c>
      <c r="X722" s="21">
        <v>439</v>
      </c>
      <c r="Y722" s="21">
        <v>541</v>
      </c>
      <c r="Z722" s="21">
        <v>0.7</v>
      </c>
      <c r="AA722" s="21">
        <v>0.8</v>
      </c>
      <c r="AB722" s="21">
        <v>582</v>
      </c>
      <c r="AC722" s="21">
        <v>582</v>
      </c>
      <c r="AD722" s="21">
        <v>625</v>
      </c>
      <c r="AE722" s="21">
        <v>69</v>
      </c>
      <c r="AF722" s="21">
        <v>0.1033</v>
      </c>
      <c r="AG722" s="21">
        <v>0</v>
      </c>
      <c r="AH722" s="21">
        <v>0</v>
      </c>
      <c r="AI722" s="21">
        <v>0</v>
      </c>
      <c r="AJ722" s="21">
        <v>0</v>
      </c>
      <c r="AK722" s="21">
        <v>0</v>
      </c>
      <c r="AL722" s="21">
        <v>0</v>
      </c>
      <c r="AM722" s="21">
        <v>0</v>
      </c>
      <c r="AN722" s="21">
        <v>0</v>
      </c>
      <c r="AP722" s="21">
        <v>625</v>
      </c>
      <c r="AQ722" s="21">
        <v>84</v>
      </c>
      <c r="AR722" s="21">
        <v>80</v>
      </c>
      <c r="AS722" s="21">
        <v>2</v>
      </c>
      <c r="AT722" s="21">
        <v>1</v>
      </c>
      <c r="AU722" s="21">
        <v>0</v>
      </c>
      <c r="AV722" s="21">
        <v>0</v>
      </c>
    </row>
    <row r="723" spans="1:48" x14ac:dyDescent="0.15">
      <c r="A723" s="20" t="s">
        <v>55</v>
      </c>
      <c r="B723" s="20" t="s">
        <v>112</v>
      </c>
      <c r="C723" s="21">
        <v>0</v>
      </c>
      <c r="D723" s="21">
        <v>0</v>
      </c>
      <c r="E723" s="21">
        <v>1071</v>
      </c>
      <c r="F723" s="21">
        <v>1071</v>
      </c>
      <c r="G723" s="21">
        <v>36</v>
      </c>
      <c r="I723" s="21">
        <v>1035</v>
      </c>
      <c r="L723" s="21">
        <v>27</v>
      </c>
      <c r="M723" s="21">
        <v>0.37040000000000001</v>
      </c>
      <c r="N723" s="21">
        <v>0.37040000000000001</v>
      </c>
      <c r="O723" s="21">
        <v>0</v>
      </c>
      <c r="P723" s="21">
        <v>358</v>
      </c>
      <c r="Q723" s="21">
        <v>0.10059999999999999</v>
      </c>
      <c r="R723" s="21">
        <v>79</v>
      </c>
      <c r="S723" s="21">
        <v>3</v>
      </c>
      <c r="T723" s="21">
        <v>7.0000000000000001E-3</v>
      </c>
      <c r="U723" s="21">
        <v>0</v>
      </c>
      <c r="AB723" s="21">
        <v>0</v>
      </c>
      <c r="AC723" s="21">
        <v>0</v>
      </c>
      <c r="AD723" s="21">
        <v>0</v>
      </c>
      <c r="AE723" s="21">
        <v>0</v>
      </c>
      <c r="AF723" s="21">
        <v>0</v>
      </c>
      <c r="AG723" s="21">
        <v>0</v>
      </c>
      <c r="AH723" s="21">
        <v>0</v>
      </c>
      <c r="AI723" s="21">
        <v>0</v>
      </c>
      <c r="AJ723" s="21">
        <v>0</v>
      </c>
      <c r="AK723" s="21">
        <v>0</v>
      </c>
      <c r="AL723" s="21">
        <v>0</v>
      </c>
      <c r="AM723" s="21">
        <v>0</v>
      </c>
      <c r="AN723" s="21">
        <v>0</v>
      </c>
      <c r="AP723" s="21">
        <v>91</v>
      </c>
      <c r="AQ723" s="21">
        <v>4</v>
      </c>
      <c r="AR723" s="21">
        <v>2</v>
      </c>
      <c r="AS723" s="21">
        <v>1</v>
      </c>
      <c r="AU723" s="21">
        <v>0</v>
      </c>
      <c r="AV723" s="21">
        <v>0</v>
      </c>
    </row>
    <row r="724" spans="1:48" x14ac:dyDescent="0.15">
      <c r="A724" s="20" t="s">
        <v>56</v>
      </c>
      <c r="B724" s="20" t="s">
        <v>112</v>
      </c>
      <c r="C724" s="21">
        <v>29240</v>
      </c>
      <c r="D724" s="21">
        <v>1</v>
      </c>
      <c r="E724" s="21">
        <v>-6</v>
      </c>
      <c r="F724" s="21">
        <v>29235</v>
      </c>
      <c r="H724" s="21">
        <v>898</v>
      </c>
      <c r="J724" s="21">
        <v>13171</v>
      </c>
      <c r="K724" s="21">
        <v>15166</v>
      </c>
      <c r="L724" s="21">
        <v>178</v>
      </c>
      <c r="M724" s="21">
        <v>0.7238</v>
      </c>
      <c r="N724" s="21">
        <v>0.7238</v>
      </c>
      <c r="O724" s="21">
        <v>5.4999999999999997E-3</v>
      </c>
      <c r="P724" s="21">
        <v>945</v>
      </c>
      <c r="Q724" s="21">
        <v>0.26140000000000002</v>
      </c>
      <c r="R724" s="21">
        <v>165</v>
      </c>
      <c r="S724" s="21">
        <v>31</v>
      </c>
      <c r="T724" s="21">
        <v>0.13639999999999999</v>
      </c>
      <c r="U724" s="21">
        <v>5.0200000000000002E-2</v>
      </c>
      <c r="V724" s="21">
        <v>1</v>
      </c>
      <c r="W724" s="21">
        <v>71</v>
      </c>
      <c r="X724" s="21">
        <v>56</v>
      </c>
      <c r="Y724" s="21">
        <v>93</v>
      </c>
      <c r="Z724" s="21">
        <v>0.4</v>
      </c>
      <c r="AA724" s="21">
        <v>0.6</v>
      </c>
      <c r="AB724" s="21">
        <v>184</v>
      </c>
      <c r="AC724" s="21">
        <v>85</v>
      </c>
      <c r="AD724" s="21">
        <v>136</v>
      </c>
      <c r="AE724" s="21">
        <v>106</v>
      </c>
      <c r="AF724" s="21">
        <v>1.2044999999999999</v>
      </c>
      <c r="AG724" s="21">
        <v>0</v>
      </c>
      <c r="AH724" s="21">
        <v>0</v>
      </c>
      <c r="AI724" s="21">
        <v>0</v>
      </c>
      <c r="AJ724" s="21">
        <v>7.6899999999999996E-2</v>
      </c>
      <c r="AK724" s="21">
        <v>0</v>
      </c>
      <c r="AL724" s="21">
        <v>0</v>
      </c>
      <c r="AM724" s="21">
        <v>0</v>
      </c>
      <c r="AN724" s="21">
        <v>0</v>
      </c>
      <c r="AP724" s="21">
        <v>94049</v>
      </c>
      <c r="AQ724" s="21">
        <v>36</v>
      </c>
      <c r="AR724" s="21">
        <v>35</v>
      </c>
      <c r="AS724" s="21">
        <v>0</v>
      </c>
      <c r="AU724" s="21">
        <v>0</v>
      </c>
      <c r="AV724" s="21">
        <v>5</v>
      </c>
    </row>
    <row r="725" spans="1:48" x14ac:dyDescent="0.15">
      <c r="A725" s="20" t="s">
        <v>57</v>
      </c>
      <c r="B725" s="20" t="s">
        <v>112</v>
      </c>
      <c r="C725" s="21">
        <v>33029</v>
      </c>
      <c r="D725" s="21">
        <v>484</v>
      </c>
      <c r="E725" s="21">
        <v>13164</v>
      </c>
      <c r="F725" s="21">
        <v>46673</v>
      </c>
      <c r="G725" s="21">
        <v>5672</v>
      </c>
      <c r="H725" s="21">
        <v>13522</v>
      </c>
      <c r="I725" s="21">
        <v>1685</v>
      </c>
      <c r="J725" s="21">
        <v>17174</v>
      </c>
      <c r="K725" s="21">
        <v>74</v>
      </c>
      <c r="L725" s="21">
        <v>409</v>
      </c>
      <c r="M725" s="21">
        <v>0.67459999999999998</v>
      </c>
      <c r="N725" s="21">
        <v>0.63639999999999997</v>
      </c>
      <c r="O725" s="21">
        <v>0.1053</v>
      </c>
      <c r="P725" s="21">
        <v>650</v>
      </c>
      <c r="Q725" s="21">
        <v>0.50460000000000005</v>
      </c>
      <c r="R725" s="21">
        <v>114</v>
      </c>
      <c r="S725" s="21">
        <v>72</v>
      </c>
      <c r="T725" s="21">
        <v>9.7900000000000001E-2</v>
      </c>
      <c r="U725" s="21">
        <v>4.6800000000000001E-2</v>
      </c>
      <c r="V725" s="21">
        <v>0.88570000000000004</v>
      </c>
      <c r="W725" s="21">
        <v>693</v>
      </c>
      <c r="X725" s="21">
        <v>388</v>
      </c>
      <c r="Y725" s="21">
        <v>422</v>
      </c>
      <c r="Z725" s="21">
        <v>0.4</v>
      </c>
      <c r="AA725" s="21">
        <v>0.9</v>
      </c>
      <c r="AB725" s="21">
        <v>865</v>
      </c>
      <c r="AC725" s="21">
        <v>800</v>
      </c>
      <c r="AD725" s="21">
        <v>897</v>
      </c>
      <c r="AE725" s="21">
        <v>136</v>
      </c>
      <c r="AF725" s="21">
        <v>0.1464</v>
      </c>
      <c r="AG725" s="21">
        <v>0</v>
      </c>
      <c r="AH725" s="21">
        <v>0</v>
      </c>
      <c r="AI725" s="21">
        <v>0</v>
      </c>
      <c r="AJ725" s="21">
        <v>0.89659999999999995</v>
      </c>
      <c r="AK725" s="21">
        <v>0</v>
      </c>
      <c r="AL725" s="21">
        <v>0</v>
      </c>
      <c r="AM725" s="21">
        <v>0</v>
      </c>
      <c r="AN725" s="21">
        <v>0</v>
      </c>
      <c r="AO725" s="21">
        <v>0.82930000000000004</v>
      </c>
      <c r="AP725" s="21">
        <v>10418</v>
      </c>
      <c r="AQ725" s="21">
        <v>197</v>
      </c>
      <c r="AR725" s="21">
        <v>119</v>
      </c>
      <c r="AS725" s="21">
        <v>14</v>
      </c>
      <c r="AT725" s="21">
        <v>64</v>
      </c>
      <c r="AU725" s="21">
        <v>896</v>
      </c>
      <c r="AV725" s="21">
        <v>158</v>
      </c>
    </row>
    <row r="726" spans="1:48" x14ac:dyDescent="0.15">
      <c r="A726" s="20" t="s">
        <v>58</v>
      </c>
      <c r="B726" s="20" t="s">
        <v>112</v>
      </c>
      <c r="C726" s="21">
        <v>37233</v>
      </c>
      <c r="D726" s="21">
        <v>217</v>
      </c>
      <c r="E726" s="21">
        <v>19515</v>
      </c>
      <c r="F726" s="21">
        <v>56964</v>
      </c>
      <c r="G726" s="21">
        <v>16718</v>
      </c>
      <c r="H726" s="21">
        <v>19561</v>
      </c>
      <c r="J726" s="21">
        <v>1181</v>
      </c>
      <c r="K726" s="21">
        <v>19504</v>
      </c>
      <c r="L726" s="21">
        <v>270</v>
      </c>
      <c r="M726" s="21">
        <v>0.87360000000000004</v>
      </c>
      <c r="N726" s="21">
        <v>0.87360000000000004</v>
      </c>
      <c r="O726" s="21">
        <v>0.14080000000000001</v>
      </c>
      <c r="P726" s="21">
        <v>812</v>
      </c>
      <c r="Q726" s="21">
        <v>0.65890000000000004</v>
      </c>
      <c r="R726" s="21">
        <v>224</v>
      </c>
      <c r="S726" s="21">
        <v>70</v>
      </c>
      <c r="T726" s="21">
        <v>0.13189999999999999</v>
      </c>
      <c r="U726" s="21">
        <v>1.2800000000000001E-2</v>
      </c>
      <c r="W726" s="21">
        <v>1194</v>
      </c>
      <c r="X726" s="21">
        <v>540</v>
      </c>
      <c r="Y726" s="21">
        <v>960</v>
      </c>
      <c r="Z726" s="21">
        <v>0.5</v>
      </c>
      <c r="AA726" s="21">
        <v>0.6</v>
      </c>
      <c r="AB726" s="21">
        <v>1211</v>
      </c>
      <c r="AC726" s="21">
        <v>1211</v>
      </c>
      <c r="AD726" s="21">
        <v>1174</v>
      </c>
      <c r="AE726" s="21">
        <v>239</v>
      </c>
      <c r="AF726" s="21">
        <v>0.21</v>
      </c>
      <c r="AG726" s="21">
        <v>0</v>
      </c>
      <c r="AH726" s="21">
        <v>0</v>
      </c>
      <c r="AI726" s="21">
        <v>0.23080000000000001</v>
      </c>
      <c r="AJ726" s="21">
        <v>0.443</v>
      </c>
      <c r="AK726" s="21">
        <v>0</v>
      </c>
      <c r="AL726" s="21">
        <v>0</v>
      </c>
      <c r="AM726" s="21">
        <v>0</v>
      </c>
      <c r="AN726" s="21">
        <v>0</v>
      </c>
      <c r="AP726" s="21">
        <v>1945</v>
      </c>
      <c r="AQ726" s="21">
        <v>120</v>
      </c>
      <c r="AR726" s="21">
        <v>117</v>
      </c>
      <c r="AS726" s="21">
        <v>3</v>
      </c>
      <c r="AU726" s="21">
        <v>0</v>
      </c>
      <c r="AV726" s="21">
        <v>0</v>
      </c>
    </row>
    <row r="727" spans="1:48" x14ac:dyDescent="0.15">
      <c r="A727" s="20" t="s">
        <v>59</v>
      </c>
      <c r="B727" s="20" t="s">
        <v>112</v>
      </c>
      <c r="C727" s="21">
        <v>22395</v>
      </c>
      <c r="D727" s="21">
        <v>129</v>
      </c>
      <c r="E727" s="21">
        <v>2565</v>
      </c>
      <c r="F727" s="21">
        <v>25089</v>
      </c>
      <c r="G727" s="21">
        <v>3845</v>
      </c>
      <c r="H727" s="21">
        <v>0</v>
      </c>
      <c r="I727" s="21">
        <v>127</v>
      </c>
      <c r="J727" s="21">
        <v>6245</v>
      </c>
      <c r="K727" s="21">
        <v>14872</v>
      </c>
      <c r="L727" s="21">
        <v>129</v>
      </c>
      <c r="M727" s="21">
        <v>0.73680000000000001</v>
      </c>
      <c r="N727" s="21">
        <v>0.73680000000000001</v>
      </c>
      <c r="O727" s="21">
        <v>0.1053</v>
      </c>
      <c r="P727" s="21">
        <v>1119</v>
      </c>
      <c r="Q727" s="21">
        <v>0.28870000000000001</v>
      </c>
      <c r="R727" s="21">
        <v>210</v>
      </c>
      <c r="S727" s="21">
        <v>22</v>
      </c>
      <c r="T727" s="21">
        <v>0.1174</v>
      </c>
      <c r="U727" s="21">
        <v>3.3E-3</v>
      </c>
      <c r="W727" s="21">
        <v>143</v>
      </c>
      <c r="X727" s="21">
        <v>43</v>
      </c>
      <c r="Y727" s="21">
        <v>61</v>
      </c>
      <c r="Z727" s="21">
        <v>0.3</v>
      </c>
      <c r="AA727" s="21">
        <v>0.7</v>
      </c>
      <c r="AB727" s="21">
        <v>134</v>
      </c>
      <c r="AC727" s="21">
        <v>134</v>
      </c>
      <c r="AD727" s="21">
        <v>144</v>
      </c>
      <c r="AE727" s="21">
        <v>29</v>
      </c>
      <c r="AF727" s="21">
        <v>0.1883</v>
      </c>
      <c r="AG727" s="21">
        <v>0</v>
      </c>
      <c r="AH727" s="21">
        <v>0</v>
      </c>
      <c r="AI727" s="21">
        <v>0</v>
      </c>
      <c r="AJ727" s="21">
        <v>0</v>
      </c>
      <c r="AK727" s="21">
        <v>0</v>
      </c>
      <c r="AL727" s="21">
        <v>0</v>
      </c>
      <c r="AM727" s="21">
        <v>0</v>
      </c>
      <c r="AN727" s="21">
        <v>0</v>
      </c>
      <c r="AP727" s="21">
        <v>1</v>
      </c>
      <c r="AQ727" s="21">
        <v>1</v>
      </c>
      <c r="AS727" s="21">
        <v>1</v>
      </c>
      <c r="AU727" s="21">
        <v>0</v>
      </c>
      <c r="AV727" s="21">
        <v>0</v>
      </c>
    </row>
    <row r="728" spans="1:48" x14ac:dyDescent="0.15">
      <c r="A728" s="20" t="s">
        <v>60</v>
      </c>
      <c r="B728" s="20" t="s">
        <v>112</v>
      </c>
      <c r="C728" s="21">
        <v>22999</v>
      </c>
      <c r="D728" s="21">
        <v>956</v>
      </c>
      <c r="E728" s="21">
        <v>6</v>
      </c>
      <c r="F728" s="21">
        <v>23955</v>
      </c>
      <c r="G728" s="21">
        <v>5257</v>
      </c>
      <c r="H728" s="21">
        <v>9436</v>
      </c>
      <c r="I728" s="21">
        <v>840</v>
      </c>
      <c r="J728" s="21">
        <v>6722</v>
      </c>
      <c r="K728" s="21">
        <v>1700</v>
      </c>
      <c r="L728" s="21">
        <v>286</v>
      </c>
      <c r="M728" s="21">
        <v>0.64090000000000003</v>
      </c>
      <c r="N728" s="21">
        <v>0.56040000000000001</v>
      </c>
      <c r="O728" s="21">
        <v>0.18790000000000001</v>
      </c>
      <c r="P728" s="21">
        <v>298</v>
      </c>
      <c r="Q728" s="21">
        <v>0.77849999999999997</v>
      </c>
      <c r="R728" s="21">
        <v>84</v>
      </c>
      <c r="S728" s="21">
        <v>80</v>
      </c>
      <c r="T728" s="21">
        <v>6.8500000000000005E-2</v>
      </c>
      <c r="U728" s="21">
        <v>4.3499999999999997E-2</v>
      </c>
      <c r="W728" s="21">
        <v>1045</v>
      </c>
      <c r="X728" s="21">
        <v>348</v>
      </c>
      <c r="Y728" s="21">
        <v>465</v>
      </c>
      <c r="Z728" s="21">
        <v>0.5</v>
      </c>
      <c r="AA728" s="21">
        <v>0.7</v>
      </c>
      <c r="AB728" s="21">
        <v>809</v>
      </c>
      <c r="AC728" s="21">
        <v>712</v>
      </c>
      <c r="AD728" s="21">
        <v>748</v>
      </c>
      <c r="AE728" s="21">
        <v>191</v>
      </c>
      <c r="AF728" s="21">
        <v>0.27760000000000001</v>
      </c>
      <c r="AG728" s="21">
        <v>0</v>
      </c>
      <c r="AH728" s="21">
        <v>0</v>
      </c>
      <c r="AI728" s="21">
        <v>0.1552</v>
      </c>
      <c r="AJ728" s="21">
        <v>0.3125</v>
      </c>
      <c r="AK728" s="21">
        <v>0</v>
      </c>
      <c r="AL728" s="21">
        <v>0</v>
      </c>
      <c r="AM728" s="21">
        <v>0</v>
      </c>
      <c r="AN728" s="21">
        <v>0</v>
      </c>
      <c r="AP728" s="21">
        <v>3779</v>
      </c>
      <c r="AQ728" s="21">
        <v>149</v>
      </c>
      <c r="AR728" s="21">
        <v>136</v>
      </c>
      <c r="AS728" s="21">
        <v>13</v>
      </c>
      <c r="AU728" s="21">
        <v>7</v>
      </c>
      <c r="AV728" s="21">
        <v>0</v>
      </c>
    </row>
    <row r="729" spans="1:48" x14ac:dyDescent="0.15">
      <c r="A729" s="20" t="s">
        <v>61</v>
      </c>
      <c r="B729" s="20" t="s">
        <v>112</v>
      </c>
      <c r="C729" s="21">
        <v>18156</v>
      </c>
      <c r="D729" s="21">
        <v>954</v>
      </c>
      <c r="E729" s="21">
        <v>0</v>
      </c>
      <c r="F729" s="21">
        <v>19110</v>
      </c>
      <c r="G729" s="21">
        <v>2850</v>
      </c>
      <c r="H729" s="21">
        <v>7607</v>
      </c>
      <c r="I729" s="21">
        <v>671</v>
      </c>
      <c r="J729" s="21">
        <v>7204</v>
      </c>
      <c r="K729" s="21">
        <v>777</v>
      </c>
      <c r="L729" s="21">
        <v>150</v>
      </c>
      <c r="M729" s="21">
        <v>0.71970000000000001</v>
      </c>
      <c r="N729" s="21">
        <v>0.5605</v>
      </c>
      <c r="O729" s="21">
        <v>0.35670000000000002</v>
      </c>
      <c r="P729" s="21">
        <v>174</v>
      </c>
      <c r="Q729" s="21">
        <v>0.89659999999999995</v>
      </c>
      <c r="R729" s="21">
        <v>125</v>
      </c>
      <c r="S729" s="21">
        <v>110</v>
      </c>
      <c r="T729" s="21">
        <v>0.09</v>
      </c>
      <c r="U729" s="21">
        <v>6.5799999999999997E-2</v>
      </c>
      <c r="V729" s="21">
        <v>0.88329999999999997</v>
      </c>
      <c r="W729" s="21">
        <v>486</v>
      </c>
      <c r="X729" s="21">
        <v>196</v>
      </c>
      <c r="Y729" s="21">
        <v>216</v>
      </c>
      <c r="Z729" s="21">
        <v>0.4</v>
      </c>
      <c r="AA729" s="21">
        <v>0.9</v>
      </c>
      <c r="AB729" s="21">
        <v>521</v>
      </c>
      <c r="AC729" s="21">
        <v>521</v>
      </c>
      <c r="AD729" s="21">
        <v>522</v>
      </c>
      <c r="AE729" s="21">
        <v>46</v>
      </c>
      <c r="AF729" s="21">
        <v>8.7800000000000003E-2</v>
      </c>
      <c r="AG729" s="21">
        <v>0</v>
      </c>
      <c r="AH729" s="21">
        <v>0</v>
      </c>
      <c r="AI729" s="21">
        <v>0.1053</v>
      </c>
      <c r="AJ729" s="21">
        <v>9.0899999999999995E-2</v>
      </c>
      <c r="AK729" s="21">
        <v>0</v>
      </c>
      <c r="AL729" s="21">
        <v>0</v>
      </c>
      <c r="AM729" s="21">
        <v>0</v>
      </c>
      <c r="AN729" s="21">
        <v>0</v>
      </c>
      <c r="AP729" s="21">
        <v>91</v>
      </c>
      <c r="AQ729" s="21">
        <v>62</v>
      </c>
      <c r="AR729" s="21">
        <v>56</v>
      </c>
      <c r="AS729" s="21">
        <v>5</v>
      </c>
      <c r="AU729" s="21">
        <v>11</v>
      </c>
      <c r="AV729" s="21">
        <v>0</v>
      </c>
    </row>
    <row r="730" spans="1:48" x14ac:dyDescent="0.15">
      <c r="A730" s="20" t="s">
        <v>48</v>
      </c>
      <c r="B730" s="20" t="s">
        <v>113</v>
      </c>
      <c r="C730" s="21">
        <v>10948</v>
      </c>
      <c r="D730" s="21">
        <v>285</v>
      </c>
      <c r="E730" s="21">
        <v>28785</v>
      </c>
      <c r="F730" s="21">
        <v>40018</v>
      </c>
      <c r="G730" s="21">
        <v>7213</v>
      </c>
      <c r="H730" s="21">
        <v>13250</v>
      </c>
      <c r="I730" s="21">
        <v>3790</v>
      </c>
      <c r="J730" s="21">
        <v>5714</v>
      </c>
      <c r="K730" s="21">
        <v>252</v>
      </c>
      <c r="L730" s="21">
        <v>386</v>
      </c>
      <c r="M730" s="21">
        <v>0.71120000000000005</v>
      </c>
      <c r="N730" s="21">
        <v>0.70150000000000001</v>
      </c>
      <c r="O730" s="21">
        <v>8.7400000000000005E-2</v>
      </c>
      <c r="P730" s="21">
        <v>872</v>
      </c>
      <c r="Q730" s="21">
        <v>0.53900000000000003</v>
      </c>
      <c r="R730" s="21">
        <v>101</v>
      </c>
      <c r="S730" s="21">
        <v>46</v>
      </c>
      <c r="T730" s="21">
        <v>6.7199999999999996E-2</v>
      </c>
      <c r="U730" s="21">
        <v>4.4299999999999999E-2</v>
      </c>
      <c r="V730" s="21">
        <v>1</v>
      </c>
      <c r="W730" s="21">
        <v>513</v>
      </c>
      <c r="X730" s="21">
        <v>140</v>
      </c>
      <c r="Y730" s="21">
        <v>269</v>
      </c>
      <c r="Z730" s="21">
        <v>0.3</v>
      </c>
      <c r="AA730" s="21">
        <v>0.5</v>
      </c>
      <c r="AB730" s="21">
        <v>478</v>
      </c>
      <c r="AC730" s="21">
        <v>478</v>
      </c>
      <c r="AD730" s="21">
        <v>520</v>
      </c>
      <c r="AE730" s="21">
        <v>25</v>
      </c>
      <c r="AF730" s="21">
        <v>4.4600000000000001E-2</v>
      </c>
      <c r="AG730" s="21">
        <v>0</v>
      </c>
      <c r="AH730" s="21">
        <v>0</v>
      </c>
      <c r="AI730" s="21">
        <v>0.15379999999999999</v>
      </c>
      <c r="AJ730" s="21">
        <v>0.40379999999999999</v>
      </c>
      <c r="AK730" s="21">
        <v>0</v>
      </c>
      <c r="AL730" s="21">
        <v>0</v>
      </c>
      <c r="AM730" s="21">
        <v>0</v>
      </c>
      <c r="AN730" s="21">
        <v>0</v>
      </c>
      <c r="AO730" s="21">
        <v>0.87619999999999998</v>
      </c>
      <c r="AP730" s="21">
        <v>44</v>
      </c>
      <c r="AQ730" s="21">
        <v>49</v>
      </c>
      <c r="AR730" s="21">
        <v>46</v>
      </c>
      <c r="AS730" s="21">
        <v>3</v>
      </c>
      <c r="AT730" s="21">
        <v>0</v>
      </c>
      <c r="AU730" s="21">
        <v>98</v>
      </c>
      <c r="AV730" s="21">
        <v>71</v>
      </c>
    </row>
    <row r="731" spans="1:48" x14ac:dyDescent="0.15">
      <c r="A731" s="20" t="s">
        <v>50</v>
      </c>
      <c r="B731" s="20" t="s">
        <v>113</v>
      </c>
      <c r="C731" s="21">
        <v>39358</v>
      </c>
      <c r="D731" s="21">
        <v>186</v>
      </c>
      <c r="E731" s="21">
        <v>30045</v>
      </c>
      <c r="F731" s="21">
        <v>69590</v>
      </c>
      <c r="G731" s="21">
        <v>6834</v>
      </c>
      <c r="H731" s="21">
        <v>33473</v>
      </c>
      <c r="I731" s="21">
        <v>0</v>
      </c>
      <c r="J731" s="21">
        <v>20737</v>
      </c>
      <c r="K731" s="21">
        <v>2407</v>
      </c>
      <c r="L731" s="21">
        <v>385</v>
      </c>
      <c r="M731" s="21">
        <v>0.8962</v>
      </c>
      <c r="N731" s="21">
        <v>0.8962</v>
      </c>
      <c r="O731" s="21">
        <v>6.8400000000000002E-2</v>
      </c>
      <c r="P731" s="21">
        <v>768</v>
      </c>
      <c r="Q731" s="21">
        <v>0.80989999999999995</v>
      </c>
      <c r="R731" s="21">
        <v>172</v>
      </c>
      <c r="S731" s="21">
        <v>91</v>
      </c>
      <c r="T731" s="21">
        <v>5.28E-2</v>
      </c>
      <c r="U731" s="21">
        <v>4.7399999999999998E-2</v>
      </c>
      <c r="V731" s="21">
        <v>1</v>
      </c>
      <c r="W731" s="21">
        <v>250</v>
      </c>
      <c r="X731" s="21">
        <v>139</v>
      </c>
      <c r="Y731" s="21">
        <v>167</v>
      </c>
      <c r="Z731" s="21">
        <v>0.3</v>
      </c>
      <c r="AA731" s="21">
        <v>0.8</v>
      </c>
      <c r="AB731" s="21">
        <v>575</v>
      </c>
      <c r="AC731" s="21">
        <v>400</v>
      </c>
      <c r="AD731" s="21">
        <v>488</v>
      </c>
      <c r="AE731" s="21">
        <v>214</v>
      </c>
      <c r="AF731" s="21">
        <v>0.5323</v>
      </c>
      <c r="AG731" s="21">
        <v>0</v>
      </c>
      <c r="AH731" s="21">
        <v>0</v>
      </c>
      <c r="AI731" s="21">
        <v>0.37930000000000003</v>
      </c>
      <c r="AJ731" s="21">
        <v>0.12239999999999999</v>
      </c>
      <c r="AK731" s="21">
        <v>0</v>
      </c>
      <c r="AL731" s="21">
        <v>0</v>
      </c>
      <c r="AM731" s="21">
        <v>0</v>
      </c>
      <c r="AN731" s="21">
        <v>0</v>
      </c>
      <c r="AO731" s="21">
        <v>0.58919999999999995</v>
      </c>
      <c r="AP731" s="21">
        <v>320</v>
      </c>
      <c r="AQ731" s="21">
        <v>181</v>
      </c>
      <c r="AR731" s="21">
        <v>152</v>
      </c>
      <c r="AS731" s="21">
        <v>1</v>
      </c>
      <c r="AT731" s="21">
        <v>29</v>
      </c>
      <c r="AU731" s="21">
        <v>203</v>
      </c>
      <c r="AV731" s="21">
        <v>49</v>
      </c>
    </row>
    <row r="732" spans="1:48" x14ac:dyDescent="0.15">
      <c r="A732" s="20" t="s">
        <v>51</v>
      </c>
      <c r="B732" s="20" t="s">
        <v>113</v>
      </c>
      <c r="C732" s="21">
        <v>63032</v>
      </c>
      <c r="D732" s="21">
        <v>1946</v>
      </c>
      <c r="E732" s="21">
        <v>106316</v>
      </c>
      <c r="F732" s="21">
        <v>171281</v>
      </c>
      <c r="G732" s="21">
        <v>11670</v>
      </c>
      <c r="H732" s="21">
        <v>51956</v>
      </c>
      <c r="I732" s="21">
        <v>32806</v>
      </c>
      <c r="J732" s="21">
        <v>47874</v>
      </c>
      <c r="K732" s="21">
        <v>26430</v>
      </c>
      <c r="L732" s="21">
        <v>1603</v>
      </c>
      <c r="M732" s="21">
        <v>0.7954</v>
      </c>
      <c r="N732" s="21">
        <v>0.78449999999999998</v>
      </c>
      <c r="O732" s="21">
        <v>0.15559999999999999</v>
      </c>
      <c r="P732" s="21">
        <v>3443</v>
      </c>
      <c r="Q732" s="21">
        <v>0.63719999999999999</v>
      </c>
      <c r="R732" s="21">
        <v>105</v>
      </c>
      <c r="S732" s="21">
        <v>50</v>
      </c>
      <c r="T732" s="21">
        <v>6.4199999999999993E-2</v>
      </c>
      <c r="U732" s="21">
        <v>6.93E-2</v>
      </c>
      <c r="V732" s="21">
        <v>0.70350000000000001</v>
      </c>
      <c r="W732" s="21">
        <v>2262</v>
      </c>
      <c r="X732" s="21">
        <v>1441</v>
      </c>
      <c r="Y732" s="21">
        <v>2455</v>
      </c>
      <c r="Z732" s="21">
        <v>0.2</v>
      </c>
      <c r="AA732" s="21">
        <v>0.6</v>
      </c>
      <c r="AB732" s="21">
        <v>6492</v>
      </c>
      <c r="AC732" s="21">
        <v>6169</v>
      </c>
      <c r="AD732" s="21">
        <v>6243</v>
      </c>
      <c r="AE732" s="21">
        <v>952</v>
      </c>
      <c r="AF732" s="21">
        <v>0.1588</v>
      </c>
      <c r="AG732" s="21">
        <v>0</v>
      </c>
      <c r="AH732" s="21">
        <v>0</v>
      </c>
      <c r="AI732" s="21">
        <v>0.1648</v>
      </c>
      <c r="AJ732" s="21">
        <v>0.55010000000000003</v>
      </c>
      <c r="AK732" s="21">
        <v>0</v>
      </c>
      <c r="AL732" s="21">
        <v>0</v>
      </c>
      <c r="AM732" s="21">
        <v>0</v>
      </c>
      <c r="AN732" s="21">
        <v>0</v>
      </c>
      <c r="AO732" s="21">
        <v>0.65049999999999997</v>
      </c>
      <c r="AP732" s="21">
        <v>559</v>
      </c>
      <c r="AQ732" s="21">
        <v>262</v>
      </c>
      <c r="AR732" s="21">
        <v>245</v>
      </c>
      <c r="AS732" s="21">
        <v>14</v>
      </c>
      <c r="AT732" s="21">
        <v>3</v>
      </c>
      <c r="AU732" s="21">
        <v>410</v>
      </c>
      <c r="AV732" s="21">
        <v>328</v>
      </c>
    </row>
    <row r="733" spans="1:48" x14ac:dyDescent="0.15">
      <c r="A733" s="20" t="s">
        <v>52</v>
      </c>
      <c r="B733" s="20" t="s">
        <v>113</v>
      </c>
      <c r="C733" s="21">
        <v>46887</v>
      </c>
      <c r="D733" s="21">
        <v>610</v>
      </c>
      <c r="E733" s="21">
        <v>28884</v>
      </c>
      <c r="F733" s="21">
        <v>76380</v>
      </c>
      <c r="G733" s="21">
        <v>17852</v>
      </c>
      <c r="H733" s="21">
        <v>24817</v>
      </c>
      <c r="I733" s="21">
        <v>105</v>
      </c>
      <c r="J733" s="21">
        <v>26580</v>
      </c>
      <c r="K733" s="21">
        <v>4974</v>
      </c>
      <c r="L733" s="21">
        <v>399</v>
      </c>
      <c r="M733" s="21">
        <v>0.90690000000000004</v>
      </c>
      <c r="N733" s="21">
        <v>0.90690000000000004</v>
      </c>
      <c r="O733" s="21">
        <v>0.122</v>
      </c>
      <c r="P733" s="21">
        <v>1007</v>
      </c>
      <c r="Q733" s="21">
        <v>0.74880000000000002</v>
      </c>
      <c r="R733" s="21">
        <v>180</v>
      </c>
      <c r="S733" s="21">
        <v>76</v>
      </c>
      <c r="T733" s="21">
        <v>5.1799999999999999E-2</v>
      </c>
      <c r="U733" s="21">
        <v>5.4600000000000003E-2</v>
      </c>
      <c r="V733" s="21">
        <v>1</v>
      </c>
      <c r="W733" s="21">
        <v>719</v>
      </c>
      <c r="X733" s="21">
        <v>243</v>
      </c>
      <c r="Y733" s="21">
        <v>247</v>
      </c>
      <c r="Z733" s="21">
        <v>0.5</v>
      </c>
      <c r="AA733" s="21">
        <v>1</v>
      </c>
      <c r="AB733" s="21">
        <v>542</v>
      </c>
      <c r="AC733" s="21">
        <v>542</v>
      </c>
      <c r="AD733" s="21">
        <v>527</v>
      </c>
      <c r="AE733" s="21">
        <v>80</v>
      </c>
      <c r="AF733" s="21">
        <v>0.15620000000000001</v>
      </c>
      <c r="AG733" s="21">
        <v>0</v>
      </c>
      <c r="AH733" s="21">
        <v>0</v>
      </c>
      <c r="AI733" s="21">
        <v>0.47499999999999998</v>
      </c>
      <c r="AJ733" s="21">
        <v>0.19750000000000001</v>
      </c>
      <c r="AK733" s="21">
        <v>0</v>
      </c>
      <c r="AL733" s="21">
        <v>0</v>
      </c>
      <c r="AM733" s="21">
        <v>0</v>
      </c>
      <c r="AN733" s="21">
        <v>0</v>
      </c>
      <c r="AO733" s="21">
        <v>0.75319999999999998</v>
      </c>
      <c r="AP733" s="21">
        <v>1966</v>
      </c>
      <c r="AQ733" s="21">
        <v>20</v>
      </c>
      <c r="AR733" s="21">
        <v>19</v>
      </c>
      <c r="AS733" s="21">
        <v>1</v>
      </c>
      <c r="AU733" s="21">
        <v>393</v>
      </c>
      <c r="AV733" s="21">
        <v>178</v>
      </c>
    </row>
    <row r="734" spans="1:48" x14ac:dyDescent="0.15">
      <c r="A734" s="20" t="s">
        <v>53</v>
      </c>
      <c r="B734" s="20" t="s">
        <v>113</v>
      </c>
      <c r="C734" s="21">
        <v>542</v>
      </c>
      <c r="D734" s="21">
        <v>0</v>
      </c>
      <c r="E734" s="21">
        <v>48174</v>
      </c>
      <c r="F734" s="21">
        <v>48716</v>
      </c>
      <c r="H734" s="21">
        <v>30722</v>
      </c>
      <c r="I734" s="21">
        <v>16659</v>
      </c>
      <c r="J734" s="21">
        <v>1335</v>
      </c>
      <c r="K734" s="21">
        <v>0</v>
      </c>
      <c r="L734" s="21">
        <v>83</v>
      </c>
      <c r="M734" s="21">
        <v>0.52039999999999997</v>
      </c>
      <c r="N734" s="21">
        <v>0.52039999999999997</v>
      </c>
      <c r="O734" s="21">
        <v>0</v>
      </c>
      <c r="P734" s="21">
        <v>1408</v>
      </c>
      <c r="Q734" s="21">
        <v>0.4773</v>
      </c>
      <c r="R734" s="21">
        <v>658</v>
      </c>
      <c r="S734" s="21">
        <v>35</v>
      </c>
      <c r="T734" s="21">
        <v>0.1116</v>
      </c>
      <c r="U734" s="21">
        <v>1.5E-3</v>
      </c>
      <c r="W734" s="21">
        <v>258</v>
      </c>
      <c r="X734" s="21">
        <v>268</v>
      </c>
      <c r="Y734" s="21">
        <v>316</v>
      </c>
      <c r="Z734" s="21">
        <v>0.4</v>
      </c>
      <c r="AA734" s="21">
        <v>0.8</v>
      </c>
      <c r="AB734" s="21">
        <v>749</v>
      </c>
      <c r="AC734" s="21">
        <v>749</v>
      </c>
      <c r="AD734" s="21">
        <v>730</v>
      </c>
      <c r="AE734" s="21">
        <v>90</v>
      </c>
      <c r="AF734" s="21">
        <v>0.1268</v>
      </c>
      <c r="AG734" s="21">
        <v>0</v>
      </c>
      <c r="AH734" s="21">
        <v>0</v>
      </c>
      <c r="AI734" s="21">
        <v>0.19700000000000001</v>
      </c>
      <c r="AJ734" s="21">
        <v>0.39539999999999997</v>
      </c>
      <c r="AK734" s="21">
        <v>0</v>
      </c>
      <c r="AL734" s="21">
        <v>0</v>
      </c>
      <c r="AM734" s="21">
        <v>0</v>
      </c>
      <c r="AN734" s="21">
        <v>0</v>
      </c>
      <c r="AP734" s="21">
        <v>661</v>
      </c>
      <c r="AQ734" s="21">
        <v>49</v>
      </c>
      <c r="AR734" s="21">
        <v>41</v>
      </c>
      <c r="AS734" s="21">
        <v>8</v>
      </c>
      <c r="AU734" s="21">
        <v>0</v>
      </c>
      <c r="AV734" s="21">
        <v>0</v>
      </c>
    </row>
    <row r="735" spans="1:48" x14ac:dyDescent="0.15">
      <c r="A735" s="20" t="s">
        <v>0</v>
      </c>
      <c r="B735" s="20" t="s">
        <v>113</v>
      </c>
      <c r="C735" s="21">
        <v>301317</v>
      </c>
      <c r="D735" s="21">
        <v>4168</v>
      </c>
      <c r="E735" s="21">
        <v>730945</v>
      </c>
      <c r="F735" s="21">
        <v>1036415</v>
      </c>
      <c r="G735" s="21">
        <v>128801</v>
      </c>
      <c r="H735" s="21">
        <v>290904</v>
      </c>
      <c r="I735" s="21">
        <v>149599</v>
      </c>
      <c r="J735" s="21">
        <v>245280</v>
      </c>
      <c r="K735" s="21">
        <v>184575</v>
      </c>
      <c r="L735" s="21">
        <v>4580</v>
      </c>
      <c r="M735" s="21">
        <v>0.80779999999999996</v>
      </c>
      <c r="N735" s="21">
        <v>0.80300000000000005</v>
      </c>
      <c r="O735" s="21">
        <v>0.1023</v>
      </c>
      <c r="P735" s="21">
        <v>14517</v>
      </c>
      <c r="Q735" s="21">
        <v>0.6109</v>
      </c>
      <c r="R735" s="21">
        <v>224</v>
      </c>
      <c r="S735" s="21">
        <v>71</v>
      </c>
      <c r="T735" s="21">
        <v>6.4500000000000002E-2</v>
      </c>
      <c r="U735" s="21">
        <v>5.0900000000000001E-2</v>
      </c>
      <c r="V735" s="21">
        <v>0.90820000000000001</v>
      </c>
      <c r="W735" s="21">
        <v>7059</v>
      </c>
      <c r="X735" s="21">
        <v>3632</v>
      </c>
      <c r="Y735" s="21">
        <v>5389</v>
      </c>
      <c r="Z735" s="21">
        <v>0.3</v>
      </c>
      <c r="AA735" s="21">
        <v>0.7</v>
      </c>
      <c r="AB735" s="21">
        <v>12921</v>
      </c>
      <c r="AC735" s="21">
        <v>12348</v>
      </c>
      <c r="AD735" s="21">
        <v>12703</v>
      </c>
      <c r="AE735" s="21">
        <v>1831</v>
      </c>
      <c r="AF735" s="21">
        <v>0.1467</v>
      </c>
      <c r="AG735" s="21">
        <v>0</v>
      </c>
      <c r="AH735" s="21">
        <v>0</v>
      </c>
      <c r="AI735" s="21">
        <v>0.17</v>
      </c>
      <c r="AJ735" s="21">
        <v>0.36220000000000002</v>
      </c>
      <c r="AK735" s="21">
        <v>0</v>
      </c>
      <c r="AL735" s="21">
        <v>0</v>
      </c>
      <c r="AM735" s="21">
        <v>0</v>
      </c>
      <c r="AN735" s="21">
        <v>0</v>
      </c>
      <c r="AO735" s="21">
        <v>0.73399999999999999</v>
      </c>
      <c r="AP735" s="21">
        <v>13767</v>
      </c>
      <c r="AQ735" s="21">
        <v>1389</v>
      </c>
      <c r="AR735" s="21">
        <v>1130</v>
      </c>
      <c r="AS735" s="21">
        <v>85</v>
      </c>
      <c r="AT735" s="21">
        <v>174</v>
      </c>
      <c r="AU735" s="21">
        <v>1831</v>
      </c>
      <c r="AV735" s="21">
        <v>754</v>
      </c>
    </row>
    <row r="736" spans="1:48" x14ac:dyDescent="0.15">
      <c r="A736" s="20" t="s">
        <v>54</v>
      </c>
      <c r="B736" s="20" t="s">
        <v>113</v>
      </c>
      <c r="C736" s="21">
        <v>45261</v>
      </c>
      <c r="D736" s="21">
        <v>36</v>
      </c>
      <c r="E736" s="21">
        <v>98557</v>
      </c>
      <c r="F736" s="21">
        <v>143854</v>
      </c>
      <c r="H736" s="21">
        <v>32201</v>
      </c>
      <c r="I736" s="21">
        <v>27126</v>
      </c>
      <c r="J736" s="21">
        <v>1700</v>
      </c>
      <c r="K736" s="21">
        <v>82232</v>
      </c>
      <c r="L736" s="21">
        <v>243</v>
      </c>
      <c r="M736" s="21">
        <v>0.875</v>
      </c>
      <c r="N736" s="21">
        <v>0.875</v>
      </c>
      <c r="O736" s="21">
        <v>1.21E-2</v>
      </c>
      <c r="P736" s="21">
        <v>2434</v>
      </c>
      <c r="Q736" s="21">
        <v>0.59899999999999998</v>
      </c>
      <c r="R736" s="21">
        <v>598</v>
      </c>
      <c r="S736" s="21">
        <v>59</v>
      </c>
      <c r="T736" s="21">
        <v>7.4700000000000003E-2</v>
      </c>
      <c r="U736" s="21">
        <v>1.0999999999999999E-2</v>
      </c>
      <c r="W736" s="21">
        <v>373</v>
      </c>
      <c r="X736" s="21">
        <v>157</v>
      </c>
      <c r="Y736" s="21">
        <v>269</v>
      </c>
      <c r="Z736" s="21">
        <v>0.3</v>
      </c>
      <c r="AA736" s="21">
        <v>0.6</v>
      </c>
      <c r="AB736" s="21">
        <v>594</v>
      </c>
      <c r="AC736" s="21">
        <v>594</v>
      </c>
      <c r="AD736" s="21">
        <v>588</v>
      </c>
      <c r="AE736" s="21">
        <v>29</v>
      </c>
      <c r="AF736" s="21">
        <v>4.9799999999999997E-2</v>
      </c>
      <c r="AG736" s="21">
        <v>0</v>
      </c>
      <c r="AH736" s="21">
        <v>0</v>
      </c>
      <c r="AI736" s="21">
        <v>0</v>
      </c>
      <c r="AJ736" s="21">
        <v>0</v>
      </c>
      <c r="AK736" s="21">
        <v>0</v>
      </c>
      <c r="AL736" s="21">
        <v>0</v>
      </c>
      <c r="AM736" s="21">
        <v>0</v>
      </c>
      <c r="AN736" s="21">
        <v>0</v>
      </c>
      <c r="AP736" s="21">
        <v>5498</v>
      </c>
      <c r="AQ736" s="21">
        <v>71</v>
      </c>
      <c r="AR736" s="21">
        <v>57</v>
      </c>
      <c r="AS736" s="21">
        <v>14</v>
      </c>
      <c r="AT736" s="21">
        <v>0</v>
      </c>
      <c r="AU736" s="21">
        <v>0</v>
      </c>
      <c r="AV736" s="21">
        <v>0</v>
      </c>
    </row>
    <row r="737" spans="1:48" x14ac:dyDescent="0.15">
      <c r="A737" s="20" t="s">
        <v>55</v>
      </c>
      <c r="B737" s="20" t="s">
        <v>113</v>
      </c>
      <c r="C737" s="21">
        <v>0</v>
      </c>
      <c r="D737" s="21">
        <v>0</v>
      </c>
      <c r="E737" s="21">
        <v>35009</v>
      </c>
      <c r="F737" s="21">
        <v>35009</v>
      </c>
      <c r="G737" s="21">
        <v>529</v>
      </c>
      <c r="H737" s="21">
        <v>1654</v>
      </c>
      <c r="I737" s="21">
        <v>32826</v>
      </c>
      <c r="L737" s="21">
        <v>66</v>
      </c>
      <c r="M737" s="21">
        <v>0.84850000000000003</v>
      </c>
      <c r="N737" s="21">
        <v>0.84850000000000003</v>
      </c>
      <c r="O737" s="21">
        <v>0</v>
      </c>
      <c r="P737" s="21">
        <v>552</v>
      </c>
      <c r="Q737" s="21">
        <v>0.55069999999999997</v>
      </c>
      <c r="R737" s="21">
        <v>753</v>
      </c>
      <c r="S737" s="21">
        <v>63</v>
      </c>
      <c r="T737" s="21">
        <v>0.10009999999999999</v>
      </c>
      <c r="U737" s="21">
        <v>0</v>
      </c>
      <c r="AB737" s="21">
        <v>0</v>
      </c>
      <c r="AC737" s="21">
        <v>0</v>
      </c>
      <c r="AD737" s="21">
        <v>0</v>
      </c>
      <c r="AE737" s="21">
        <v>0</v>
      </c>
      <c r="AF737" s="21">
        <v>0</v>
      </c>
      <c r="AG737" s="21">
        <v>0</v>
      </c>
      <c r="AH737" s="21">
        <v>0</v>
      </c>
      <c r="AI737" s="21">
        <v>0</v>
      </c>
      <c r="AJ737" s="21">
        <v>0</v>
      </c>
      <c r="AK737" s="21">
        <v>0</v>
      </c>
      <c r="AL737" s="21">
        <v>0</v>
      </c>
      <c r="AM737" s="21">
        <v>0</v>
      </c>
      <c r="AN737" s="21">
        <v>0</v>
      </c>
      <c r="AP737" s="21">
        <v>704</v>
      </c>
      <c r="AQ737" s="21">
        <v>5</v>
      </c>
      <c r="AR737" s="21">
        <v>5</v>
      </c>
      <c r="AS737" s="21">
        <v>0</v>
      </c>
      <c r="AU737" s="21">
        <v>0</v>
      </c>
      <c r="AV737" s="21">
        <v>0</v>
      </c>
    </row>
    <row r="738" spans="1:48" x14ac:dyDescent="0.15">
      <c r="A738" s="20" t="s">
        <v>56</v>
      </c>
      <c r="B738" s="20" t="s">
        <v>113</v>
      </c>
      <c r="C738" s="21">
        <v>23783</v>
      </c>
      <c r="D738" s="21">
        <v>1</v>
      </c>
      <c r="E738" s="21">
        <v>53427</v>
      </c>
      <c r="F738" s="21">
        <v>77212</v>
      </c>
      <c r="G738" s="21">
        <v>3529</v>
      </c>
      <c r="H738" s="21">
        <v>1085</v>
      </c>
      <c r="J738" s="21">
        <v>39742</v>
      </c>
      <c r="K738" s="21">
        <v>32855</v>
      </c>
      <c r="L738" s="21">
        <v>179</v>
      </c>
      <c r="M738" s="21">
        <v>0.76090000000000002</v>
      </c>
      <c r="N738" s="21">
        <v>0.76090000000000002</v>
      </c>
      <c r="O738" s="21">
        <v>1.09E-2</v>
      </c>
      <c r="P738" s="21">
        <v>949</v>
      </c>
      <c r="Q738" s="21">
        <v>0.40460000000000002</v>
      </c>
      <c r="R738" s="21">
        <v>433</v>
      </c>
      <c r="S738" s="21">
        <v>81</v>
      </c>
      <c r="T738" s="21">
        <v>5.6599999999999998E-2</v>
      </c>
      <c r="U738" s="21">
        <v>4.9399999999999999E-2</v>
      </c>
      <c r="V738" s="21">
        <v>1</v>
      </c>
      <c r="W738" s="21">
        <v>352</v>
      </c>
      <c r="X738" s="21">
        <v>94</v>
      </c>
      <c r="Y738" s="21">
        <v>116</v>
      </c>
      <c r="Z738" s="21">
        <v>0.5</v>
      </c>
      <c r="AA738" s="21">
        <v>0.8</v>
      </c>
      <c r="AB738" s="21">
        <v>191</v>
      </c>
      <c r="AC738" s="21">
        <v>167</v>
      </c>
      <c r="AD738" s="21">
        <v>188</v>
      </c>
      <c r="AE738" s="21">
        <v>52</v>
      </c>
      <c r="AF738" s="21">
        <v>0.28260000000000002</v>
      </c>
      <c r="AG738" s="21">
        <v>0</v>
      </c>
      <c r="AH738" s="21">
        <v>0</v>
      </c>
      <c r="AI738" s="21">
        <v>0.42109999999999997</v>
      </c>
      <c r="AJ738" s="21">
        <v>0.1429</v>
      </c>
      <c r="AK738" s="21">
        <v>0</v>
      </c>
      <c r="AL738" s="21">
        <v>0</v>
      </c>
      <c r="AM738" s="21">
        <v>0</v>
      </c>
      <c r="AN738" s="21">
        <v>0</v>
      </c>
      <c r="AP738" s="21">
        <v>69</v>
      </c>
      <c r="AQ738" s="21">
        <v>45</v>
      </c>
      <c r="AR738" s="21">
        <v>42</v>
      </c>
      <c r="AS738" s="21">
        <v>3</v>
      </c>
      <c r="AU738" s="21">
        <v>0</v>
      </c>
      <c r="AV738" s="21">
        <v>4</v>
      </c>
    </row>
    <row r="739" spans="1:48" x14ac:dyDescent="0.15">
      <c r="A739" s="20" t="s">
        <v>57</v>
      </c>
      <c r="B739" s="20" t="s">
        <v>113</v>
      </c>
      <c r="C739" s="21">
        <v>2813</v>
      </c>
      <c r="D739" s="21">
        <v>221</v>
      </c>
      <c r="E739" s="21">
        <v>140728</v>
      </c>
      <c r="F739" s="21">
        <v>143762</v>
      </c>
      <c r="G739" s="21">
        <v>19745</v>
      </c>
      <c r="H739" s="21">
        <v>33444</v>
      </c>
      <c r="I739" s="21">
        <v>14656</v>
      </c>
      <c r="J739" s="21">
        <v>63815</v>
      </c>
      <c r="K739" s="21">
        <v>112</v>
      </c>
      <c r="L739" s="21">
        <v>401</v>
      </c>
      <c r="M739" s="21">
        <v>0.80389999999999995</v>
      </c>
      <c r="N739" s="21">
        <v>0.80149999999999999</v>
      </c>
      <c r="O739" s="21">
        <v>4.1200000000000001E-2</v>
      </c>
      <c r="P739" s="21">
        <v>651</v>
      </c>
      <c r="Q739" s="21">
        <v>0.71740000000000004</v>
      </c>
      <c r="R739" s="21">
        <v>355</v>
      </c>
      <c r="S739" s="21">
        <v>221</v>
      </c>
      <c r="T739" s="21">
        <v>3.2500000000000001E-2</v>
      </c>
      <c r="U739" s="21">
        <v>4.4999999999999998E-2</v>
      </c>
      <c r="V739" s="21">
        <v>0.91710000000000003</v>
      </c>
      <c r="W739" s="21">
        <v>433</v>
      </c>
      <c r="X739" s="21">
        <v>245</v>
      </c>
      <c r="Y739" s="21">
        <v>274</v>
      </c>
      <c r="Z739" s="21">
        <v>0.3</v>
      </c>
      <c r="AA739" s="21">
        <v>0.9</v>
      </c>
      <c r="AB739" s="21">
        <v>781</v>
      </c>
      <c r="AC739" s="21">
        <v>730</v>
      </c>
      <c r="AD739" s="21">
        <v>823</v>
      </c>
      <c r="AE739" s="21">
        <v>97</v>
      </c>
      <c r="AF739" s="21">
        <v>0.11210000000000001</v>
      </c>
      <c r="AG739" s="21">
        <v>0</v>
      </c>
      <c r="AH739" s="21">
        <v>0</v>
      </c>
      <c r="AI739" s="21">
        <v>2.7799999999999998E-2</v>
      </c>
      <c r="AJ739" s="21">
        <v>0.5333</v>
      </c>
      <c r="AK739" s="21">
        <v>0</v>
      </c>
      <c r="AL739" s="21">
        <v>0</v>
      </c>
      <c r="AM739" s="21">
        <v>0</v>
      </c>
      <c r="AN739" s="21">
        <v>0</v>
      </c>
      <c r="AO739" s="21">
        <v>0.86809999999999998</v>
      </c>
      <c r="AP739" s="21">
        <v>995</v>
      </c>
      <c r="AQ739" s="21">
        <v>480</v>
      </c>
      <c r="AR739" s="21">
        <v>377</v>
      </c>
      <c r="AS739" s="21">
        <v>13</v>
      </c>
      <c r="AT739" s="21">
        <v>90</v>
      </c>
      <c r="AU739" s="21">
        <v>530</v>
      </c>
      <c r="AV739" s="21">
        <v>123</v>
      </c>
    </row>
    <row r="740" spans="1:48" x14ac:dyDescent="0.15">
      <c r="A740" s="20" t="s">
        <v>58</v>
      </c>
      <c r="B740" s="20" t="s">
        <v>113</v>
      </c>
      <c r="C740" s="21">
        <v>23784</v>
      </c>
      <c r="D740" s="21">
        <v>103</v>
      </c>
      <c r="E740" s="21">
        <v>89588</v>
      </c>
      <c r="F740" s="21">
        <v>113475</v>
      </c>
      <c r="G740" s="21">
        <v>39676</v>
      </c>
      <c r="H740" s="21">
        <v>49784</v>
      </c>
      <c r="J740" s="21">
        <v>6256</v>
      </c>
      <c r="K740" s="21">
        <v>17759</v>
      </c>
      <c r="L740" s="21">
        <v>278</v>
      </c>
      <c r="M740" s="21">
        <v>0.86619999999999997</v>
      </c>
      <c r="N740" s="21">
        <v>0.86619999999999997</v>
      </c>
      <c r="O740" s="21">
        <v>8.4500000000000006E-2</v>
      </c>
      <c r="P740" s="21">
        <v>877</v>
      </c>
      <c r="Q740" s="21">
        <v>0.72409999999999997</v>
      </c>
      <c r="R740" s="21">
        <v>414</v>
      </c>
      <c r="S740" s="21">
        <v>129</v>
      </c>
      <c r="T740" s="21">
        <v>9.7600000000000006E-2</v>
      </c>
      <c r="U740" s="21">
        <v>1.41E-2</v>
      </c>
      <c r="W740" s="21">
        <v>483</v>
      </c>
      <c r="X740" s="21">
        <v>455</v>
      </c>
      <c r="Y740" s="21">
        <v>704</v>
      </c>
      <c r="Z740" s="21">
        <v>0.4</v>
      </c>
      <c r="AA740" s="21">
        <v>0.6</v>
      </c>
      <c r="AB740" s="21">
        <v>1064</v>
      </c>
      <c r="AC740" s="21">
        <v>1064</v>
      </c>
      <c r="AD740" s="21">
        <v>1138</v>
      </c>
      <c r="AE740" s="21">
        <v>95</v>
      </c>
      <c r="AF740" s="21">
        <v>7.8399999999999997E-2</v>
      </c>
      <c r="AG740" s="21">
        <v>0</v>
      </c>
      <c r="AH740" s="21">
        <v>0</v>
      </c>
      <c r="AI740" s="21">
        <v>0.1346</v>
      </c>
      <c r="AJ740" s="21">
        <v>0.2379</v>
      </c>
      <c r="AK740" s="21">
        <v>0</v>
      </c>
      <c r="AL740" s="21">
        <v>0</v>
      </c>
      <c r="AM740" s="21">
        <v>0</v>
      </c>
      <c r="AN740" s="21">
        <v>0</v>
      </c>
      <c r="AP740" s="21">
        <v>1468</v>
      </c>
      <c r="AQ740" s="21">
        <v>100</v>
      </c>
      <c r="AR740" s="21">
        <v>86</v>
      </c>
      <c r="AS740" s="21">
        <v>14</v>
      </c>
      <c r="AU740" s="21">
        <v>0</v>
      </c>
      <c r="AV740" s="21">
        <v>0</v>
      </c>
    </row>
    <row r="741" spans="1:48" x14ac:dyDescent="0.15">
      <c r="A741" s="20" t="s">
        <v>59</v>
      </c>
      <c r="B741" s="20" t="s">
        <v>113</v>
      </c>
      <c r="C741" s="21">
        <v>24960</v>
      </c>
      <c r="D741" s="21">
        <v>9</v>
      </c>
      <c r="E741" s="21">
        <v>11054</v>
      </c>
      <c r="F741" s="21">
        <v>36023</v>
      </c>
      <c r="G741" s="21">
        <v>13381</v>
      </c>
      <c r="H741" s="21">
        <v>0</v>
      </c>
      <c r="I741" s="21">
        <v>1763</v>
      </c>
      <c r="J741" s="21">
        <v>7166</v>
      </c>
      <c r="K741" s="21">
        <v>13714</v>
      </c>
      <c r="L741" s="21">
        <v>125</v>
      </c>
      <c r="M741" s="21">
        <v>0.81340000000000001</v>
      </c>
      <c r="N741" s="21">
        <v>0.81340000000000001</v>
      </c>
      <c r="O741" s="21">
        <v>3.73E-2</v>
      </c>
      <c r="P741" s="21">
        <v>1088</v>
      </c>
      <c r="Q741" s="21">
        <v>0.40899999999999997</v>
      </c>
      <c r="R741" s="21">
        <v>284</v>
      </c>
      <c r="S741" s="21">
        <v>33</v>
      </c>
      <c r="T741" s="21">
        <v>5.3800000000000001E-2</v>
      </c>
      <c r="U741" s="21">
        <v>3.5999999999999999E-3</v>
      </c>
      <c r="W741" s="21">
        <v>38</v>
      </c>
      <c r="X741" s="21">
        <v>22</v>
      </c>
      <c r="Y741" s="21">
        <v>39</v>
      </c>
      <c r="Z741" s="21">
        <v>0.2</v>
      </c>
      <c r="AA741" s="21">
        <v>0.6</v>
      </c>
      <c r="AB741" s="21">
        <v>127</v>
      </c>
      <c r="AC741" s="21">
        <v>127</v>
      </c>
      <c r="AD741" s="21">
        <v>130</v>
      </c>
      <c r="AE741" s="21">
        <v>16</v>
      </c>
      <c r="AF741" s="21">
        <v>0.11940000000000001</v>
      </c>
      <c r="AG741" s="21">
        <v>0</v>
      </c>
      <c r="AH741" s="21">
        <v>0</v>
      </c>
      <c r="AI741" s="21">
        <v>0</v>
      </c>
      <c r="AJ741" s="21">
        <v>0</v>
      </c>
      <c r="AK741" s="21">
        <v>0</v>
      </c>
      <c r="AL741" s="21">
        <v>0</v>
      </c>
      <c r="AM741" s="21">
        <v>0</v>
      </c>
      <c r="AN741" s="21">
        <v>0</v>
      </c>
      <c r="AP741" s="21">
        <v>3</v>
      </c>
      <c r="AQ741" s="21">
        <v>3</v>
      </c>
      <c r="AS741" s="21">
        <v>3</v>
      </c>
      <c r="AU741" s="21">
        <v>0</v>
      </c>
      <c r="AV741" s="21">
        <v>0</v>
      </c>
    </row>
    <row r="742" spans="1:48" x14ac:dyDescent="0.15">
      <c r="A742" s="20" t="s">
        <v>60</v>
      </c>
      <c r="B742" s="20" t="s">
        <v>113</v>
      </c>
      <c r="C742" s="21">
        <v>11839</v>
      </c>
      <c r="D742" s="21">
        <v>294</v>
      </c>
      <c r="E742" s="21">
        <v>30304</v>
      </c>
      <c r="F742" s="21">
        <v>42434</v>
      </c>
      <c r="G742" s="21">
        <v>2738</v>
      </c>
      <c r="H742" s="21">
        <v>12780</v>
      </c>
      <c r="I742" s="21">
        <v>11190</v>
      </c>
      <c r="J742" s="21">
        <v>13392</v>
      </c>
      <c r="K742" s="21">
        <v>2335</v>
      </c>
      <c r="L742" s="21">
        <v>287</v>
      </c>
      <c r="M742" s="21">
        <v>0.72950000000000004</v>
      </c>
      <c r="N742" s="21">
        <v>0.72950000000000004</v>
      </c>
      <c r="O742" s="21">
        <v>8.2199999999999995E-2</v>
      </c>
      <c r="P742" s="21">
        <v>294</v>
      </c>
      <c r="Q742" s="21">
        <v>0.90820000000000001</v>
      </c>
      <c r="R742" s="21">
        <v>148</v>
      </c>
      <c r="S742" s="21">
        <v>144</v>
      </c>
      <c r="T742" s="21">
        <v>4.1399999999999999E-2</v>
      </c>
      <c r="U742" s="21">
        <v>4.1500000000000002E-2</v>
      </c>
      <c r="V742" s="21">
        <v>1</v>
      </c>
      <c r="W742" s="21">
        <v>1179</v>
      </c>
      <c r="X742" s="21">
        <v>353</v>
      </c>
      <c r="Y742" s="21">
        <v>418</v>
      </c>
      <c r="Z742" s="21">
        <v>0.4</v>
      </c>
      <c r="AA742" s="21">
        <v>0.8</v>
      </c>
      <c r="AB742" s="21">
        <v>863</v>
      </c>
      <c r="AC742" s="21">
        <v>863</v>
      </c>
      <c r="AD742" s="21">
        <v>836</v>
      </c>
      <c r="AE742" s="21">
        <v>158</v>
      </c>
      <c r="AF742" s="21">
        <v>0.1953</v>
      </c>
      <c r="AG742" s="21">
        <v>0</v>
      </c>
      <c r="AH742" s="21">
        <v>0</v>
      </c>
      <c r="AI742" s="21">
        <v>7.5300000000000006E-2</v>
      </c>
      <c r="AJ742" s="21">
        <v>0.26450000000000001</v>
      </c>
      <c r="AK742" s="21">
        <v>0</v>
      </c>
      <c r="AL742" s="21">
        <v>0</v>
      </c>
      <c r="AM742" s="21">
        <v>0</v>
      </c>
      <c r="AN742" s="21">
        <v>0</v>
      </c>
      <c r="AP742" s="21">
        <v>1240</v>
      </c>
      <c r="AQ742" s="21">
        <v>82</v>
      </c>
      <c r="AR742" s="21">
        <v>55</v>
      </c>
      <c r="AS742" s="21">
        <v>3</v>
      </c>
      <c r="AT742" s="21">
        <v>24</v>
      </c>
      <c r="AU742" s="21">
        <v>87</v>
      </c>
      <c r="AV742" s="21">
        <v>0</v>
      </c>
    </row>
    <row r="743" spans="1:48" x14ac:dyDescent="0.15">
      <c r="A743" s="20" t="s">
        <v>61</v>
      </c>
      <c r="B743" s="20" t="s">
        <v>113</v>
      </c>
      <c r="C743" s="21">
        <v>8110</v>
      </c>
      <c r="D743" s="21">
        <v>476</v>
      </c>
      <c r="E743" s="21">
        <v>30074</v>
      </c>
      <c r="F743" s="21">
        <v>38661</v>
      </c>
      <c r="G743" s="21">
        <v>5634</v>
      </c>
      <c r="H743" s="21">
        <v>5740</v>
      </c>
      <c r="I743" s="21">
        <v>8677</v>
      </c>
      <c r="J743" s="21">
        <v>10970</v>
      </c>
      <c r="K743" s="21">
        <v>1503</v>
      </c>
      <c r="L743" s="21">
        <v>145</v>
      </c>
      <c r="M743" s="21">
        <v>0.82669999999999999</v>
      </c>
      <c r="N743" s="21">
        <v>0.82669999999999999</v>
      </c>
      <c r="O743" s="21">
        <v>0.26669999999999999</v>
      </c>
      <c r="P743" s="21">
        <v>174</v>
      </c>
      <c r="Q743" s="21">
        <v>1.1322000000000001</v>
      </c>
      <c r="R743" s="21">
        <v>262</v>
      </c>
      <c r="S743" s="21">
        <v>222</v>
      </c>
      <c r="T743" s="21">
        <v>3.8600000000000002E-2</v>
      </c>
      <c r="U743" s="21">
        <v>6.1100000000000002E-2</v>
      </c>
      <c r="V743" s="21">
        <v>0.86809999999999998</v>
      </c>
      <c r="W743" s="21">
        <v>200</v>
      </c>
      <c r="X743" s="21">
        <v>75</v>
      </c>
      <c r="Y743" s="21">
        <v>115</v>
      </c>
      <c r="Z743" s="21">
        <v>0.2</v>
      </c>
      <c r="AA743" s="21">
        <v>0.7</v>
      </c>
      <c r="AB743" s="21">
        <v>465</v>
      </c>
      <c r="AC743" s="21">
        <v>465</v>
      </c>
      <c r="AD743" s="21">
        <v>493</v>
      </c>
      <c r="AE743" s="21">
        <v>23</v>
      </c>
      <c r="AF743" s="21">
        <v>4.41E-2</v>
      </c>
      <c r="AG743" s="21">
        <v>0</v>
      </c>
      <c r="AH743" s="21">
        <v>0</v>
      </c>
      <c r="AI743" s="21">
        <v>4.7600000000000003E-2</v>
      </c>
      <c r="AJ743" s="21">
        <v>0</v>
      </c>
      <c r="AK743" s="21">
        <v>0</v>
      </c>
      <c r="AL743" s="21">
        <v>0</v>
      </c>
      <c r="AM743" s="21">
        <v>0</v>
      </c>
      <c r="AN743" s="21">
        <v>0</v>
      </c>
      <c r="AP743" s="21">
        <v>242</v>
      </c>
      <c r="AQ743" s="21">
        <v>42</v>
      </c>
      <c r="AR743" s="21">
        <v>5</v>
      </c>
      <c r="AS743" s="21">
        <v>8</v>
      </c>
      <c r="AT743" s="21">
        <v>28</v>
      </c>
      <c r="AU743" s="21">
        <v>110</v>
      </c>
      <c r="AV743" s="21">
        <v>1</v>
      </c>
    </row>
    <row r="744" spans="1:48" x14ac:dyDescent="0.15">
      <c r="A744" s="20" t="s">
        <v>48</v>
      </c>
      <c r="B744" s="20" t="s">
        <v>114</v>
      </c>
      <c r="C744" s="21">
        <v>26648</v>
      </c>
      <c r="D744" s="21">
        <v>714</v>
      </c>
      <c r="E744" s="21">
        <v>4774</v>
      </c>
      <c r="F744" s="21">
        <v>32136</v>
      </c>
      <c r="G744" s="21">
        <v>11795</v>
      </c>
      <c r="H744" s="21">
        <v>11863</v>
      </c>
      <c r="I744" s="21">
        <v>263</v>
      </c>
      <c r="J744" s="21">
        <v>3578</v>
      </c>
      <c r="K744" s="21">
        <v>4</v>
      </c>
      <c r="L744" s="21">
        <v>386</v>
      </c>
      <c r="M744" s="21">
        <v>0.65910000000000002</v>
      </c>
      <c r="N744" s="21">
        <v>0.61619999999999997</v>
      </c>
      <c r="O744" s="21">
        <v>0.11360000000000001</v>
      </c>
      <c r="P744" s="21">
        <v>905</v>
      </c>
      <c r="Q744" s="21">
        <v>0.42430000000000001</v>
      </c>
      <c r="R744" s="21">
        <v>83</v>
      </c>
      <c r="S744" s="21">
        <v>36</v>
      </c>
      <c r="T744" s="21">
        <v>6.1100000000000002E-2</v>
      </c>
      <c r="U744" s="21">
        <v>4.4600000000000001E-2</v>
      </c>
      <c r="V744" s="21">
        <v>1</v>
      </c>
      <c r="W744" s="21">
        <v>231</v>
      </c>
      <c r="X744" s="21">
        <v>143</v>
      </c>
      <c r="Y744" s="21">
        <v>199</v>
      </c>
      <c r="Z744" s="21">
        <v>0.3</v>
      </c>
      <c r="AA744" s="21">
        <v>0.7</v>
      </c>
      <c r="AB744" s="21">
        <v>423</v>
      </c>
      <c r="AC744" s="21">
        <v>423</v>
      </c>
      <c r="AD744" s="21">
        <v>450</v>
      </c>
      <c r="AE744" s="21">
        <v>40</v>
      </c>
      <c r="AF744" s="21">
        <v>8.3699999999999997E-2</v>
      </c>
      <c r="AG744" s="21">
        <v>0</v>
      </c>
      <c r="AH744" s="21">
        <v>0</v>
      </c>
      <c r="AI744" s="21">
        <v>0.1111</v>
      </c>
      <c r="AJ744" s="21">
        <v>0.53849999999999998</v>
      </c>
      <c r="AK744" s="21">
        <v>0</v>
      </c>
      <c r="AL744" s="21">
        <v>0</v>
      </c>
      <c r="AM744" s="21">
        <v>0</v>
      </c>
      <c r="AN744" s="21">
        <v>0</v>
      </c>
      <c r="AO744" s="21">
        <v>0.90549999999999997</v>
      </c>
      <c r="AP744" s="21">
        <v>85</v>
      </c>
      <c r="AQ744" s="21">
        <v>85</v>
      </c>
      <c r="AR744" s="21">
        <v>79</v>
      </c>
      <c r="AS744" s="21">
        <v>1</v>
      </c>
      <c r="AT744" s="21">
        <v>6</v>
      </c>
      <c r="AU744" s="21">
        <v>721</v>
      </c>
      <c r="AV744" s="21">
        <v>158</v>
      </c>
    </row>
    <row r="745" spans="1:48" x14ac:dyDescent="0.15">
      <c r="A745" s="20" t="s">
        <v>50</v>
      </c>
      <c r="B745" s="20" t="s">
        <v>114</v>
      </c>
      <c r="C745" s="21">
        <v>36592</v>
      </c>
      <c r="D745" s="21">
        <v>167</v>
      </c>
      <c r="E745" s="21">
        <v>9299</v>
      </c>
      <c r="F745" s="21">
        <v>46058</v>
      </c>
      <c r="G745" s="21">
        <v>4988</v>
      </c>
      <c r="H745" s="21">
        <v>33612</v>
      </c>
      <c r="I745" s="21">
        <v>0</v>
      </c>
      <c r="J745" s="21">
        <v>3914</v>
      </c>
      <c r="K745" s="21">
        <v>342</v>
      </c>
      <c r="L745" s="21">
        <v>372</v>
      </c>
      <c r="M745" s="21">
        <v>0.87660000000000005</v>
      </c>
      <c r="N745" s="21">
        <v>0.86119999999999997</v>
      </c>
      <c r="O745" s="21">
        <v>8.2299999999999998E-2</v>
      </c>
      <c r="P745" s="21">
        <v>738</v>
      </c>
      <c r="Q745" s="21">
        <v>0.72360000000000002</v>
      </c>
      <c r="R745" s="21">
        <v>122</v>
      </c>
      <c r="S745" s="21">
        <v>62</v>
      </c>
      <c r="T745" s="21">
        <v>6.6500000000000004E-2</v>
      </c>
      <c r="U745" s="21">
        <v>4.53E-2</v>
      </c>
      <c r="V745" s="21">
        <v>0.30959999999999999</v>
      </c>
      <c r="W745" s="21">
        <v>230</v>
      </c>
      <c r="X745" s="21">
        <v>179</v>
      </c>
      <c r="Y745" s="21">
        <v>254</v>
      </c>
      <c r="Z745" s="21">
        <v>0.3</v>
      </c>
      <c r="AA745" s="21">
        <v>0.7</v>
      </c>
      <c r="AB745" s="21">
        <v>622</v>
      </c>
      <c r="AC745" s="21">
        <v>621</v>
      </c>
      <c r="AD745" s="21">
        <v>598</v>
      </c>
      <c r="AE745" s="21">
        <v>94</v>
      </c>
      <c r="AF745" s="21">
        <v>0.16350000000000001</v>
      </c>
      <c r="AG745" s="21">
        <v>0</v>
      </c>
      <c r="AH745" s="21">
        <v>0</v>
      </c>
      <c r="AI745" s="21">
        <v>8.3299999999999999E-2</v>
      </c>
      <c r="AJ745" s="21">
        <v>0.71430000000000005</v>
      </c>
      <c r="AK745" s="21">
        <v>0</v>
      </c>
      <c r="AL745" s="21">
        <v>0</v>
      </c>
      <c r="AM745" s="21">
        <v>0</v>
      </c>
      <c r="AN745" s="21">
        <v>0</v>
      </c>
      <c r="AO745" s="21">
        <v>0.71989999999999998</v>
      </c>
      <c r="AP745" s="21">
        <v>87</v>
      </c>
      <c r="AQ745" s="21">
        <v>87</v>
      </c>
      <c r="AR745" s="21">
        <v>82</v>
      </c>
      <c r="AS745" s="21">
        <v>2</v>
      </c>
      <c r="AT745" s="21">
        <v>3</v>
      </c>
      <c r="AU745" s="21">
        <v>318</v>
      </c>
      <c r="AV745" s="21">
        <v>108</v>
      </c>
    </row>
    <row r="746" spans="1:48" x14ac:dyDescent="0.15">
      <c r="A746" s="20" t="s">
        <v>51</v>
      </c>
      <c r="B746" s="20" t="s">
        <v>114</v>
      </c>
      <c r="C746" s="21">
        <v>67025</v>
      </c>
      <c r="D746" s="21">
        <v>1629</v>
      </c>
      <c r="E746" s="21">
        <v>14152</v>
      </c>
      <c r="F746" s="21">
        <v>82808</v>
      </c>
      <c r="G746" s="21">
        <v>6484</v>
      </c>
      <c r="H746" s="21">
        <v>40928</v>
      </c>
      <c r="I746" s="21">
        <v>4178</v>
      </c>
      <c r="J746" s="21">
        <v>21628</v>
      </c>
      <c r="K746" s="21">
        <v>8946</v>
      </c>
      <c r="L746" s="21">
        <v>1578</v>
      </c>
      <c r="M746" s="21">
        <v>0.71989999999999998</v>
      </c>
      <c r="N746" s="21">
        <v>0.68200000000000005</v>
      </c>
      <c r="O746" s="21">
        <v>0.13600000000000001</v>
      </c>
      <c r="P746" s="21">
        <v>3467</v>
      </c>
      <c r="Q746" s="21">
        <v>0.50529999999999997</v>
      </c>
      <c r="R746" s="21">
        <v>52</v>
      </c>
      <c r="S746" s="21">
        <v>24</v>
      </c>
      <c r="T746" s="21">
        <v>0.10630000000000001</v>
      </c>
      <c r="U746" s="21">
        <v>6.8599999999999994E-2</v>
      </c>
      <c r="V746" s="21">
        <v>0.60950000000000004</v>
      </c>
      <c r="W746" s="21">
        <v>1673</v>
      </c>
      <c r="X746" s="21">
        <v>1536</v>
      </c>
      <c r="Y746" s="21">
        <v>2665</v>
      </c>
      <c r="Z746" s="21">
        <v>0.2</v>
      </c>
      <c r="AA746" s="21">
        <v>0.6</v>
      </c>
      <c r="AB746" s="21">
        <v>6909</v>
      </c>
      <c r="AC746" s="21">
        <v>6695</v>
      </c>
      <c r="AD746" s="21">
        <v>6700</v>
      </c>
      <c r="AE746" s="21">
        <v>1114</v>
      </c>
      <c r="AF746" s="21">
        <v>0.1716</v>
      </c>
      <c r="AG746" s="21">
        <v>0</v>
      </c>
      <c r="AH746" s="21">
        <v>0</v>
      </c>
      <c r="AI746" s="21">
        <v>0.10059999999999999</v>
      </c>
      <c r="AJ746" s="21">
        <v>0.55359999999999998</v>
      </c>
      <c r="AK746" s="21">
        <v>0</v>
      </c>
      <c r="AL746" s="21">
        <v>0</v>
      </c>
      <c r="AM746" s="21">
        <v>0</v>
      </c>
      <c r="AN746" s="21">
        <v>0</v>
      </c>
      <c r="AO746" s="21">
        <v>0.63109999999999999</v>
      </c>
      <c r="AP746" s="21">
        <v>240</v>
      </c>
      <c r="AQ746" s="21">
        <v>240</v>
      </c>
      <c r="AR746" s="21">
        <v>228</v>
      </c>
      <c r="AS746" s="21">
        <v>12</v>
      </c>
      <c r="AT746" s="21">
        <v>0</v>
      </c>
      <c r="AU746" s="21">
        <v>748</v>
      </c>
      <c r="AV746" s="21">
        <v>595</v>
      </c>
    </row>
    <row r="747" spans="1:48" x14ac:dyDescent="0.15">
      <c r="A747" s="20" t="s">
        <v>52</v>
      </c>
      <c r="B747" s="20" t="s">
        <v>114</v>
      </c>
      <c r="C747" s="21">
        <v>38387</v>
      </c>
      <c r="D747" s="21">
        <v>690</v>
      </c>
      <c r="E747" s="21">
        <v>19610</v>
      </c>
      <c r="F747" s="21">
        <v>58686</v>
      </c>
      <c r="G747" s="21">
        <v>14896</v>
      </c>
      <c r="H747" s="21">
        <v>20989</v>
      </c>
      <c r="I747" s="21">
        <v>2313</v>
      </c>
      <c r="J747" s="21">
        <v>14042</v>
      </c>
      <c r="K747" s="21">
        <v>5289</v>
      </c>
      <c r="L747" s="21">
        <v>389</v>
      </c>
      <c r="M747" s="21">
        <v>0.85540000000000005</v>
      </c>
      <c r="N747" s="21">
        <v>0.85289999999999999</v>
      </c>
      <c r="O747" s="21">
        <v>0.1201</v>
      </c>
      <c r="P747" s="21">
        <v>1006</v>
      </c>
      <c r="Q747" s="21">
        <v>0.73960000000000004</v>
      </c>
      <c r="R747" s="21">
        <v>149</v>
      </c>
      <c r="S747" s="21">
        <v>58</v>
      </c>
      <c r="T747" s="21">
        <v>8.6699999999999999E-2</v>
      </c>
      <c r="U747" s="21">
        <v>5.5800000000000002E-2</v>
      </c>
      <c r="V747" s="21">
        <v>1</v>
      </c>
      <c r="W747" s="21">
        <v>313</v>
      </c>
      <c r="X747" s="21">
        <v>175</v>
      </c>
      <c r="Y747" s="21">
        <v>212</v>
      </c>
      <c r="Z747" s="21">
        <v>0.3</v>
      </c>
      <c r="AA747" s="21">
        <v>0.8</v>
      </c>
      <c r="AB747" s="21">
        <v>600</v>
      </c>
      <c r="AC747" s="21">
        <v>600</v>
      </c>
      <c r="AD747" s="21">
        <v>571</v>
      </c>
      <c r="AE747" s="21">
        <v>73</v>
      </c>
      <c r="AF747" s="21">
        <v>0.13469999999999999</v>
      </c>
      <c r="AG747" s="21">
        <v>0</v>
      </c>
      <c r="AH747" s="21">
        <v>0</v>
      </c>
      <c r="AI747" s="21">
        <v>0.2</v>
      </c>
      <c r="AJ747" s="21">
        <v>0.2273</v>
      </c>
      <c r="AK747" s="21">
        <v>0</v>
      </c>
      <c r="AL747" s="21">
        <v>0</v>
      </c>
      <c r="AM747" s="21">
        <v>0</v>
      </c>
      <c r="AN747" s="21">
        <v>0</v>
      </c>
      <c r="AO747" s="21">
        <v>0.94389999999999996</v>
      </c>
      <c r="AP747" s="21">
        <v>26</v>
      </c>
      <c r="AQ747" s="21">
        <v>29</v>
      </c>
      <c r="AR747" s="21">
        <v>27</v>
      </c>
      <c r="AS747" s="21">
        <v>2</v>
      </c>
      <c r="AU747" s="21">
        <v>371</v>
      </c>
      <c r="AV747" s="21">
        <v>278</v>
      </c>
    </row>
    <row r="748" spans="1:48" x14ac:dyDescent="0.15">
      <c r="A748" s="20" t="s">
        <v>53</v>
      </c>
      <c r="B748" s="20" t="s">
        <v>114</v>
      </c>
      <c r="C748" s="21">
        <v>125</v>
      </c>
      <c r="D748" s="21">
        <v>0</v>
      </c>
      <c r="E748" s="21">
        <v>56985</v>
      </c>
      <c r="F748" s="21">
        <v>57110</v>
      </c>
      <c r="H748" s="21">
        <v>26118</v>
      </c>
      <c r="I748" s="21">
        <v>28062</v>
      </c>
      <c r="J748" s="21">
        <v>2930</v>
      </c>
      <c r="K748" s="21">
        <v>0</v>
      </c>
      <c r="L748" s="21">
        <v>111</v>
      </c>
      <c r="M748" s="21">
        <v>0.64059999999999995</v>
      </c>
      <c r="N748" s="21">
        <v>0.64059999999999995</v>
      </c>
      <c r="O748" s="21">
        <v>0</v>
      </c>
      <c r="P748" s="21">
        <v>1557</v>
      </c>
      <c r="Q748" s="21">
        <v>0.46050000000000002</v>
      </c>
      <c r="R748" s="21">
        <v>589</v>
      </c>
      <c r="S748" s="21">
        <v>37</v>
      </c>
      <c r="T748" s="21">
        <v>0.1065</v>
      </c>
      <c r="U748" s="21">
        <v>5.0000000000000001E-3</v>
      </c>
      <c r="W748" s="21">
        <v>278</v>
      </c>
      <c r="X748" s="21">
        <v>377</v>
      </c>
      <c r="Y748" s="21">
        <v>384</v>
      </c>
      <c r="Z748" s="21">
        <v>0.5</v>
      </c>
      <c r="AA748" s="21">
        <v>1</v>
      </c>
      <c r="AB748" s="21">
        <v>762</v>
      </c>
      <c r="AC748" s="21">
        <v>762</v>
      </c>
      <c r="AD748" s="21">
        <v>756</v>
      </c>
      <c r="AE748" s="21">
        <v>76</v>
      </c>
      <c r="AF748" s="21">
        <v>0.10150000000000001</v>
      </c>
      <c r="AG748" s="21">
        <v>0</v>
      </c>
      <c r="AH748" s="21">
        <v>0</v>
      </c>
      <c r="AI748" s="21">
        <v>0.31030000000000002</v>
      </c>
      <c r="AJ748" s="21">
        <v>0.47399999999999998</v>
      </c>
      <c r="AK748" s="21">
        <v>0</v>
      </c>
      <c r="AL748" s="21">
        <v>0</v>
      </c>
      <c r="AM748" s="21">
        <v>0</v>
      </c>
      <c r="AN748" s="21">
        <v>0</v>
      </c>
      <c r="AP748" s="21">
        <v>3793</v>
      </c>
      <c r="AQ748" s="21">
        <v>20</v>
      </c>
      <c r="AR748" s="21">
        <v>9</v>
      </c>
      <c r="AS748" s="21">
        <v>11</v>
      </c>
      <c r="AU748" s="21">
        <v>0</v>
      </c>
      <c r="AV748" s="21">
        <v>0</v>
      </c>
    </row>
    <row r="749" spans="1:48" x14ac:dyDescent="0.15">
      <c r="A749" s="20" t="s">
        <v>0</v>
      </c>
      <c r="B749" s="20" t="s">
        <v>114</v>
      </c>
      <c r="C749" s="21">
        <v>300610</v>
      </c>
      <c r="D749" s="21">
        <v>3727</v>
      </c>
      <c r="E749" s="21">
        <v>383088</v>
      </c>
      <c r="F749" s="21">
        <v>687426</v>
      </c>
      <c r="G749" s="21">
        <v>99501</v>
      </c>
      <c r="H749" s="21">
        <v>225158</v>
      </c>
      <c r="I749" s="21">
        <v>125599</v>
      </c>
      <c r="J749" s="21">
        <v>110546</v>
      </c>
      <c r="K749" s="21">
        <v>86547</v>
      </c>
      <c r="L749" s="21">
        <v>4677</v>
      </c>
      <c r="M749" s="21">
        <v>0.75180000000000002</v>
      </c>
      <c r="N749" s="21">
        <v>0.73250000000000004</v>
      </c>
      <c r="O749" s="21">
        <v>8.8800000000000004E-2</v>
      </c>
      <c r="P749" s="21">
        <v>15704</v>
      </c>
      <c r="Q749" s="21">
        <v>0.48270000000000002</v>
      </c>
      <c r="R749" s="21">
        <v>149</v>
      </c>
      <c r="S749" s="21">
        <v>44</v>
      </c>
      <c r="T749" s="21">
        <v>8.7800000000000003E-2</v>
      </c>
      <c r="U749" s="21">
        <v>5.0999999999999997E-2</v>
      </c>
      <c r="V749" s="21">
        <v>0.88100000000000001</v>
      </c>
      <c r="W749" s="21">
        <v>4557</v>
      </c>
      <c r="X749" s="21">
        <v>3697</v>
      </c>
      <c r="Y749" s="21">
        <v>5379</v>
      </c>
      <c r="Z749" s="21">
        <v>0.3</v>
      </c>
      <c r="AA749" s="21">
        <v>0.7</v>
      </c>
      <c r="AB749" s="21">
        <v>13503</v>
      </c>
      <c r="AC749" s="21">
        <v>13206</v>
      </c>
      <c r="AD749" s="21">
        <v>13212</v>
      </c>
      <c r="AE749" s="21">
        <v>2043</v>
      </c>
      <c r="AF749" s="21">
        <v>0.15809999999999999</v>
      </c>
      <c r="AG749" s="21">
        <v>0</v>
      </c>
      <c r="AH749" s="21">
        <v>0</v>
      </c>
      <c r="AI749" s="21">
        <v>0.1181</v>
      </c>
      <c r="AJ749" s="21">
        <v>0.38080000000000003</v>
      </c>
      <c r="AK749" s="21">
        <v>0</v>
      </c>
      <c r="AL749" s="21">
        <v>0</v>
      </c>
      <c r="AM749" s="21">
        <v>0</v>
      </c>
      <c r="AN749" s="21">
        <v>0</v>
      </c>
      <c r="AO749" s="21">
        <v>0.8276</v>
      </c>
      <c r="AP749" s="21">
        <v>9474</v>
      </c>
      <c r="AQ749" s="21">
        <v>1352</v>
      </c>
      <c r="AR749" s="21">
        <v>1229</v>
      </c>
      <c r="AS749" s="21">
        <v>52</v>
      </c>
      <c r="AT749" s="21">
        <v>70</v>
      </c>
      <c r="AU749" s="21">
        <v>3815</v>
      </c>
      <c r="AV749" s="21">
        <v>1497</v>
      </c>
    </row>
    <row r="750" spans="1:48" x14ac:dyDescent="0.15">
      <c r="A750" s="20" t="s">
        <v>54</v>
      </c>
      <c r="B750" s="20" t="s">
        <v>114</v>
      </c>
      <c r="C750" s="21">
        <v>22999</v>
      </c>
      <c r="D750" s="21">
        <v>-2</v>
      </c>
      <c r="E750" s="21">
        <v>40812</v>
      </c>
      <c r="F750" s="21">
        <v>63809</v>
      </c>
      <c r="G750" s="21">
        <v>4727</v>
      </c>
      <c r="H750" s="21">
        <v>10166</v>
      </c>
      <c r="I750" s="21">
        <v>4879</v>
      </c>
      <c r="J750" s="21">
        <v>1144</v>
      </c>
      <c r="K750" s="21">
        <v>41975</v>
      </c>
      <c r="L750" s="21">
        <v>271</v>
      </c>
      <c r="M750" s="21">
        <v>0.72199999999999998</v>
      </c>
      <c r="N750" s="21">
        <v>0.72199999999999998</v>
      </c>
      <c r="O750" s="21">
        <v>0</v>
      </c>
      <c r="P750" s="21">
        <v>3242</v>
      </c>
      <c r="Q750" s="21">
        <v>0.30099999999999999</v>
      </c>
      <c r="R750" s="21">
        <v>248</v>
      </c>
      <c r="S750" s="21">
        <v>20</v>
      </c>
      <c r="T750" s="21">
        <v>8.8200000000000001E-2</v>
      </c>
      <c r="U750" s="21">
        <v>1.18E-2</v>
      </c>
      <c r="W750" s="21">
        <v>142</v>
      </c>
      <c r="X750" s="21">
        <v>149</v>
      </c>
      <c r="Y750" s="21">
        <v>213</v>
      </c>
      <c r="Z750" s="21">
        <v>0.3</v>
      </c>
      <c r="AA750" s="21">
        <v>0.7</v>
      </c>
      <c r="AB750" s="21">
        <v>564</v>
      </c>
      <c r="AC750" s="21">
        <v>564</v>
      </c>
      <c r="AD750" s="21">
        <v>579</v>
      </c>
      <c r="AE750" s="21">
        <v>28</v>
      </c>
      <c r="AF750" s="21">
        <v>4.7100000000000003E-2</v>
      </c>
      <c r="AG750" s="21">
        <v>0</v>
      </c>
      <c r="AH750" s="21">
        <v>0</v>
      </c>
      <c r="AI750" s="21">
        <v>0</v>
      </c>
      <c r="AJ750" s="21">
        <v>0</v>
      </c>
      <c r="AK750" s="21">
        <v>0</v>
      </c>
      <c r="AL750" s="21">
        <v>0</v>
      </c>
      <c r="AM750" s="21">
        <v>0</v>
      </c>
      <c r="AN750" s="21">
        <v>0</v>
      </c>
      <c r="AO750" s="21">
        <v>1</v>
      </c>
      <c r="AP750" s="21">
        <v>2303</v>
      </c>
      <c r="AQ750" s="21">
        <v>26</v>
      </c>
      <c r="AR750" s="21">
        <v>23</v>
      </c>
      <c r="AS750" s="21">
        <v>2</v>
      </c>
      <c r="AT750" s="21">
        <v>1</v>
      </c>
      <c r="AU750" s="21">
        <v>0</v>
      </c>
      <c r="AV750" s="21">
        <v>2</v>
      </c>
    </row>
    <row r="751" spans="1:48" x14ac:dyDescent="0.15">
      <c r="A751" s="20" t="s">
        <v>55</v>
      </c>
      <c r="B751" s="20" t="s">
        <v>114</v>
      </c>
      <c r="C751" s="21">
        <v>0</v>
      </c>
      <c r="D751" s="21">
        <v>0</v>
      </c>
      <c r="E751" s="21">
        <v>65154</v>
      </c>
      <c r="F751" s="21">
        <v>65154</v>
      </c>
      <c r="G751" s="21">
        <v>1106</v>
      </c>
      <c r="H751" s="21">
        <v>3748</v>
      </c>
      <c r="I751" s="21">
        <v>60300</v>
      </c>
      <c r="L751" s="21">
        <v>102</v>
      </c>
      <c r="M751" s="21">
        <v>0.83650000000000002</v>
      </c>
      <c r="N751" s="21">
        <v>0.83650000000000002</v>
      </c>
      <c r="O751" s="21">
        <v>0</v>
      </c>
      <c r="P751" s="21">
        <v>553</v>
      </c>
      <c r="Q751" s="21">
        <v>0.63470000000000004</v>
      </c>
      <c r="R751" s="21">
        <v>776</v>
      </c>
      <c r="S751" s="21">
        <v>118</v>
      </c>
      <c r="T751" s="21">
        <v>0.1115</v>
      </c>
      <c r="U751" s="21">
        <v>4.0000000000000002E-4</v>
      </c>
      <c r="AB751" s="21">
        <v>0</v>
      </c>
      <c r="AC751" s="21">
        <v>0</v>
      </c>
      <c r="AD751" s="21">
        <v>0</v>
      </c>
      <c r="AE751" s="21">
        <v>0</v>
      </c>
      <c r="AF751" s="21">
        <v>0</v>
      </c>
      <c r="AG751" s="21">
        <v>0</v>
      </c>
      <c r="AH751" s="21">
        <v>0</v>
      </c>
      <c r="AI751" s="21">
        <v>0</v>
      </c>
      <c r="AJ751" s="21">
        <v>0</v>
      </c>
      <c r="AK751" s="21">
        <v>0</v>
      </c>
      <c r="AL751" s="21">
        <v>0</v>
      </c>
      <c r="AM751" s="21">
        <v>0</v>
      </c>
      <c r="AN751" s="21">
        <v>0</v>
      </c>
      <c r="AP751" s="21">
        <v>1770</v>
      </c>
      <c r="AQ751" s="21">
        <v>122</v>
      </c>
      <c r="AR751" s="21">
        <v>122</v>
      </c>
      <c r="AS751" s="21">
        <v>0</v>
      </c>
      <c r="AU751" s="21">
        <v>0</v>
      </c>
      <c r="AV751" s="21">
        <v>0</v>
      </c>
    </row>
    <row r="752" spans="1:48" x14ac:dyDescent="0.15">
      <c r="A752" s="20" t="s">
        <v>56</v>
      </c>
      <c r="B752" s="20" t="s">
        <v>114</v>
      </c>
      <c r="C752" s="21">
        <v>28773</v>
      </c>
      <c r="D752" s="21">
        <v>0</v>
      </c>
      <c r="E752" s="21">
        <v>9160</v>
      </c>
      <c r="F752" s="21">
        <v>37932</v>
      </c>
      <c r="G752" s="21">
        <v>9055</v>
      </c>
      <c r="H752" s="21">
        <v>938</v>
      </c>
      <c r="J752" s="21">
        <v>10060</v>
      </c>
      <c r="K752" s="21">
        <v>17880</v>
      </c>
      <c r="L752" s="21">
        <v>190</v>
      </c>
      <c r="M752" s="21">
        <v>0.63400000000000001</v>
      </c>
      <c r="N752" s="21">
        <v>0.63400000000000001</v>
      </c>
      <c r="O752" s="21">
        <v>0</v>
      </c>
      <c r="P752" s="21">
        <v>950</v>
      </c>
      <c r="Q752" s="21">
        <v>0.26740000000000003</v>
      </c>
      <c r="R752" s="21">
        <v>206</v>
      </c>
      <c r="S752" s="21">
        <v>40</v>
      </c>
      <c r="T752" s="21">
        <v>8.2600000000000007E-2</v>
      </c>
      <c r="U752" s="21">
        <v>5.0999999999999997E-2</v>
      </c>
      <c r="W752" s="21">
        <v>75</v>
      </c>
      <c r="X752" s="21">
        <v>56</v>
      </c>
      <c r="Y752" s="21">
        <v>83</v>
      </c>
      <c r="Z752" s="21">
        <v>0.3</v>
      </c>
      <c r="AA752" s="21">
        <v>0.7</v>
      </c>
      <c r="AB752" s="21">
        <v>159</v>
      </c>
      <c r="AC752" s="21">
        <v>159</v>
      </c>
      <c r="AD752" s="21">
        <v>175</v>
      </c>
      <c r="AE752" s="21">
        <v>3</v>
      </c>
      <c r="AF752" s="21">
        <v>1.5699999999999999E-2</v>
      </c>
      <c r="AG752" s="21">
        <v>0</v>
      </c>
      <c r="AH752" s="21">
        <v>0</v>
      </c>
      <c r="AI752" s="21">
        <v>0.16669999999999999</v>
      </c>
      <c r="AJ752" s="21">
        <v>0</v>
      </c>
      <c r="AK752" s="21">
        <v>0</v>
      </c>
      <c r="AL752" s="21">
        <v>0</v>
      </c>
      <c r="AM752" s="21">
        <v>0</v>
      </c>
      <c r="AN752" s="21">
        <v>0</v>
      </c>
      <c r="AO752" s="21">
        <v>0.86</v>
      </c>
      <c r="AP752" s="21">
        <v>83</v>
      </c>
      <c r="AQ752" s="21">
        <v>83</v>
      </c>
      <c r="AR752" s="21">
        <v>82</v>
      </c>
      <c r="AS752" s="21">
        <v>1</v>
      </c>
      <c r="AU752" s="21">
        <v>0</v>
      </c>
      <c r="AV752" s="21">
        <v>3</v>
      </c>
    </row>
    <row r="753" spans="1:48" x14ac:dyDescent="0.15">
      <c r="A753" s="20" t="s">
        <v>57</v>
      </c>
      <c r="B753" s="20" t="s">
        <v>114</v>
      </c>
      <c r="C753" s="21">
        <v>4983</v>
      </c>
      <c r="D753" s="21">
        <v>3</v>
      </c>
      <c r="E753" s="21">
        <v>82059</v>
      </c>
      <c r="F753" s="21">
        <v>87044</v>
      </c>
      <c r="G753" s="21">
        <v>13246</v>
      </c>
      <c r="H753" s="21">
        <v>21930</v>
      </c>
      <c r="I753" s="21">
        <v>9171</v>
      </c>
      <c r="J753" s="21">
        <v>20981</v>
      </c>
      <c r="K753" s="21">
        <v>277</v>
      </c>
      <c r="L753" s="21">
        <v>410</v>
      </c>
      <c r="M753" s="21">
        <v>0.75780000000000003</v>
      </c>
      <c r="N753" s="21">
        <v>0.75780000000000003</v>
      </c>
      <c r="O753" s="21">
        <v>1.2E-2</v>
      </c>
      <c r="P753" s="21">
        <v>652</v>
      </c>
      <c r="Q753" s="21">
        <v>0.64419999999999999</v>
      </c>
      <c r="R753" s="21">
        <v>215</v>
      </c>
      <c r="S753" s="21">
        <v>134</v>
      </c>
      <c r="T753" s="21">
        <v>4.4400000000000002E-2</v>
      </c>
      <c r="U753" s="21">
        <v>4.3799999999999999E-2</v>
      </c>
      <c r="V753" s="21">
        <v>0.89900000000000002</v>
      </c>
      <c r="W753" s="21">
        <v>545</v>
      </c>
      <c r="X753" s="21">
        <v>308</v>
      </c>
      <c r="Y753" s="21">
        <v>309</v>
      </c>
      <c r="Z753" s="21">
        <v>0.4</v>
      </c>
      <c r="AA753" s="21">
        <v>1</v>
      </c>
      <c r="AB753" s="21">
        <v>827</v>
      </c>
      <c r="AC753" s="21">
        <v>745</v>
      </c>
      <c r="AD753" s="21">
        <v>804</v>
      </c>
      <c r="AE753" s="21">
        <v>170</v>
      </c>
      <c r="AF753" s="21">
        <v>0.2177</v>
      </c>
      <c r="AG753" s="21">
        <v>0</v>
      </c>
      <c r="AH753" s="21">
        <v>0</v>
      </c>
      <c r="AI753" s="21">
        <v>0.1111</v>
      </c>
      <c r="AJ753" s="21">
        <v>0.30959999999999999</v>
      </c>
      <c r="AK753" s="21">
        <v>0</v>
      </c>
      <c r="AL753" s="21">
        <v>0</v>
      </c>
      <c r="AM753" s="21">
        <v>0</v>
      </c>
      <c r="AN753" s="21">
        <v>0</v>
      </c>
      <c r="AO753" s="21">
        <v>0.88919999999999999</v>
      </c>
      <c r="AP753" s="21">
        <v>300</v>
      </c>
      <c r="AQ753" s="21">
        <v>300</v>
      </c>
      <c r="AR753" s="21">
        <v>280</v>
      </c>
      <c r="AS753" s="21">
        <v>14</v>
      </c>
      <c r="AT753" s="21">
        <v>5</v>
      </c>
      <c r="AU753" s="21">
        <v>1029</v>
      </c>
      <c r="AV753" s="21">
        <v>177</v>
      </c>
    </row>
    <row r="754" spans="1:48" x14ac:dyDescent="0.15">
      <c r="A754" s="20" t="s">
        <v>58</v>
      </c>
      <c r="B754" s="20" t="s">
        <v>114</v>
      </c>
      <c r="C754" s="21">
        <v>24571</v>
      </c>
      <c r="D754" s="21">
        <v>64</v>
      </c>
      <c r="E754" s="21">
        <v>25348</v>
      </c>
      <c r="F754" s="21">
        <v>49983</v>
      </c>
      <c r="G754" s="21">
        <v>16548</v>
      </c>
      <c r="H754" s="21">
        <v>28118</v>
      </c>
      <c r="J754" s="21">
        <v>1547</v>
      </c>
      <c r="K754" s="21">
        <v>3770</v>
      </c>
      <c r="L754" s="21">
        <v>312</v>
      </c>
      <c r="M754" s="21">
        <v>0.82079999999999997</v>
      </c>
      <c r="N754" s="21">
        <v>0.82079999999999997</v>
      </c>
      <c r="O754" s="21">
        <v>5.6599999999999998E-2</v>
      </c>
      <c r="P754" s="21">
        <v>958</v>
      </c>
      <c r="Q754" s="21">
        <v>0.56679999999999997</v>
      </c>
      <c r="R754" s="21">
        <v>169</v>
      </c>
      <c r="S754" s="21">
        <v>52</v>
      </c>
      <c r="T754" s="21">
        <v>0.17069999999999999</v>
      </c>
      <c r="U754" s="21">
        <v>2.07E-2</v>
      </c>
      <c r="W754" s="21">
        <v>602</v>
      </c>
      <c r="X754" s="21">
        <v>385</v>
      </c>
      <c r="Y754" s="21">
        <v>515</v>
      </c>
      <c r="Z754" s="21">
        <v>0.3</v>
      </c>
      <c r="AA754" s="21">
        <v>0.7</v>
      </c>
      <c r="AB754" s="21">
        <v>1271</v>
      </c>
      <c r="AC754" s="21">
        <v>1271</v>
      </c>
      <c r="AD754" s="21">
        <v>1168</v>
      </c>
      <c r="AE754" s="21">
        <v>251</v>
      </c>
      <c r="AF754" s="21">
        <v>0.2359</v>
      </c>
      <c r="AG754" s="21">
        <v>0</v>
      </c>
      <c r="AH754" s="21">
        <v>0</v>
      </c>
      <c r="AI754" s="21">
        <v>0.1023</v>
      </c>
      <c r="AJ754" s="21">
        <v>0.36840000000000001</v>
      </c>
      <c r="AK754" s="21">
        <v>0</v>
      </c>
      <c r="AL754" s="21">
        <v>0</v>
      </c>
      <c r="AM754" s="21">
        <v>0</v>
      </c>
      <c r="AN754" s="21">
        <v>0</v>
      </c>
      <c r="AP754" s="21">
        <v>639</v>
      </c>
      <c r="AQ754" s="21">
        <v>262</v>
      </c>
      <c r="AR754" s="21">
        <v>259</v>
      </c>
      <c r="AS754" s="21">
        <v>2</v>
      </c>
      <c r="AU754" s="21">
        <v>0</v>
      </c>
      <c r="AV754" s="21">
        <v>0</v>
      </c>
    </row>
    <row r="755" spans="1:48" x14ac:dyDescent="0.15">
      <c r="A755" s="20" t="s">
        <v>59</v>
      </c>
      <c r="B755" s="20" t="s">
        <v>114</v>
      </c>
      <c r="C755" s="21">
        <v>22829</v>
      </c>
      <c r="D755" s="21">
        <v>4</v>
      </c>
      <c r="E755" s="21">
        <v>25401</v>
      </c>
      <c r="F755" s="21">
        <v>48234</v>
      </c>
      <c r="G755" s="21">
        <v>12303</v>
      </c>
      <c r="H755" s="21">
        <v>10399</v>
      </c>
      <c r="I755" s="21">
        <v>8060</v>
      </c>
      <c r="J755" s="21">
        <v>12354</v>
      </c>
      <c r="K755" s="21">
        <v>5117</v>
      </c>
      <c r="L755" s="21">
        <v>136</v>
      </c>
      <c r="M755" s="21">
        <v>0.80289999999999995</v>
      </c>
      <c r="N755" s="21">
        <v>0.80289999999999995</v>
      </c>
      <c r="O755" s="21">
        <v>2.92E-2</v>
      </c>
      <c r="P755" s="21">
        <v>1120</v>
      </c>
      <c r="Q755" s="21">
        <v>0.3911</v>
      </c>
      <c r="R755" s="21">
        <v>370</v>
      </c>
      <c r="S755" s="21">
        <v>43</v>
      </c>
      <c r="T755" s="21">
        <v>6.5600000000000006E-2</v>
      </c>
      <c r="U755" s="21">
        <v>3.8E-3</v>
      </c>
      <c r="W755" s="21">
        <v>30</v>
      </c>
      <c r="X755" s="21">
        <v>33</v>
      </c>
      <c r="Y755" s="21">
        <v>39</v>
      </c>
      <c r="Z755" s="21">
        <v>0.3</v>
      </c>
      <c r="AA755" s="21">
        <v>0.8</v>
      </c>
      <c r="AB755" s="21">
        <v>115</v>
      </c>
      <c r="AC755" s="21">
        <v>115</v>
      </c>
      <c r="AD755" s="21">
        <v>121</v>
      </c>
      <c r="AE755" s="21">
        <v>7</v>
      </c>
      <c r="AF755" s="21">
        <v>5.5100000000000003E-2</v>
      </c>
      <c r="AG755" s="21">
        <v>0</v>
      </c>
      <c r="AH755" s="21">
        <v>0</v>
      </c>
      <c r="AI755" s="21">
        <v>0</v>
      </c>
      <c r="AJ755" s="21">
        <v>0</v>
      </c>
      <c r="AK755" s="21">
        <v>0</v>
      </c>
      <c r="AL755" s="21">
        <v>0</v>
      </c>
      <c r="AM755" s="21">
        <v>0</v>
      </c>
      <c r="AN755" s="21">
        <v>0</v>
      </c>
      <c r="AP755" s="21">
        <v>50</v>
      </c>
      <c r="AQ755" s="21">
        <v>0</v>
      </c>
      <c r="AS755" s="21">
        <v>0</v>
      </c>
      <c r="AU755" s="21">
        <v>0</v>
      </c>
      <c r="AV755" s="21">
        <v>0</v>
      </c>
    </row>
    <row r="756" spans="1:48" x14ac:dyDescent="0.15">
      <c r="A756" s="20" t="s">
        <v>60</v>
      </c>
      <c r="B756" s="20" t="s">
        <v>114</v>
      </c>
      <c r="C756" s="21">
        <v>12330</v>
      </c>
      <c r="D756" s="21">
        <v>238</v>
      </c>
      <c r="E756" s="21">
        <v>23894</v>
      </c>
      <c r="F756" s="21">
        <v>36462</v>
      </c>
      <c r="G756" s="21">
        <v>2100</v>
      </c>
      <c r="H756" s="21">
        <v>14076</v>
      </c>
      <c r="I756" s="21">
        <v>6481</v>
      </c>
      <c r="J756" s="21">
        <v>11629</v>
      </c>
      <c r="K756" s="21">
        <v>2176</v>
      </c>
      <c r="L756" s="21">
        <v>275</v>
      </c>
      <c r="M756" s="21">
        <v>0.7177</v>
      </c>
      <c r="N756" s="21">
        <v>0.70069999999999999</v>
      </c>
      <c r="O756" s="21">
        <v>9.5200000000000007E-2</v>
      </c>
      <c r="P756" s="21">
        <v>294</v>
      </c>
      <c r="Q756" s="21">
        <v>0.86050000000000004</v>
      </c>
      <c r="R756" s="21">
        <v>130</v>
      </c>
      <c r="S756" s="21">
        <v>124</v>
      </c>
      <c r="T756" s="21">
        <v>4.65E-2</v>
      </c>
      <c r="U756" s="21">
        <v>5.1400000000000001E-2</v>
      </c>
      <c r="W756" s="21">
        <v>317</v>
      </c>
      <c r="X756" s="21">
        <v>247</v>
      </c>
      <c r="Y756" s="21">
        <v>350</v>
      </c>
      <c r="Z756" s="21">
        <v>0.3</v>
      </c>
      <c r="AA756" s="21">
        <v>0.7</v>
      </c>
      <c r="AB756" s="21">
        <v>889</v>
      </c>
      <c r="AC756" s="21">
        <v>889</v>
      </c>
      <c r="AD756" s="21">
        <v>876</v>
      </c>
      <c r="AE756" s="21">
        <v>168</v>
      </c>
      <c r="AF756" s="21">
        <v>0.19470000000000001</v>
      </c>
      <c r="AG756" s="21">
        <v>0</v>
      </c>
      <c r="AH756" s="21">
        <v>0</v>
      </c>
      <c r="AI756" s="21">
        <v>1.3899999999999999E-2</v>
      </c>
      <c r="AJ756" s="21">
        <v>0.22320000000000001</v>
      </c>
      <c r="AK756" s="21">
        <v>0</v>
      </c>
      <c r="AL756" s="21">
        <v>0</v>
      </c>
      <c r="AM756" s="21">
        <v>0</v>
      </c>
      <c r="AN756" s="21">
        <v>0</v>
      </c>
      <c r="AP756" s="21">
        <v>70</v>
      </c>
      <c r="AQ756" s="21">
        <v>70</v>
      </c>
      <c r="AR756" s="21">
        <v>35</v>
      </c>
      <c r="AS756" s="21">
        <v>2</v>
      </c>
      <c r="AT756" s="21">
        <v>34</v>
      </c>
      <c r="AU756" s="21">
        <v>356</v>
      </c>
      <c r="AV756" s="21">
        <v>108</v>
      </c>
    </row>
    <row r="757" spans="1:48" x14ac:dyDescent="0.15">
      <c r="A757" s="20" t="s">
        <v>61</v>
      </c>
      <c r="B757" s="20" t="s">
        <v>114</v>
      </c>
      <c r="C757" s="21">
        <v>15348</v>
      </c>
      <c r="D757" s="21">
        <v>220</v>
      </c>
      <c r="E757" s="21">
        <v>6440</v>
      </c>
      <c r="F757" s="21">
        <v>22008</v>
      </c>
      <c r="G757" s="21">
        <v>2256</v>
      </c>
      <c r="H757" s="21">
        <v>2271</v>
      </c>
      <c r="I757" s="21">
        <v>1891</v>
      </c>
      <c r="J757" s="21">
        <v>6739</v>
      </c>
      <c r="K757" s="21">
        <v>771</v>
      </c>
      <c r="L757" s="21">
        <v>145</v>
      </c>
      <c r="M757" s="21">
        <v>0.8367</v>
      </c>
      <c r="N757" s="21">
        <v>0.81630000000000003</v>
      </c>
      <c r="O757" s="21">
        <v>0.1905</v>
      </c>
      <c r="P757" s="21">
        <v>262</v>
      </c>
      <c r="Q757" s="21">
        <v>0.81679999999999997</v>
      </c>
      <c r="R757" s="21">
        <v>152</v>
      </c>
      <c r="S757" s="21">
        <v>84</v>
      </c>
      <c r="T757" s="21">
        <v>5.45E-2</v>
      </c>
      <c r="U757" s="21">
        <v>6.0100000000000001E-2</v>
      </c>
      <c r="V757" s="21">
        <v>0.3488</v>
      </c>
      <c r="W757" s="21">
        <v>122</v>
      </c>
      <c r="X757" s="21">
        <v>110</v>
      </c>
      <c r="Y757" s="21">
        <v>156</v>
      </c>
      <c r="Z757" s="21">
        <v>0.3</v>
      </c>
      <c r="AA757" s="21">
        <v>0.7</v>
      </c>
      <c r="AB757" s="21">
        <v>362</v>
      </c>
      <c r="AC757" s="21">
        <v>362</v>
      </c>
      <c r="AD757" s="21">
        <v>414</v>
      </c>
      <c r="AE757" s="21">
        <v>19</v>
      </c>
      <c r="AF757" s="21">
        <v>4.0899999999999999E-2</v>
      </c>
      <c r="AG757" s="21">
        <v>0</v>
      </c>
      <c r="AH757" s="21">
        <v>0</v>
      </c>
      <c r="AI757" s="21">
        <v>0.05</v>
      </c>
      <c r="AJ757" s="21">
        <v>0.25069999999999998</v>
      </c>
      <c r="AK757" s="21">
        <v>0</v>
      </c>
      <c r="AL757" s="21">
        <v>0</v>
      </c>
      <c r="AM757" s="21">
        <v>0</v>
      </c>
      <c r="AN757" s="21">
        <v>0</v>
      </c>
      <c r="AO757" s="21">
        <v>1</v>
      </c>
      <c r="AP757" s="21">
        <v>28</v>
      </c>
      <c r="AQ757" s="21">
        <v>28</v>
      </c>
      <c r="AR757" s="21">
        <v>6</v>
      </c>
      <c r="AS757" s="21">
        <v>1</v>
      </c>
      <c r="AT757" s="21">
        <v>21</v>
      </c>
      <c r="AU757" s="21">
        <v>272</v>
      </c>
      <c r="AV757" s="21">
        <v>68</v>
      </c>
    </row>
    <row r="758" spans="1:48" x14ac:dyDescent="0.15">
      <c r="A758" s="20" t="s">
        <v>48</v>
      </c>
      <c r="B758" s="20" t="s">
        <v>115</v>
      </c>
      <c r="C758" s="21">
        <v>3604</v>
      </c>
      <c r="D758" s="21">
        <v>-42</v>
      </c>
      <c r="E758" s="21">
        <v>16061</v>
      </c>
      <c r="F758" s="21">
        <v>19622</v>
      </c>
      <c r="G758" s="21">
        <v>2607</v>
      </c>
      <c r="H758" s="21">
        <v>8283</v>
      </c>
      <c r="I758" s="21">
        <v>910</v>
      </c>
      <c r="J758" s="21">
        <v>936</v>
      </c>
      <c r="K758" s="21">
        <v>5</v>
      </c>
      <c r="L758" s="21">
        <v>380</v>
      </c>
      <c r="M758" s="21">
        <v>0.64249999999999996</v>
      </c>
      <c r="N758" s="21">
        <v>0.63729999999999998</v>
      </c>
      <c r="O758" s="21">
        <v>1.8100000000000002E-2</v>
      </c>
      <c r="P758" s="21">
        <v>924</v>
      </c>
      <c r="Q758" s="21">
        <v>0.38640000000000002</v>
      </c>
      <c r="R758" s="21">
        <v>51</v>
      </c>
      <c r="S758" s="21">
        <v>21</v>
      </c>
      <c r="T758" s="21">
        <v>0.11990000000000001</v>
      </c>
      <c r="U758" s="21">
        <v>5.0200000000000002E-2</v>
      </c>
      <c r="V758" s="21">
        <v>1</v>
      </c>
      <c r="W758" s="21">
        <v>306</v>
      </c>
      <c r="X758" s="21">
        <v>125</v>
      </c>
      <c r="Y758" s="21">
        <v>171</v>
      </c>
      <c r="Z758" s="21">
        <v>0.3</v>
      </c>
      <c r="AA758" s="21">
        <v>0.7</v>
      </c>
      <c r="AB758" s="21">
        <v>378</v>
      </c>
      <c r="AC758" s="21">
        <v>378</v>
      </c>
      <c r="AD758" s="21">
        <v>400</v>
      </c>
      <c r="AE758" s="21">
        <v>20</v>
      </c>
      <c r="AF758" s="21">
        <v>4.7300000000000002E-2</v>
      </c>
      <c r="AG758" s="21">
        <v>0</v>
      </c>
      <c r="AH758" s="21">
        <v>0</v>
      </c>
      <c r="AI758" s="21">
        <v>0.21049999999999999</v>
      </c>
      <c r="AJ758" s="21">
        <v>0.66669999999999996</v>
      </c>
      <c r="AK758" s="21">
        <v>90</v>
      </c>
      <c r="AL758" s="21">
        <v>0.22470000000000001</v>
      </c>
      <c r="AM758" s="21">
        <v>52</v>
      </c>
      <c r="AN758" s="21">
        <v>0.1298</v>
      </c>
      <c r="AO758" s="21">
        <v>0.91259999999999997</v>
      </c>
      <c r="AP758" s="21">
        <v>113</v>
      </c>
      <c r="AQ758" s="21">
        <v>113</v>
      </c>
      <c r="AR758" s="21">
        <v>102</v>
      </c>
      <c r="AS758" s="21">
        <v>10</v>
      </c>
      <c r="AT758" s="21">
        <v>1</v>
      </c>
      <c r="AU758" s="21">
        <v>1163</v>
      </c>
      <c r="AV758" s="21">
        <v>227</v>
      </c>
    </row>
    <row r="759" spans="1:48" x14ac:dyDescent="0.15">
      <c r="A759" s="20" t="s">
        <v>50</v>
      </c>
      <c r="B759" s="20" t="s">
        <v>115</v>
      </c>
      <c r="C759" s="21">
        <v>4170</v>
      </c>
      <c r="D759" s="21">
        <v>23</v>
      </c>
      <c r="E759" s="21">
        <v>18822</v>
      </c>
      <c r="F759" s="21">
        <v>23015</v>
      </c>
      <c r="G759" s="21">
        <v>1523</v>
      </c>
      <c r="H759" s="21">
        <v>11243</v>
      </c>
      <c r="I759" s="21">
        <v>0</v>
      </c>
      <c r="J759" s="21">
        <v>1224</v>
      </c>
      <c r="K759" s="21">
        <v>9212</v>
      </c>
      <c r="L759" s="21">
        <v>368</v>
      </c>
      <c r="M759" s="21">
        <v>0.67559999999999998</v>
      </c>
      <c r="N759" s="21">
        <v>0.66490000000000005</v>
      </c>
      <c r="O759" s="21">
        <v>1.0699999999999999E-2</v>
      </c>
      <c r="P759" s="21">
        <v>740</v>
      </c>
      <c r="Q759" s="21">
        <v>0.45810000000000001</v>
      </c>
      <c r="R759" s="21">
        <v>62</v>
      </c>
      <c r="S759" s="21">
        <v>31</v>
      </c>
      <c r="T759" s="21">
        <v>0.14149999999999999</v>
      </c>
      <c r="U759" s="21">
        <v>5.7500000000000002E-2</v>
      </c>
      <c r="V759" s="21">
        <v>0.9042</v>
      </c>
      <c r="W759" s="21">
        <v>584</v>
      </c>
      <c r="X759" s="21">
        <v>277</v>
      </c>
      <c r="Y759" s="21">
        <v>264</v>
      </c>
      <c r="Z759" s="21">
        <v>0.4</v>
      </c>
      <c r="AA759" s="21">
        <v>1</v>
      </c>
      <c r="AB759" s="21">
        <v>644</v>
      </c>
      <c r="AC759" s="21">
        <v>643</v>
      </c>
      <c r="AD759" s="21">
        <v>633</v>
      </c>
      <c r="AE759" s="21">
        <v>68</v>
      </c>
      <c r="AF759" s="21">
        <v>0.10929999999999999</v>
      </c>
      <c r="AG759" s="21">
        <v>0</v>
      </c>
      <c r="AH759" s="21">
        <v>0</v>
      </c>
      <c r="AI759" s="21">
        <v>0.25</v>
      </c>
      <c r="AJ759" s="21">
        <v>0.77080000000000004</v>
      </c>
      <c r="AK759" s="21">
        <v>186</v>
      </c>
      <c r="AL759" s="21">
        <v>0.29430000000000001</v>
      </c>
      <c r="AM759" s="21">
        <v>149</v>
      </c>
      <c r="AN759" s="21">
        <v>0.23580000000000001</v>
      </c>
      <c r="AO759" s="21">
        <v>0.86129999999999995</v>
      </c>
      <c r="AP759" s="21">
        <v>572</v>
      </c>
      <c r="AQ759" s="21">
        <v>572</v>
      </c>
      <c r="AR759" s="21">
        <v>554</v>
      </c>
      <c r="AS759" s="21">
        <v>1</v>
      </c>
      <c r="AT759" s="21">
        <v>16</v>
      </c>
      <c r="AU759" s="21">
        <v>1023</v>
      </c>
      <c r="AV759" s="21">
        <v>189</v>
      </c>
    </row>
    <row r="760" spans="1:48" x14ac:dyDescent="0.15">
      <c r="A760" s="20" t="s">
        <v>51</v>
      </c>
      <c r="B760" s="20" t="s">
        <v>115</v>
      </c>
      <c r="C760" s="21">
        <v>4130</v>
      </c>
      <c r="D760" s="21">
        <v>21</v>
      </c>
      <c r="E760" s="21">
        <v>25200</v>
      </c>
      <c r="F760" s="21">
        <v>29351</v>
      </c>
      <c r="G760" s="21">
        <v>1649</v>
      </c>
      <c r="H760" s="21">
        <v>17062</v>
      </c>
      <c r="I760" s="21">
        <v>6116</v>
      </c>
      <c r="J760" s="21">
        <v>2814</v>
      </c>
      <c r="K760" s="21">
        <v>1712</v>
      </c>
      <c r="L760" s="21">
        <v>1575</v>
      </c>
      <c r="M760" s="21">
        <v>0.41270000000000001</v>
      </c>
      <c r="N760" s="21">
        <v>0.40579999999999999</v>
      </c>
      <c r="O760" s="21">
        <v>1.7999999999999999E-2</v>
      </c>
      <c r="P760" s="21">
        <v>3537</v>
      </c>
      <c r="Q760" s="21">
        <v>0.2482</v>
      </c>
      <c r="R760" s="21">
        <v>19</v>
      </c>
      <c r="S760" s="21">
        <v>8</v>
      </c>
      <c r="T760" s="21">
        <v>0.1807</v>
      </c>
      <c r="U760" s="21">
        <v>7.6300000000000007E-2</v>
      </c>
      <c r="V760" s="21">
        <v>0.93779999999999997</v>
      </c>
      <c r="W760" s="21">
        <v>1168</v>
      </c>
      <c r="X760" s="21">
        <v>1527</v>
      </c>
      <c r="Y760" s="21">
        <v>2568</v>
      </c>
      <c r="Z760" s="21">
        <v>0.2</v>
      </c>
      <c r="AA760" s="21">
        <v>0.6</v>
      </c>
      <c r="AB760" s="21">
        <v>8334</v>
      </c>
      <c r="AC760" s="21">
        <v>6934</v>
      </c>
      <c r="AD760" s="21">
        <v>7622</v>
      </c>
      <c r="AE760" s="21">
        <v>2038</v>
      </c>
      <c r="AF760" s="21">
        <v>0.29499999999999998</v>
      </c>
      <c r="AG760" s="21">
        <v>0</v>
      </c>
      <c r="AH760" s="21">
        <v>0</v>
      </c>
      <c r="AI760" s="21">
        <v>0.15859999999999999</v>
      </c>
      <c r="AJ760" s="21">
        <v>0.56569999999999998</v>
      </c>
      <c r="AK760" s="21">
        <v>1643</v>
      </c>
      <c r="AL760" s="21">
        <v>0.2374</v>
      </c>
      <c r="AM760" s="21">
        <v>1031</v>
      </c>
      <c r="AN760" s="21">
        <v>0.14899999999999999</v>
      </c>
      <c r="AO760" s="21">
        <v>0.79890000000000005</v>
      </c>
      <c r="AP760" s="21">
        <v>770</v>
      </c>
      <c r="AQ760" s="21">
        <v>668</v>
      </c>
      <c r="AR760" s="21">
        <v>623</v>
      </c>
      <c r="AS760" s="21">
        <v>45</v>
      </c>
      <c r="AT760" s="21">
        <v>0</v>
      </c>
      <c r="AU760" s="21">
        <v>2239</v>
      </c>
      <c r="AV760" s="21">
        <v>586</v>
      </c>
    </row>
    <row r="761" spans="1:48" x14ac:dyDescent="0.15">
      <c r="A761" s="20" t="s">
        <v>52</v>
      </c>
      <c r="B761" s="20" t="s">
        <v>115</v>
      </c>
      <c r="C761" s="21">
        <v>2755</v>
      </c>
      <c r="D761" s="21">
        <v>143</v>
      </c>
      <c r="E761" s="21">
        <v>36437</v>
      </c>
      <c r="F761" s="21">
        <v>39334</v>
      </c>
      <c r="G761" s="21">
        <v>12316</v>
      </c>
      <c r="H761" s="21">
        <v>16345</v>
      </c>
      <c r="I761" s="21">
        <v>3556</v>
      </c>
      <c r="J761" s="21">
        <v>4581</v>
      </c>
      <c r="K761" s="21">
        <v>1252</v>
      </c>
      <c r="L761" s="21">
        <v>382</v>
      </c>
      <c r="M761" s="21">
        <v>0.72060000000000002</v>
      </c>
      <c r="N761" s="21">
        <v>0.72289999999999999</v>
      </c>
      <c r="O761" s="21">
        <v>1.15E-2</v>
      </c>
      <c r="P761" s="21">
        <v>956</v>
      </c>
      <c r="Q761" s="21">
        <v>0.64019999999999999</v>
      </c>
      <c r="R761" s="21">
        <v>102</v>
      </c>
      <c r="S761" s="21">
        <v>41</v>
      </c>
      <c r="T761" s="21">
        <v>0.1263</v>
      </c>
      <c r="U761" s="21">
        <v>6.1899999999999997E-2</v>
      </c>
      <c r="V761" s="21">
        <v>1</v>
      </c>
      <c r="W761" s="21">
        <v>121</v>
      </c>
      <c r="X761" s="21">
        <v>109</v>
      </c>
      <c r="Y761" s="21">
        <v>129</v>
      </c>
      <c r="Z761" s="21">
        <v>0.2</v>
      </c>
      <c r="AA761" s="21">
        <v>0.8</v>
      </c>
      <c r="AB761" s="21">
        <v>619</v>
      </c>
      <c r="AC761" s="21">
        <v>619</v>
      </c>
      <c r="AD761" s="21">
        <v>610</v>
      </c>
      <c r="AE761" s="21">
        <v>33</v>
      </c>
      <c r="AF761" s="21">
        <v>5.5E-2</v>
      </c>
      <c r="AG761" s="21">
        <v>0</v>
      </c>
      <c r="AH761" s="21">
        <v>0</v>
      </c>
      <c r="AI761" s="21">
        <v>0.13789999999999999</v>
      </c>
      <c r="AJ761" s="21">
        <v>0.53139999999999998</v>
      </c>
      <c r="AK761" s="21">
        <v>96</v>
      </c>
      <c r="AL761" s="21">
        <v>0.1575</v>
      </c>
      <c r="AM761" s="21">
        <v>72</v>
      </c>
      <c r="AN761" s="21">
        <v>0.1181</v>
      </c>
      <c r="AO761" s="21">
        <v>0.75390000000000001</v>
      </c>
      <c r="AP761" s="21">
        <v>89</v>
      </c>
      <c r="AQ761" s="21">
        <v>89</v>
      </c>
      <c r="AR761" s="21">
        <v>87</v>
      </c>
      <c r="AS761" s="21">
        <v>1</v>
      </c>
      <c r="AU761" s="21">
        <v>1052</v>
      </c>
      <c r="AV761" s="21">
        <v>133</v>
      </c>
    </row>
    <row r="762" spans="1:48" x14ac:dyDescent="0.15">
      <c r="A762" s="20" t="s">
        <v>53</v>
      </c>
      <c r="B762" s="20" t="s">
        <v>115</v>
      </c>
      <c r="C762" s="21">
        <v>46</v>
      </c>
      <c r="D762" s="21">
        <v>0</v>
      </c>
      <c r="E762" s="21">
        <v>2654</v>
      </c>
      <c r="F762" s="21">
        <v>2700</v>
      </c>
      <c r="H762" s="21">
        <v>1144</v>
      </c>
      <c r="I762" s="21">
        <v>1428</v>
      </c>
      <c r="J762" s="21">
        <v>128</v>
      </c>
      <c r="K762" s="21">
        <v>0</v>
      </c>
      <c r="L762" s="21">
        <v>172</v>
      </c>
      <c r="M762" s="21">
        <v>0.47220000000000001</v>
      </c>
      <c r="N762" s="21">
        <v>0.47220000000000001</v>
      </c>
      <c r="O762" s="21">
        <v>0</v>
      </c>
      <c r="P762" s="21">
        <v>1562</v>
      </c>
      <c r="Q762" s="21">
        <v>0.12230000000000001</v>
      </c>
      <c r="R762" s="21">
        <v>19</v>
      </c>
      <c r="S762" s="21">
        <v>2</v>
      </c>
      <c r="T762" s="21">
        <v>0.64319999999999999</v>
      </c>
      <c r="U762" s="21">
        <v>5.5999999999999999E-3</v>
      </c>
      <c r="W762" s="21">
        <v>186</v>
      </c>
      <c r="X762" s="21">
        <v>229</v>
      </c>
      <c r="Y762" s="21">
        <v>257</v>
      </c>
      <c r="Z762" s="21">
        <v>0.2</v>
      </c>
      <c r="AA762" s="21">
        <v>0.9</v>
      </c>
      <c r="AB762" s="21">
        <v>1664</v>
      </c>
      <c r="AC762" s="21">
        <v>770</v>
      </c>
      <c r="AD762" s="21">
        <v>1213</v>
      </c>
      <c r="AE762" s="21">
        <v>941</v>
      </c>
      <c r="AF762" s="21">
        <v>1.2349000000000001</v>
      </c>
      <c r="AG762" s="21">
        <v>0</v>
      </c>
      <c r="AH762" s="21">
        <v>0</v>
      </c>
      <c r="AI762" s="21">
        <v>0.37040000000000001</v>
      </c>
      <c r="AJ762" s="21">
        <v>0.48530000000000001</v>
      </c>
      <c r="AK762" s="21">
        <v>174</v>
      </c>
      <c r="AL762" s="21">
        <v>0.22720000000000001</v>
      </c>
      <c r="AM762" s="21">
        <v>147</v>
      </c>
      <c r="AN762" s="21">
        <v>0.19189999999999999</v>
      </c>
      <c r="AP762" s="21">
        <v>2356</v>
      </c>
      <c r="AQ762" s="21">
        <v>28</v>
      </c>
      <c r="AR762" s="21">
        <v>27</v>
      </c>
      <c r="AS762" s="21">
        <v>1</v>
      </c>
      <c r="AU762" s="21">
        <v>0</v>
      </c>
      <c r="AV762" s="21">
        <v>0</v>
      </c>
    </row>
    <row r="763" spans="1:48" x14ac:dyDescent="0.15">
      <c r="A763" s="20" t="s">
        <v>0</v>
      </c>
      <c r="B763" s="20" t="s">
        <v>115</v>
      </c>
      <c r="C763" s="21">
        <v>22696</v>
      </c>
      <c r="D763" s="21">
        <v>200</v>
      </c>
      <c r="E763" s="21">
        <v>251614</v>
      </c>
      <c r="F763" s="21">
        <v>274510</v>
      </c>
      <c r="G763" s="21">
        <v>87654</v>
      </c>
      <c r="H763" s="21">
        <v>74684</v>
      </c>
      <c r="I763" s="21">
        <v>40899</v>
      </c>
      <c r="J763" s="21">
        <v>33555</v>
      </c>
      <c r="K763" s="21">
        <v>30225</v>
      </c>
      <c r="L763" s="21">
        <v>4889</v>
      </c>
      <c r="M763" s="21">
        <v>0.54700000000000004</v>
      </c>
      <c r="N763" s="21">
        <v>0.54379999999999995</v>
      </c>
      <c r="O763" s="21">
        <v>1.23E-2</v>
      </c>
      <c r="P763" s="21">
        <v>17300</v>
      </c>
      <c r="Q763" s="21">
        <v>0.27129999999999999</v>
      </c>
      <c r="R763" s="21">
        <v>57</v>
      </c>
      <c r="S763" s="21">
        <v>16</v>
      </c>
      <c r="T763" s="21">
        <v>0.20230000000000001</v>
      </c>
      <c r="U763" s="21">
        <v>5.67E-2</v>
      </c>
      <c r="V763" s="21">
        <v>0.86480000000000001</v>
      </c>
      <c r="W763" s="21">
        <v>3880</v>
      </c>
      <c r="X763" s="21">
        <v>3563</v>
      </c>
      <c r="Y763" s="21">
        <v>5022</v>
      </c>
      <c r="Z763" s="21">
        <v>0.2</v>
      </c>
      <c r="AA763" s="21">
        <v>0.7</v>
      </c>
      <c r="AB763" s="21">
        <v>18559</v>
      </c>
      <c r="AC763" s="21">
        <v>13517</v>
      </c>
      <c r="AD763" s="21">
        <v>16031</v>
      </c>
      <c r="AE763" s="21">
        <v>6285</v>
      </c>
      <c r="AF763" s="21">
        <v>0.46550000000000002</v>
      </c>
      <c r="AG763" s="21">
        <v>0</v>
      </c>
      <c r="AH763" s="21">
        <v>0</v>
      </c>
      <c r="AI763" s="21">
        <v>0.19789999999999999</v>
      </c>
      <c r="AJ763" s="21">
        <v>0.52729999999999999</v>
      </c>
      <c r="AK763" s="21">
        <v>3189</v>
      </c>
      <c r="AL763" s="21">
        <v>0.2361</v>
      </c>
      <c r="AM763" s="21">
        <v>2216</v>
      </c>
      <c r="AN763" s="21">
        <v>0.16400000000000001</v>
      </c>
      <c r="AO763" s="21">
        <v>0.7984</v>
      </c>
      <c r="AP763" s="21">
        <v>13007</v>
      </c>
      <c r="AQ763" s="21">
        <v>4485</v>
      </c>
      <c r="AR763" s="21">
        <v>4245</v>
      </c>
      <c r="AS763" s="21">
        <v>164</v>
      </c>
      <c r="AT763" s="21">
        <v>76</v>
      </c>
      <c r="AU763" s="21">
        <v>7630</v>
      </c>
      <c r="AV763" s="21">
        <v>1644</v>
      </c>
    </row>
    <row r="764" spans="1:48" x14ac:dyDescent="0.15">
      <c r="A764" s="20" t="s">
        <v>54</v>
      </c>
      <c r="B764" s="20" t="s">
        <v>115</v>
      </c>
      <c r="C764" s="21">
        <v>760</v>
      </c>
      <c r="D764" s="21">
        <v>2</v>
      </c>
      <c r="E764" s="21">
        <v>25468</v>
      </c>
      <c r="F764" s="21">
        <v>26230</v>
      </c>
      <c r="G764" s="21">
        <v>17610</v>
      </c>
      <c r="H764" s="21">
        <v>28</v>
      </c>
      <c r="I764" s="21">
        <v>1328</v>
      </c>
      <c r="J764" s="21">
        <v>-137</v>
      </c>
      <c r="K764" s="21">
        <v>7197</v>
      </c>
      <c r="L764" s="21">
        <v>327</v>
      </c>
      <c r="M764" s="21">
        <v>0.49399999999999999</v>
      </c>
      <c r="N764" s="21">
        <v>0.49399999999999999</v>
      </c>
      <c r="O764" s="21">
        <v>6.0000000000000001E-3</v>
      </c>
      <c r="P764" s="21">
        <v>3773</v>
      </c>
      <c r="Q764" s="21">
        <v>0.1598</v>
      </c>
      <c r="R764" s="21">
        <v>88</v>
      </c>
      <c r="S764" s="21">
        <v>7</v>
      </c>
      <c r="T764" s="21">
        <v>0.1454</v>
      </c>
      <c r="U764" s="21">
        <v>1.3599999999999999E-2</v>
      </c>
      <c r="W764" s="21">
        <v>183</v>
      </c>
      <c r="X764" s="21">
        <v>75</v>
      </c>
      <c r="Y764" s="21">
        <v>126</v>
      </c>
      <c r="Z764" s="21">
        <v>0.1</v>
      </c>
      <c r="AA764" s="21">
        <v>0.6</v>
      </c>
      <c r="AB764" s="21">
        <v>1038</v>
      </c>
      <c r="AC764" s="21">
        <v>457</v>
      </c>
      <c r="AD764" s="21">
        <v>801</v>
      </c>
      <c r="AE764" s="21">
        <v>599</v>
      </c>
      <c r="AF764" s="21">
        <v>1.0621</v>
      </c>
      <c r="AG764" s="21">
        <v>0</v>
      </c>
      <c r="AH764" s="21">
        <v>0</v>
      </c>
      <c r="AI764" s="21">
        <v>0.1111</v>
      </c>
      <c r="AJ764" s="21">
        <v>0</v>
      </c>
      <c r="AK764" s="21">
        <v>68</v>
      </c>
      <c r="AL764" s="21">
        <v>0.13320000000000001</v>
      </c>
      <c r="AM764" s="21">
        <v>48</v>
      </c>
      <c r="AN764" s="21">
        <v>9.4E-2</v>
      </c>
      <c r="AP764" s="21">
        <v>2467</v>
      </c>
      <c r="AQ764" s="21">
        <v>121</v>
      </c>
      <c r="AR764" s="21">
        <v>47</v>
      </c>
      <c r="AS764" s="21">
        <v>68</v>
      </c>
      <c r="AT764" s="21">
        <v>6</v>
      </c>
      <c r="AU764" s="21">
        <v>0</v>
      </c>
      <c r="AV764" s="21">
        <v>4</v>
      </c>
    </row>
    <row r="765" spans="1:48" x14ac:dyDescent="0.15">
      <c r="A765" s="20" t="s">
        <v>55</v>
      </c>
      <c r="B765" s="20" t="s">
        <v>115</v>
      </c>
      <c r="C765" s="21">
        <v>0</v>
      </c>
      <c r="D765" s="21">
        <v>0</v>
      </c>
      <c r="E765" s="21">
        <v>8210</v>
      </c>
      <c r="F765" s="21">
        <v>8210</v>
      </c>
      <c r="G765" s="21">
        <v>98</v>
      </c>
      <c r="H765" s="21">
        <v>-435</v>
      </c>
      <c r="I765" s="21">
        <v>8548</v>
      </c>
      <c r="L765" s="21">
        <v>167</v>
      </c>
      <c r="M765" s="21">
        <v>0.54490000000000005</v>
      </c>
      <c r="N765" s="21">
        <v>0.54490000000000005</v>
      </c>
      <c r="O765" s="21">
        <v>0</v>
      </c>
      <c r="P765" s="21">
        <v>883</v>
      </c>
      <c r="Q765" s="21">
        <v>0.21859999999999999</v>
      </c>
      <c r="R765" s="21">
        <v>61</v>
      </c>
      <c r="S765" s="21">
        <v>9</v>
      </c>
      <c r="T765" s="21">
        <v>0.25719999999999998</v>
      </c>
      <c r="U765" s="21">
        <v>5.0000000000000001E-4</v>
      </c>
      <c r="AB765" s="21">
        <v>0</v>
      </c>
      <c r="AC765" s="21">
        <v>0</v>
      </c>
      <c r="AD765" s="21">
        <v>0</v>
      </c>
      <c r="AE765" s="21">
        <v>0</v>
      </c>
      <c r="AF765" s="21">
        <v>0</v>
      </c>
      <c r="AG765" s="21">
        <v>0</v>
      </c>
      <c r="AH765" s="21">
        <v>0</v>
      </c>
      <c r="AI765" s="21">
        <v>0</v>
      </c>
      <c r="AJ765" s="21">
        <v>0</v>
      </c>
      <c r="AK765" s="21">
        <v>0</v>
      </c>
      <c r="AL765" s="21">
        <v>0</v>
      </c>
      <c r="AM765" s="21">
        <v>0</v>
      </c>
      <c r="AN765" s="21">
        <v>0</v>
      </c>
      <c r="AP765" s="21">
        <v>80</v>
      </c>
      <c r="AQ765" s="21">
        <v>80</v>
      </c>
      <c r="AR765" s="21">
        <v>80</v>
      </c>
      <c r="AS765" s="21">
        <v>0</v>
      </c>
      <c r="AU765" s="21">
        <v>0</v>
      </c>
      <c r="AV765" s="21">
        <v>0</v>
      </c>
    </row>
    <row r="766" spans="1:48" x14ac:dyDescent="0.15">
      <c r="A766" s="20" t="s">
        <v>56</v>
      </c>
      <c r="B766" s="20" t="s">
        <v>115</v>
      </c>
      <c r="C766" s="21">
        <v>2034</v>
      </c>
      <c r="D766" s="21">
        <v>30</v>
      </c>
      <c r="E766" s="21">
        <v>20678</v>
      </c>
      <c r="F766" s="21">
        <v>22742</v>
      </c>
      <c r="G766" s="21">
        <v>10343</v>
      </c>
      <c r="H766" s="21">
        <v>-43</v>
      </c>
      <c r="J766" s="21">
        <v>4079</v>
      </c>
      <c r="K766" s="21">
        <v>8363</v>
      </c>
      <c r="L766" s="21">
        <v>192</v>
      </c>
      <c r="M766" s="21">
        <v>0.55900000000000005</v>
      </c>
      <c r="N766" s="21">
        <v>0.55900000000000005</v>
      </c>
      <c r="O766" s="21">
        <v>5.1000000000000004E-3</v>
      </c>
      <c r="P766" s="21">
        <v>1056</v>
      </c>
      <c r="Q766" s="21">
        <v>0.21779999999999999</v>
      </c>
      <c r="R766" s="21">
        <v>119</v>
      </c>
      <c r="S766" s="21">
        <v>22</v>
      </c>
      <c r="T766" s="21">
        <v>0.1288</v>
      </c>
      <c r="U766" s="21">
        <v>5.5199999999999999E-2</v>
      </c>
      <c r="W766" s="21">
        <v>25</v>
      </c>
      <c r="X766" s="21">
        <v>28</v>
      </c>
      <c r="Y766" s="21">
        <v>59</v>
      </c>
      <c r="Z766" s="21">
        <v>0.2</v>
      </c>
      <c r="AA766" s="21">
        <v>0.5</v>
      </c>
      <c r="AB766" s="21">
        <v>135</v>
      </c>
      <c r="AC766" s="21">
        <v>135</v>
      </c>
      <c r="AD766" s="21">
        <v>147</v>
      </c>
      <c r="AE766" s="21">
        <v>10</v>
      </c>
      <c r="AF766" s="21">
        <v>6.2899999999999998E-2</v>
      </c>
      <c r="AG766" s="21">
        <v>0</v>
      </c>
      <c r="AH766" s="21">
        <v>0</v>
      </c>
      <c r="AI766" s="21">
        <v>0.42859999999999998</v>
      </c>
      <c r="AJ766" s="21">
        <v>0.75</v>
      </c>
      <c r="AK766" s="21">
        <v>37</v>
      </c>
      <c r="AL766" s="21">
        <v>0.25169999999999998</v>
      </c>
      <c r="AM766" s="21">
        <v>28</v>
      </c>
      <c r="AN766" s="21">
        <v>0.1905</v>
      </c>
      <c r="AP766" s="21">
        <v>1706</v>
      </c>
      <c r="AQ766" s="21">
        <v>560</v>
      </c>
      <c r="AR766" s="21">
        <v>553</v>
      </c>
      <c r="AS766" s="21">
        <v>7</v>
      </c>
      <c r="AU766" s="21">
        <v>0</v>
      </c>
      <c r="AV766" s="21">
        <v>50</v>
      </c>
    </row>
    <row r="767" spans="1:48" x14ac:dyDescent="0.15">
      <c r="A767" s="20" t="s">
        <v>57</v>
      </c>
      <c r="B767" s="20" t="s">
        <v>115</v>
      </c>
      <c r="C767" s="21">
        <v>365</v>
      </c>
      <c r="D767" s="21">
        <v>4</v>
      </c>
      <c r="E767" s="21">
        <v>37403</v>
      </c>
      <c r="F767" s="21">
        <v>37772</v>
      </c>
      <c r="G767" s="21">
        <v>12896</v>
      </c>
      <c r="H767" s="21">
        <v>7482</v>
      </c>
      <c r="I767" s="21">
        <v>6726</v>
      </c>
      <c r="J767" s="21">
        <v>12319</v>
      </c>
      <c r="K767" s="21">
        <v>125</v>
      </c>
      <c r="L767" s="21">
        <v>414</v>
      </c>
      <c r="M767" s="21">
        <v>0.56389999999999996</v>
      </c>
      <c r="N767" s="21">
        <v>0.56389999999999996</v>
      </c>
      <c r="O767" s="21">
        <v>2.3E-3</v>
      </c>
      <c r="P767" s="21">
        <v>623</v>
      </c>
      <c r="Q767" s="21">
        <v>0.49280000000000002</v>
      </c>
      <c r="R767" s="21">
        <v>92</v>
      </c>
      <c r="S767" s="21">
        <v>61</v>
      </c>
      <c r="T767" s="21">
        <v>0.3609</v>
      </c>
      <c r="U767" s="21">
        <v>4.87E-2</v>
      </c>
      <c r="V767" s="21">
        <v>0.86229999999999996</v>
      </c>
      <c r="W767" s="21">
        <v>322</v>
      </c>
      <c r="X767" s="21">
        <v>355</v>
      </c>
      <c r="Y767" s="21">
        <v>381</v>
      </c>
      <c r="Z767" s="21">
        <v>0.4</v>
      </c>
      <c r="AA767" s="21">
        <v>0.9</v>
      </c>
      <c r="AB767" s="21">
        <v>965</v>
      </c>
      <c r="AC767" s="21">
        <v>851</v>
      </c>
      <c r="AD767" s="21">
        <v>896</v>
      </c>
      <c r="AE767" s="21">
        <v>180</v>
      </c>
      <c r="AF767" s="21">
        <v>0.2177</v>
      </c>
      <c r="AG767" s="21">
        <v>0</v>
      </c>
      <c r="AH767" s="21">
        <v>0</v>
      </c>
      <c r="AI767" s="21">
        <v>0.3</v>
      </c>
      <c r="AJ767" s="21">
        <v>0.39560000000000001</v>
      </c>
      <c r="AK767" s="21">
        <v>246</v>
      </c>
      <c r="AL767" s="21">
        <v>0.29320000000000002</v>
      </c>
      <c r="AM767" s="21">
        <v>197</v>
      </c>
      <c r="AN767" s="21">
        <v>0.23480000000000001</v>
      </c>
      <c r="AO767" s="21">
        <v>0.79979999999999996</v>
      </c>
      <c r="AP767" s="21">
        <v>1957</v>
      </c>
      <c r="AQ767" s="21">
        <v>1800</v>
      </c>
      <c r="AR767" s="21">
        <v>1784</v>
      </c>
      <c r="AS767" s="21">
        <v>14</v>
      </c>
      <c r="AT767" s="21">
        <v>1</v>
      </c>
      <c r="AU767" s="21">
        <v>1598</v>
      </c>
      <c r="AV767" s="21">
        <v>158</v>
      </c>
    </row>
    <row r="768" spans="1:48" x14ac:dyDescent="0.15">
      <c r="A768" s="20" t="s">
        <v>58</v>
      </c>
      <c r="B768" s="20" t="s">
        <v>115</v>
      </c>
      <c r="C768" s="21">
        <v>1687</v>
      </c>
      <c r="D768" s="21">
        <v>13</v>
      </c>
      <c r="E768" s="21">
        <v>13224</v>
      </c>
      <c r="F768" s="21">
        <v>14923</v>
      </c>
      <c r="G768" s="21">
        <v>6948</v>
      </c>
      <c r="H768" s="21">
        <v>5909</v>
      </c>
      <c r="J768" s="21">
        <v>308</v>
      </c>
      <c r="K768" s="21">
        <v>1758</v>
      </c>
      <c r="L768" s="21">
        <v>343</v>
      </c>
      <c r="M768" s="21">
        <v>0.62</v>
      </c>
      <c r="N768" s="21">
        <v>0.62</v>
      </c>
      <c r="O768" s="21">
        <v>1.14E-2</v>
      </c>
      <c r="P768" s="21">
        <v>1565</v>
      </c>
      <c r="Q768" s="21">
        <v>0.2185</v>
      </c>
      <c r="R768" s="21">
        <v>46</v>
      </c>
      <c r="S768" s="21">
        <v>10</v>
      </c>
      <c r="T768" s="21">
        <v>0.24979999999999999</v>
      </c>
      <c r="U768" s="21">
        <v>2.8799999999999999E-2</v>
      </c>
      <c r="W768" s="21">
        <v>267</v>
      </c>
      <c r="X768" s="21">
        <v>331</v>
      </c>
      <c r="Y768" s="21">
        <v>498</v>
      </c>
      <c r="Z768" s="21">
        <v>0.2</v>
      </c>
      <c r="AA768" s="21">
        <v>0.7</v>
      </c>
      <c r="AB768" s="21">
        <v>2953</v>
      </c>
      <c r="AC768" s="21">
        <v>1306</v>
      </c>
      <c r="AD768" s="21">
        <v>2112</v>
      </c>
      <c r="AE768" s="21">
        <v>1752</v>
      </c>
      <c r="AF768" s="21">
        <v>1.3784000000000001</v>
      </c>
      <c r="AG768" s="21">
        <v>0</v>
      </c>
      <c r="AH768" s="21">
        <v>0</v>
      </c>
      <c r="AI768" s="21">
        <v>0.153</v>
      </c>
      <c r="AJ768" s="21">
        <v>0.49220000000000003</v>
      </c>
      <c r="AK768" s="21">
        <v>306</v>
      </c>
      <c r="AL768" s="21">
        <v>0.23749999999999999</v>
      </c>
      <c r="AM768" s="21">
        <v>217</v>
      </c>
      <c r="AN768" s="21">
        <v>0.16839999999999999</v>
      </c>
      <c r="AP768" s="21">
        <v>2262</v>
      </c>
      <c r="AQ768" s="21">
        <v>127</v>
      </c>
      <c r="AR768" s="21">
        <v>123</v>
      </c>
      <c r="AS768" s="21">
        <v>4</v>
      </c>
      <c r="AU768" s="21">
        <v>0</v>
      </c>
      <c r="AV768" s="21">
        <v>20</v>
      </c>
    </row>
    <row r="769" spans="1:48" x14ac:dyDescent="0.15">
      <c r="A769" s="20" t="s">
        <v>59</v>
      </c>
      <c r="B769" s="20" t="s">
        <v>115</v>
      </c>
      <c r="C769" s="21">
        <v>616</v>
      </c>
      <c r="D769" s="21">
        <v>-5</v>
      </c>
      <c r="E769" s="21">
        <v>21269</v>
      </c>
      <c r="F769" s="21">
        <v>21880</v>
      </c>
      <c r="G769" s="21">
        <v>17618</v>
      </c>
      <c r="H769" s="21">
        <v>207</v>
      </c>
      <c r="I769" s="21">
        <v>2966</v>
      </c>
      <c r="J769" s="21">
        <v>1130</v>
      </c>
      <c r="K769" s="21">
        <v>-39</v>
      </c>
      <c r="L769" s="21">
        <v>160</v>
      </c>
      <c r="M769" s="21">
        <v>0.72219999999999995</v>
      </c>
      <c r="N769" s="21">
        <v>0.72219999999999995</v>
      </c>
      <c r="O769" s="21">
        <v>0</v>
      </c>
      <c r="P769" s="21">
        <v>1122</v>
      </c>
      <c r="Q769" s="21">
        <v>0.2344</v>
      </c>
      <c r="R769" s="21">
        <v>148</v>
      </c>
      <c r="S769" s="21">
        <v>20</v>
      </c>
      <c r="T769" s="21">
        <v>0.1265</v>
      </c>
      <c r="U769" s="21">
        <v>4.4000000000000003E-3</v>
      </c>
      <c r="W769" s="21">
        <v>9</v>
      </c>
      <c r="X769" s="21">
        <v>8</v>
      </c>
      <c r="Y769" s="21">
        <v>18</v>
      </c>
      <c r="Z769" s="21">
        <v>0.1</v>
      </c>
      <c r="AA769" s="21">
        <v>0.5</v>
      </c>
      <c r="AB769" s="21">
        <v>84</v>
      </c>
      <c r="AC769" s="21">
        <v>84</v>
      </c>
      <c r="AD769" s="21">
        <v>100</v>
      </c>
      <c r="AE769" s="21">
        <v>3</v>
      </c>
      <c r="AF769" s="21">
        <v>2.6100000000000002E-2</v>
      </c>
      <c r="AG769" s="21">
        <v>0</v>
      </c>
      <c r="AH769" s="21">
        <v>0</v>
      </c>
      <c r="AI769" s="21">
        <v>0.125</v>
      </c>
      <c r="AJ769" s="21">
        <v>0</v>
      </c>
      <c r="AK769" s="21">
        <v>7</v>
      </c>
      <c r="AL769" s="21">
        <v>7.0400000000000004E-2</v>
      </c>
      <c r="AM769" s="21">
        <v>4</v>
      </c>
      <c r="AN769" s="21">
        <v>4.02E-2</v>
      </c>
      <c r="AP769" s="21">
        <v>133</v>
      </c>
      <c r="AQ769" s="21">
        <v>3</v>
      </c>
      <c r="AS769" s="21">
        <v>3</v>
      </c>
      <c r="AU769" s="21">
        <v>0</v>
      </c>
      <c r="AV769" s="21">
        <v>0</v>
      </c>
    </row>
    <row r="770" spans="1:48" x14ac:dyDescent="0.15">
      <c r="A770" s="20" t="s">
        <v>60</v>
      </c>
      <c r="B770" s="20" t="s">
        <v>115</v>
      </c>
      <c r="C770" s="21">
        <v>1302</v>
      </c>
      <c r="D770" s="21">
        <v>14</v>
      </c>
      <c r="E770" s="21">
        <v>16304</v>
      </c>
      <c r="F770" s="21">
        <v>17619</v>
      </c>
      <c r="G770" s="21">
        <v>1906</v>
      </c>
      <c r="H770" s="21">
        <v>5832</v>
      </c>
      <c r="I770" s="21">
        <v>5433</v>
      </c>
      <c r="J770" s="21">
        <v>3826</v>
      </c>
      <c r="K770" s="21">
        <v>622</v>
      </c>
      <c r="L770" s="21">
        <v>263</v>
      </c>
      <c r="M770" s="21">
        <v>0.57399999999999995</v>
      </c>
      <c r="N770" s="21">
        <v>0.57399999999999995</v>
      </c>
      <c r="O770" s="21">
        <v>2.1700000000000001E-2</v>
      </c>
      <c r="P770" s="21">
        <v>297</v>
      </c>
      <c r="Q770" s="21">
        <v>0.71379999999999999</v>
      </c>
      <c r="R770" s="21">
        <v>65</v>
      </c>
      <c r="S770" s="21">
        <v>59</v>
      </c>
      <c r="T770" s="21">
        <v>0.1414</v>
      </c>
      <c r="U770" s="21">
        <v>5.04E-2</v>
      </c>
      <c r="V770" s="21">
        <v>1</v>
      </c>
      <c r="W770" s="21">
        <v>302</v>
      </c>
      <c r="X770" s="21">
        <v>358</v>
      </c>
      <c r="Y770" s="21">
        <v>456</v>
      </c>
      <c r="Z770" s="21">
        <v>0.3</v>
      </c>
      <c r="AA770" s="21">
        <v>0.8</v>
      </c>
      <c r="AB770" s="21">
        <v>1185</v>
      </c>
      <c r="AC770" s="21">
        <v>967</v>
      </c>
      <c r="AD770" s="21">
        <v>1037</v>
      </c>
      <c r="AE770" s="21">
        <v>403</v>
      </c>
      <c r="AF770" s="21">
        <v>0.45329999999999998</v>
      </c>
      <c r="AG770" s="21">
        <v>0</v>
      </c>
      <c r="AH770" s="21">
        <v>0</v>
      </c>
      <c r="AI770" s="21">
        <v>0.26669999999999999</v>
      </c>
      <c r="AJ770" s="21">
        <v>0.22450000000000001</v>
      </c>
      <c r="AK770" s="21">
        <v>277</v>
      </c>
      <c r="AL770" s="21">
        <v>0.29880000000000001</v>
      </c>
      <c r="AM770" s="21">
        <v>228</v>
      </c>
      <c r="AN770" s="21">
        <v>0.246</v>
      </c>
      <c r="AP770" s="21">
        <v>466</v>
      </c>
      <c r="AQ770" s="21">
        <v>289</v>
      </c>
      <c r="AR770" s="21">
        <v>261</v>
      </c>
      <c r="AS770" s="21">
        <v>3</v>
      </c>
      <c r="AT770" s="21">
        <v>24</v>
      </c>
      <c r="AU770" s="21">
        <v>204</v>
      </c>
      <c r="AV770" s="21">
        <v>191</v>
      </c>
    </row>
    <row r="771" spans="1:48" x14ac:dyDescent="0.15">
      <c r="A771" s="20" t="s">
        <v>61</v>
      </c>
      <c r="B771" s="20" t="s">
        <v>115</v>
      </c>
      <c r="C771" s="21">
        <v>1229</v>
      </c>
      <c r="D771" s="21">
        <v>-2</v>
      </c>
      <c r="E771" s="21">
        <v>9884</v>
      </c>
      <c r="F771" s="21">
        <v>11111</v>
      </c>
      <c r="G771" s="21">
        <v>2142</v>
      </c>
      <c r="H771" s="21">
        <v>1627</v>
      </c>
      <c r="I771" s="21">
        <v>3888</v>
      </c>
      <c r="J771" s="21">
        <v>2346</v>
      </c>
      <c r="K771" s="21">
        <v>17</v>
      </c>
      <c r="L771" s="21">
        <v>146</v>
      </c>
      <c r="M771" s="21">
        <v>0.65990000000000004</v>
      </c>
      <c r="N771" s="21">
        <v>0.65990000000000004</v>
      </c>
      <c r="O771" s="21">
        <v>2.0400000000000001E-2</v>
      </c>
      <c r="P771" s="21">
        <v>262</v>
      </c>
      <c r="Q771" s="21">
        <v>0.63360000000000005</v>
      </c>
      <c r="R771" s="21">
        <v>76</v>
      </c>
      <c r="S771" s="21">
        <v>42</v>
      </c>
      <c r="T771" s="21">
        <v>0.2157</v>
      </c>
      <c r="U771" s="21">
        <v>6.0999999999999999E-2</v>
      </c>
      <c r="V771" s="21">
        <v>0.64</v>
      </c>
      <c r="W771" s="21">
        <v>407</v>
      </c>
      <c r="X771" s="21">
        <v>141</v>
      </c>
      <c r="Y771" s="21">
        <v>95</v>
      </c>
      <c r="Z771" s="21">
        <v>0.3</v>
      </c>
      <c r="AA771" s="21">
        <v>1.5</v>
      </c>
      <c r="AB771" s="21">
        <v>560</v>
      </c>
      <c r="AC771" s="21">
        <v>373</v>
      </c>
      <c r="AD771" s="21">
        <v>461</v>
      </c>
      <c r="AE771" s="21">
        <v>238</v>
      </c>
      <c r="AF771" s="21">
        <v>0.65749999999999997</v>
      </c>
      <c r="AG771" s="21">
        <v>0</v>
      </c>
      <c r="AH771" s="21">
        <v>0</v>
      </c>
      <c r="AI771" s="21">
        <v>0.11899999999999999</v>
      </c>
      <c r="AJ771" s="21">
        <v>0.18329999999999999</v>
      </c>
      <c r="AK771" s="21">
        <v>59</v>
      </c>
      <c r="AL771" s="21">
        <v>0.1605</v>
      </c>
      <c r="AM771" s="21">
        <v>43</v>
      </c>
      <c r="AN771" s="21">
        <v>0.11700000000000001</v>
      </c>
      <c r="AO771" s="21">
        <v>1</v>
      </c>
      <c r="AP771" s="21">
        <v>36</v>
      </c>
      <c r="AQ771" s="21">
        <v>36</v>
      </c>
      <c r="AR771" s="21">
        <v>3</v>
      </c>
      <c r="AS771" s="21">
        <v>6</v>
      </c>
      <c r="AT771" s="21">
        <v>27</v>
      </c>
      <c r="AU771" s="21">
        <v>351</v>
      </c>
      <c r="AV771" s="21">
        <v>85</v>
      </c>
    </row>
    <row r="772" spans="1:48" x14ac:dyDescent="0.15">
      <c r="A772" s="20" t="s">
        <v>48</v>
      </c>
      <c r="B772" s="20" t="s">
        <v>116</v>
      </c>
      <c r="C772" s="21">
        <v>16530</v>
      </c>
      <c r="D772" s="21">
        <v>291</v>
      </c>
      <c r="E772" s="21">
        <v>23144</v>
      </c>
      <c r="F772" s="21">
        <v>39965</v>
      </c>
      <c r="G772" s="21">
        <v>6267</v>
      </c>
      <c r="H772" s="21">
        <v>3644</v>
      </c>
      <c r="I772" s="21">
        <v>7710</v>
      </c>
      <c r="J772" s="21">
        <v>1316</v>
      </c>
      <c r="K772" s="21">
        <v>17048</v>
      </c>
      <c r="L772" s="21">
        <v>381</v>
      </c>
      <c r="M772" s="21">
        <v>0.74539999999999995</v>
      </c>
      <c r="N772" s="21">
        <v>0.74539999999999995</v>
      </c>
      <c r="O772" s="21">
        <v>2.3599999999999999E-2</v>
      </c>
      <c r="P772" s="21">
        <v>941</v>
      </c>
      <c r="Q772" s="21">
        <v>0.41870000000000002</v>
      </c>
      <c r="R772" s="21">
        <v>105</v>
      </c>
      <c r="S772" s="21">
        <v>42</v>
      </c>
      <c r="T772" s="21">
        <v>2.9600000000000001E-2</v>
      </c>
      <c r="U772" s="21">
        <v>0.12790000000000001</v>
      </c>
      <c r="W772" s="21">
        <v>532</v>
      </c>
      <c r="X772" s="21">
        <v>104</v>
      </c>
      <c r="Y772" s="21">
        <v>106</v>
      </c>
      <c r="Z772" s="21">
        <v>0.3</v>
      </c>
      <c r="AA772" s="21">
        <v>1</v>
      </c>
      <c r="AB772" s="21">
        <v>315</v>
      </c>
      <c r="AC772" s="21">
        <v>315</v>
      </c>
      <c r="AD772" s="21">
        <v>346</v>
      </c>
      <c r="AE772" s="21">
        <v>6</v>
      </c>
      <c r="AF772" s="21">
        <v>1.5900000000000001E-2</v>
      </c>
      <c r="AG772" s="21">
        <v>69</v>
      </c>
      <c r="AH772" s="21">
        <v>0.1825</v>
      </c>
      <c r="AI772" s="21">
        <v>0.20830000000000001</v>
      </c>
      <c r="AJ772" s="21">
        <v>0.35120000000000001</v>
      </c>
      <c r="AK772" s="21">
        <v>63</v>
      </c>
      <c r="AL772" s="21">
        <v>0.18179999999999999</v>
      </c>
      <c r="AM772" s="21">
        <v>44</v>
      </c>
      <c r="AN772" s="21">
        <v>0.127</v>
      </c>
      <c r="AO772" s="21">
        <v>0.90469999999999995</v>
      </c>
      <c r="AP772" s="21">
        <v>45</v>
      </c>
      <c r="AQ772" s="21">
        <v>45</v>
      </c>
      <c r="AR772" s="21">
        <v>38</v>
      </c>
      <c r="AS772" s="21">
        <v>1</v>
      </c>
      <c r="AT772" s="21">
        <v>7</v>
      </c>
      <c r="AU772" s="21">
        <v>128</v>
      </c>
      <c r="AV772" s="21">
        <v>183</v>
      </c>
    </row>
    <row r="773" spans="1:48" x14ac:dyDescent="0.15">
      <c r="A773" s="20" t="s">
        <v>50</v>
      </c>
      <c r="B773" s="20" t="s">
        <v>116</v>
      </c>
      <c r="C773" s="21">
        <v>16093</v>
      </c>
      <c r="D773" s="21">
        <v>366</v>
      </c>
      <c r="E773" s="21">
        <v>27551</v>
      </c>
      <c r="F773" s="21">
        <v>44010</v>
      </c>
      <c r="G773" s="21">
        <v>3024</v>
      </c>
      <c r="H773" s="21">
        <v>21510</v>
      </c>
      <c r="I773" s="21">
        <v>0</v>
      </c>
      <c r="J773" s="21">
        <v>6295</v>
      </c>
      <c r="K773" s="21">
        <v>13181</v>
      </c>
      <c r="L773" s="21">
        <v>368</v>
      </c>
      <c r="M773" s="21">
        <v>0.82340000000000002</v>
      </c>
      <c r="N773" s="21">
        <v>0.82340000000000002</v>
      </c>
      <c r="O773" s="21">
        <v>5.9799999999999999E-2</v>
      </c>
      <c r="P773" s="21">
        <v>728</v>
      </c>
      <c r="Q773" s="21">
        <v>0.57279999999999998</v>
      </c>
      <c r="R773" s="21">
        <v>120</v>
      </c>
      <c r="S773" s="21">
        <v>60</v>
      </c>
      <c r="T773" s="21">
        <v>4.0399999999999998E-2</v>
      </c>
      <c r="U773" s="21">
        <v>0.17169999999999999</v>
      </c>
      <c r="V773" s="21">
        <v>0.8</v>
      </c>
      <c r="W773" s="21">
        <v>452</v>
      </c>
      <c r="X773" s="21">
        <v>182</v>
      </c>
      <c r="Y773" s="21">
        <v>173</v>
      </c>
      <c r="Z773" s="21">
        <v>0.3</v>
      </c>
      <c r="AA773" s="21">
        <v>1</v>
      </c>
      <c r="AB773" s="21">
        <v>586</v>
      </c>
      <c r="AC773" s="21">
        <v>585</v>
      </c>
      <c r="AD773" s="21">
        <v>615</v>
      </c>
      <c r="AE773" s="21">
        <v>25</v>
      </c>
      <c r="AF773" s="21">
        <v>3.8800000000000001E-2</v>
      </c>
      <c r="AG773" s="21">
        <v>83</v>
      </c>
      <c r="AH773" s="21">
        <v>0.12889999999999999</v>
      </c>
      <c r="AI773" s="21">
        <v>0.1389</v>
      </c>
      <c r="AJ773" s="21">
        <v>0.4118</v>
      </c>
      <c r="AK773" s="21">
        <v>143</v>
      </c>
      <c r="AL773" s="21">
        <v>0.2329</v>
      </c>
      <c r="AM773" s="21">
        <v>113</v>
      </c>
      <c r="AN773" s="21">
        <v>0.184</v>
      </c>
      <c r="AO773" s="21">
        <v>0.95099999999999996</v>
      </c>
      <c r="AP773" s="21">
        <v>268</v>
      </c>
      <c r="AQ773" s="21">
        <v>268</v>
      </c>
      <c r="AR773" s="21">
        <v>261</v>
      </c>
      <c r="AS773" s="21">
        <v>2</v>
      </c>
      <c r="AT773" s="21">
        <v>5</v>
      </c>
      <c r="AU773" s="21">
        <v>186</v>
      </c>
      <c r="AV773" s="21">
        <v>298</v>
      </c>
    </row>
    <row r="774" spans="1:48" x14ac:dyDescent="0.15">
      <c r="A774" s="20" t="s">
        <v>51</v>
      </c>
      <c r="B774" s="20" t="s">
        <v>116</v>
      </c>
      <c r="C774" s="21">
        <v>32415</v>
      </c>
      <c r="D774" s="21">
        <v>1819</v>
      </c>
      <c r="E774" s="21">
        <v>247780</v>
      </c>
      <c r="F774" s="21">
        <v>282014</v>
      </c>
      <c r="G774" s="21">
        <v>6820</v>
      </c>
      <c r="H774" s="21">
        <v>33349</v>
      </c>
      <c r="I774" s="21">
        <v>41556</v>
      </c>
      <c r="J774" s="21">
        <v>21053</v>
      </c>
      <c r="K774" s="21">
        <v>179179</v>
      </c>
      <c r="L774" s="21">
        <v>1558</v>
      </c>
      <c r="M774" s="21">
        <v>0.79249999999999998</v>
      </c>
      <c r="N774" s="21">
        <v>0.79</v>
      </c>
      <c r="O774" s="21">
        <v>9.1700000000000004E-2</v>
      </c>
      <c r="P774" s="21">
        <v>3362</v>
      </c>
      <c r="Q774" s="21">
        <v>0.63919999999999999</v>
      </c>
      <c r="R774" s="21">
        <v>180</v>
      </c>
      <c r="S774" s="21">
        <v>84</v>
      </c>
      <c r="T774" s="21">
        <v>3.44E-2</v>
      </c>
      <c r="U774" s="21">
        <v>0.1391</v>
      </c>
      <c r="V774" s="21">
        <v>0.53400000000000003</v>
      </c>
      <c r="W774" s="21">
        <v>7214</v>
      </c>
      <c r="X774" s="21">
        <v>1807</v>
      </c>
      <c r="Y774" s="21">
        <v>2858</v>
      </c>
      <c r="Z774" s="21">
        <v>0.2</v>
      </c>
      <c r="AA774" s="21">
        <v>0.6</v>
      </c>
      <c r="AB774" s="21">
        <v>8187</v>
      </c>
      <c r="AC774" s="21">
        <v>8072</v>
      </c>
      <c r="AD774" s="21">
        <v>8260</v>
      </c>
      <c r="AE774" s="21">
        <v>450</v>
      </c>
      <c r="AF774" s="21">
        <v>5.3999999999999999E-2</v>
      </c>
      <c r="AG774" s="21">
        <v>597</v>
      </c>
      <c r="AH774" s="21">
        <v>7.1599999999999997E-2</v>
      </c>
      <c r="AI774" s="21">
        <v>0.14000000000000001</v>
      </c>
      <c r="AJ774" s="21">
        <v>0.61950000000000005</v>
      </c>
      <c r="AK774" s="21">
        <v>1656</v>
      </c>
      <c r="AL774" s="21">
        <v>0.2039</v>
      </c>
      <c r="AM774" s="21">
        <v>1190</v>
      </c>
      <c r="AN774" s="21">
        <v>0.14649999999999999</v>
      </c>
      <c r="AO774" s="21">
        <v>0.79930000000000001</v>
      </c>
      <c r="AP774" s="21">
        <v>98</v>
      </c>
      <c r="AQ774" s="21">
        <v>108</v>
      </c>
      <c r="AR774" s="21">
        <v>83</v>
      </c>
      <c r="AS774" s="21">
        <v>25</v>
      </c>
      <c r="AT774" s="21">
        <v>0</v>
      </c>
      <c r="AU774" s="21">
        <v>301</v>
      </c>
      <c r="AV774" s="21">
        <v>1009</v>
      </c>
    </row>
    <row r="775" spans="1:48" x14ac:dyDescent="0.15">
      <c r="A775" s="20" t="s">
        <v>52</v>
      </c>
      <c r="B775" s="20" t="s">
        <v>116</v>
      </c>
      <c r="C775" s="21">
        <v>11060</v>
      </c>
      <c r="D775" s="21">
        <v>0</v>
      </c>
      <c r="E775" s="21">
        <v>21066</v>
      </c>
      <c r="F775" s="21">
        <v>32126</v>
      </c>
      <c r="G775" s="21">
        <v>12739</v>
      </c>
      <c r="H775" s="21">
        <v>6427</v>
      </c>
      <c r="I775" s="21">
        <v>2677</v>
      </c>
      <c r="J775" s="21">
        <v>9497</v>
      </c>
      <c r="K775" s="21">
        <v>785</v>
      </c>
      <c r="L775" s="21">
        <v>391</v>
      </c>
      <c r="M775" s="21">
        <v>0.6905</v>
      </c>
      <c r="N775" s="21">
        <v>0.6905</v>
      </c>
      <c r="O775" s="21">
        <v>0</v>
      </c>
      <c r="P775" s="21">
        <v>921</v>
      </c>
      <c r="Q775" s="21">
        <v>0.50380000000000003</v>
      </c>
      <c r="R775" s="21">
        <v>83</v>
      </c>
      <c r="S775" s="21">
        <v>35</v>
      </c>
      <c r="T775" s="21">
        <v>7.4200000000000002E-2</v>
      </c>
      <c r="U775" s="21">
        <v>9.69E-2</v>
      </c>
      <c r="V775" s="21">
        <v>1</v>
      </c>
      <c r="W775" s="21">
        <v>2654</v>
      </c>
      <c r="X775" s="21">
        <v>380</v>
      </c>
      <c r="Y775" s="21">
        <v>182</v>
      </c>
      <c r="Z775" s="21">
        <v>0.7</v>
      </c>
      <c r="AA775" s="21">
        <v>2.1</v>
      </c>
      <c r="AB775" s="21">
        <v>503</v>
      </c>
      <c r="AC775" s="21">
        <v>503</v>
      </c>
      <c r="AD775" s="21">
        <v>561</v>
      </c>
      <c r="AE775" s="21">
        <v>0</v>
      </c>
      <c r="AF775" s="21">
        <v>0</v>
      </c>
      <c r="AG775" s="21">
        <v>116</v>
      </c>
      <c r="AH775" s="21">
        <v>0.18740000000000001</v>
      </c>
      <c r="AI775" s="21">
        <v>0.1125</v>
      </c>
      <c r="AJ775" s="21">
        <v>0.374</v>
      </c>
      <c r="AK775" s="21">
        <v>107</v>
      </c>
      <c r="AL775" s="21">
        <v>0.19070000000000001</v>
      </c>
      <c r="AM775" s="21">
        <v>80</v>
      </c>
      <c r="AN775" s="21">
        <v>0.1426</v>
      </c>
      <c r="AO775" s="21">
        <v>0.71599999999999997</v>
      </c>
      <c r="AP775" s="21">
        <v>137</v>
      </c>
      <c r="AQ775" s="21">
        <v>137</v>
      </c>
      <c r="AR775" s="21">
        <v>135</v>
      </c>
      <c r="AS775" s="21">
        <v>2</v>
      </c>
      <c r="AU775" s="21">
        <v>214</v>
      </c>
      <c r="AV775" s="21">
        <v>475</v>
      </c>
    </row>
    <row r="776" spans="1:48" x14ac:dyDescent="0.15">
      <c r="A776" s="20" t="s">
        <v>53</v>
      </c>
      <c r="B776" s="20" t="s">
        <v>116</v>
      </c>
      <c r="C776" s="21">
        <v>992</v>
      </c>
      <c r="D776" s="21">
        <v>192</v>
      </c>
      <c r="E776" s="21">
        <v>5673</v>
      </c>
      <c r="F776" s="21">
        <v>6857</v>
      </c>
      <c r="H776" s="21">
        <v>4782</v>
      </c>
      <c r="I776" s="21">
        <v>2068</v>
      </c>
      <c r="J776" s="21">
        <v>8</v>
      </c>
      <c r="K776" s="21">
        <v>0</v>
      </c>
      <c r="L776" s="21">
        <v>196</v>
      </c>
      <c r="M776" s="21">
        <v>0.62119999999999997</v>
      </c>
      <c r="N776" s="21">
        <v>0.60099999999999998</v>
      </c>
      <c r="O776" s="21">
        <v>0.2273</v>
      </c>
      <c r="P776" s="21">
        <v>1603</v>
      </c>
      <c r="Q776" s="21">
        <v>0.16339999999999999</v>
      </c>
      <c r="R776" s="21">
        <v>37</v>
      </c>
      <c r="S776" s="21">
        <v>4</v>
      </c>
      <c r="T776" s="21">
        <v>0.129</v>
      </c>
      <c r="U776" s="21">
        <v>1.1900000000000001E-2</v>
      </c>
      <c r="W776" s="21">
        <v>1544</v>
      </c>
      <c r="X776" s="21">
        <v>521</v>
      </c>
      <c r="Y776" s="21">
        <v>680</v>
      </c>
      <c r="Z776" s="21">
        <v>0.4</v>
      </c>
      <c r="AA776" s="21">
        <v>0.8</v>
      </c>
      <c r="AB776" s="21">
        <v>1230</v>
      </c>
      <c r="AC776" s="21">
        <v>1230</v>
      </c>
      <c r="AD776" s="21">
        <v>1447</v>
      </c>
      <c r="AE776" s="21">
        <v>56</v>
      </c>
      <c r="AF776" s="21">
        <v>3.3700000000000001E-2</v>
      </c>
      <c r="AG776" s="21">
        <v>490</v>
      </c>
      <c r="AH776" s="21">
        <v>0.29449999999999998</v>
      </c>
      <c r="AI776" s="21">
        <v>0.35289999999999999</v>
      </c>
      <c r="AJ776" s="21">
        <v>0.51390000000000002</v>
      </c>
      <c r="AK776" s="21">
        <v>452</v>
      </c>
      <c r="AL776" s="21">
        <v>0.31240000000000001</v>
      </c>
      <c r="AM776" s="21">
        <v>316</v>
      </c>
      <c r="AN776" s="21">
        <v>0.21840000000000001</v>
      </c>
      <c r="AP776" s="21">
        <v>16</v>
      </c>
      <c r="AQ776" s="21">
        <v>36</v>
      </c>
      <c r="AR776" s="21">
        <v>25</v>
      </c>
      <c r="AS776" s="21">
        <v>11</v>
      </c>
      <c r="AU776" s="21">
        <v>0</v>
      </c>
      <c r="AV776" s="21">
        <v>0</v>
      </c>
    </row>
    <row r="777" spans="1:48" x14ac:dyDescent="0.15">
      <c r="A777" s="20" t="s">
        <v>0</v>
      </c>
      <c r="B777" s="20" t="s">
        <v>116</v>
      </c>
      <c r="C777" s="21">
        <v>129176</v>
      </c>
      <c r="D777" s="21">
        <v>7469</v>
      </c>
      <c r="E777" s="21">
        <v>609130</v>
      </c>
      <c r="F777" s="21">
        <v>745776</v>
      </c>
      <c r="G777" s="21">
        <v>89535</v>
      </c>
      <c r="H777" s="21">
        <v>151581</v>
      </c>
      <c r="I777" s="21">
        <v>110341</v>
      </c>
      <c r="J777" s="21">
        <v>76162</v>
      </c>
      <c r="K777" s="21">
        <v>314032</v>
      </c>
      <c r="L777" s="21">
        <v>4966</v>
      </c>
      <c r="M777" s="21">
        <v>0.76060000000000005</v>
      </c>
      <c r="N777" s="21">
        <v>0.75700000000000001</v>
      </c>
      <c r="O777" s="21">
        <v>0.1255</v>
      </c>
      <c r="P777" s="21">
        <v>18472</v>
      </c>
      <c r="Q777" s="21">
        <v>0.45829999999999999</v>
      </c>
      <c r="R777" s="21">
        <v>151</v>
      </c>
      <c r="S777" s="21">
        <v>40</v>
      </c>
      <c r="T777" s="21">
        <v>4.7899999999999998E-2</v>
      </c>
      <c r="U777" s="21">
        <v>0.10150000000000001</v>
      </c>
      <c r="V777" s="21">
        <v>0.89180000000000004</v>
      </c>
      <c r="W777" s="21">
        <v>22981</v>
      </c>
      <c r="X777" s="21">
        <v>5610</v>
      </c>
      <c r="Y777" s="21">
        <v>7078</v>
      </c>
      <c r="Z777" s="21">
        <v>0.3</v>
      </c>
      <c r="AA777" s="21">
        <v>0.8</v>
      </c>
      <c r="AB777" s="21">
        <v>16842</v>
      </c>
      <c r="AC777" s="21">
        <v>16726</v>
      </c>
      <c r="AD777" s="21">
        <v>17700</v>
      </c>
      <c r="AE777" s="21">
        <v>878</v>
      </c>
      <c r="AF777" s="21">
        <v>4.7300000000000002E-2</v>
      </c>
      <c r="AG777" s="21">
        <v>2595</v>
      </c>
      <c r="AH777" s="21">
        <v>0.13980000000000001</v>
      </c>
      <c r="AI777" s="21">
        <v>0.159</v>
      </c>
      <c r="AJ777" s="21">
        <v>0.44190000000000002</v>
      </c>
      <c r="AK777" s="21">
        <v>4240</v>
      </c>
      <c r="AL777" s="21">
        <v>0.2414</v>
      </c>
      <c r="AM777" s="21">
        <v>3117</v>
      </c>
      <c r="AN777" s="21">
        <v>0.17749999999999999</v>
      </c>
      <c r="AO777" s="21">
        <v>0.81599999999999995</v>
      </c>
      <c r="AP777" s="21">
        <v>1748</v>
      </c>
      <c r="AQ777" s="21">
        <v>2104</v>
      </c>
      <c r="AR777" s="21">
        <v>1863</v>
      </c>
      <c r="AS777" s="21">
        <v>167</v>
      </c>
      <c r="AT777" s="21">
        <v>74</v>
      </c>
      <c r="AU777" s="21">
        <v>1461</v>
      </c>
      <c r="AV777" s="21">
        <v>3895</v>
      </c>
    </row>
    <row r="778" spans="1:48" x14ac:dyDescent="0.15">
      <c r="A778" s="20" t="s">
        <v>54</v>
      </c>
      <c r="B778" s="20" t="s">
        <v>116</v>
      </c>
      <c r="C778" s="21">
        <v>7723</v>
      </c>
      <c r="D778" s="21">
        <v>1964</v>
      </c>
      <c r="E778" s="21">
        <v>100377</v>
      </c>
      <c r="F778" s="21">
        <v>110064</v>
      </c>
      <c r="G778" s="21">
        <v>19074</v>
      </c>
      <c r="H778" s="21">
        <v>6402</v>
      </c>
      <c r="I778" s="21">
        <v>16289</v>
      </c>
      <c r="J778" s="21">
        <v>17154</v>
      </c>
      <c r="K778" s="21">
        <v>51057</v>
      </c>
      <c r="L778" s="21">
        <v>341</v>
      </c>
      <c r="M778" s="21">
        <v>0.94269999999999998</v>
      </c>
      <c r="N778" s="21">
        <v>0.93410000000000004</v>
      </c>
      <c r="O778" s="21">
        <v>0.41830000000000001</v>
      </c>
      <c r="P778" s="21">
        <v>3892</v>
      </c>
      <c r="Q778" s="21">
        <v>0.5242</v>
      </c>
      <c r="R778" s="21">
        <v>330</v>
      </c>
      <c r="S778" s="21">
        <v>28</v>
      </c>
      <c r="T778" s="21">
        <v>5.0799999999999998E-2</v>
      </c>
      <c r="U778" s="21">
        <v>1.8499999999999999E-2</v>
      </c>
      <c r="W778" s="21">
        <v>1166</v>
      </c>
      <c r="X778" s="21">
        <v>283</v>
      </c>
      <c r="Y778" s="21">
        <v>387</v>
      </c>
      <c r="Z778" s="21">
        <v>0.3</v>
      </c>
      <c r="AA778" s="21">
        <v>0.7</v>
      </c>
      <c r="AB778" s="21">
        <v>812</v>
      </c>
      <c r="AC778" s="21">
        <v>812</v>
      </c>
      <c r="AD778" s="21">
        <v>925</v>
      </c>
      <c r="AE778" s="21">
        <v>68</v>
      </c>
      <c r="AF778" s="21">
        <v>6.5500000000000003E-2</v>
      </c>
      <c r="AG778" s="21">
        <v>294</v>
      </c>
      <c r="AH778" s="21">
        <v>0.28320000000000001</v>
      </c>
      <c r="AI778" s="21">
        <v>0.1724</v>
      </c>
      <c r="AJ778" s="21">
        <v>0.24809999999999999</v>
      </c>
      <c r="AK778" s="21">
        <v>244</v>
      </c>
      <c r="AL778" s="21">
        <v>0.26379999999999998</v>
      </c>
      <c r="AM778" s="21">
        <v>184</v>
      </c>
      <c r="AN778" s="21">
        <v>0.19889999999999999</v>
      </c>
      <c r="AO778" s="21">
        <v>1</v>
      </c>
      <c r="AP778" s="21">
        <v>-287</v>
      </c>
      <c r="AQ778" s="21">
        <v>39</v>
      </c>
      <c r="AR778" s="21">
        <v>38</v>
      </c>
      <c r="AS778" s="21">
        <v>1</v>
      </c>
      <c r="AT778" s="21">
        <v>0</v>
      </c>
      <c r="AU778" s="21">
        <v>0</v>
      </c>
      <c r="AV778" s="21">
        <v>0</v>
      </c>
    </row>
    <row r="779" spans="1:48" x14ac:dyDescent="0.15">
      <c r="A779" s="20" t="s">
        <v>55</v>
      </c>
      <c r="B779" s="20" t="s">
        <v>116</v>
      </c>
      <c r="C779" s="21">
        <v>2461</v>
      </c>
      <c r="D779" s="21">
        <v>84</v>
      </c>
      <c r="E779" s="21">
        <v>24899</v>
      </c>
      <c r="F779" s="21">
        <v>27444</v>
      </c>
      <c r="G779" s="21">
        <v>1083</v>
      </c>
      <c r="H779" s="21">
        <v>10067</v>
      </c>
      <c r="I779" s="21">
        <v>16294</v>
      </c>
      <c r="L779" s="21">
        <v>182</v>
      </c>
      <c r="M779" s="21">
        <v>0.91890000000000005</v>
      </c>
      <c r="N779" s="21">
        <v>0.91349999999999998</v>
      </c>
      <c r="O779" s="21">
        <v>0.1351</v>
      </c>
      <c r="P779" s="21">
        <v>883</v>
      </c>
      <c r="Q779" s="21">
        <v>0.49380000000000002</v>
      </c>
      <c r="R779" s="21">
        <v>157</v>
      </c>
      <c r="S779" s="21">
        <v>31</v>
      </c>
      <c r="T779" s="21">
        <v>9.6000000000000002E-2</v>
      </c>
      <c r="U779" s="21">
        <v>1E-3</v>
      </c>
      <c r="AB779" s="21">
        <v>0</v>
      </c>
      <c r="AC779" s="21">
        <v>0</v>
      </c>
      <c r="AD779" s="21">
        <v>0</v>
      </c>
      <c r="AE779" s="21">
        <v>0</v>
      </c>
      <c r="AF779" s="21">
        <v>0</v>
      </c>
      <c r="AG779" s="21">
        <v>0</v>
      </c>
      <c r="AH779" s="21">
        <v>0</v>
      </c>
      <c r="AI779" s="21">
        <v>0</v>
      </c>
      <c r="AJ779" s="21">
        <v>0</v>
      </c>
      <c r="AK779" s="21">
        <v>0</v>
      </c>
      <c r="AL779" s="21">
        <v>0</v>
      </c>
      <c r="AM779" s="21">
        <v>0</v>
      </c>
      <c r="AN779" s="21">
        <v>0</v>
      </c>
      <c r="AP779" s="21">
        <v>186</v>
      </c>
      <c r="AQ779" s="21">
        <v>186</v>
      </c>
      <c r="AR779" s="21">
        <v>185</v>
      </c>
      <c r="AS779" s="21">
        <v>2</v>
      </c>
      <c r="AU779" s="21">
        <v>0</v>
      </c>
      <c r="AV779" s="21">
        <v>0</v>
      </c>
    </row>
    <row r="780" spans="1:48" x14ac:dyDescent="0.15">
      <c r="A780" s="20" t="s">
        <v>56</v>
      </c>
      <c r="B780" s="20" t="s">
        <v>116</v>
      </c>
      <c r="C780" s="21">
        <v>1478</v>
      </c>
      <c r="D780" s="21">
        <v>424</v>
      </c>
      <c r="E780" s="21">
        <v>29546</v>
      </c>
      <c r="F780" s="21">
        <v>31448</v>
      </c>
      <c r="G780" s="21">
        <v>604</v>
      </c>
      <c r="H780" s="21">
        <v>3558</v>
      </c>
      <c r="J780" s="21">
        <v>4707</v>
      </c>
      <c r="K780" s="21">
        <v>22578</v>
      </c>
      <c r="L780" s="21">
        <v>195</v>
      </c>
      <c r="M780" s="21">
        <v>0.68179999999999996</v>
      </c>
      <c r="N780" s="21">
        <v>0.68179999999999996</v>
      </c>
      <c r="O780" s="21">
        <v>0.1212</v>
      </c>
      <c r="P780" s="21">
        <v>1573</v>
      </c>
      <c r="Q780" s="21">
        <v>0.1666</v>
      </c>
      <c r="R780" s="21">
        <v>163</v>
      </c>
      <c r="S780" s="21">
        <v>20</v>
      </c>
      <c r="T780" s="21">
        <v>2.12E-2</v>
      </c>
      <c r="U780" s="21">
        <v>7.4800000000000005E-2</v>
      </c>
      <c r="W780" s="21">
        <v>574</v>
      </c>
      <c r="X780" s="21">
        <v>98</v>
      </c>
      <c r="Y780" s="21">
        <v>59</v>
      </c>
      <c r="Z780" s="21">
        <v>0.8</v>
      </c>
      <c r="AA780" s="21">
        <v>1.7</v>
      </c>
      <c r="AB780" s="21">
        <v>111</v>
      </c>
      <c r="AC780" s="21">
        <v>111</v>
      </c>
      <c r="AD780" s="21">
        <v>123</v>
      </c>
      <c r="AE780" s="21">
        <v>1</v>
      </c>
      <c r="AF780" s="21">
        <v>7.4000000000000003E-3</v>
      </c>
      <c r="AG780" s="21">
        <v>25</v>
      </c>
      <c r="AH780" s="21">
        <v>0.1852</v>
      </c>
      <c r="AI780" s="21">
        <v>0.2</v>
      </c>
      <c r="AJ780" s="21">
        <v>0.66669999999999996</v>
      </c>
      <c r="AK780" s="21">
        <v>29</v>
      </c>
      <c r="AL780" s="21">
        <v>0.23580000000000001</v>
      </c>
      <c r="AM780" s="21">
        <v>28</v>
      </c>
      <c r="AN780" s="21">
        <v>0.2276</v>
      </c>
      <c r="AO780" s="21">
        <v>1</v>
      </c>
      <c r="AP780" s="21">
        <v>449</v>
      </c>
      <c r="AQ780" s="21">
        <v>449</v>
      </c>
      <c r="AR780" s="21">
        <v>443</v>
      </c>
      <c r="AS780" s="21">
        <v>6</v>
      </c>
      <c r="AU780" s="21">
        <v>0</v>
      </c>
      <c r="AV780" s="21">
        <v>77</v>
      </c>
    </row>
    <row r="781" spans="1:48" x14ac:dyDescent="0.15">
      <c r="A781" s="20" t="s">
        <v>57</v>
      </c>
      <c r="B781" s="20" t="s">
        <v>116</v>
      </c>
      <c r="C781" s="21">
        <v>9244</v>
      </c>
      <c r="D781" s="21">
        <v>678</v>
      </c>
      <c r="E781" s="21">
        <v>22510</v>
      </c>
      <c r="F781" s="21">
        <v>32432</v>
      </c>
      <c r="G781" s="21">
        <v>9765</v>
      </c>
      <c r="H781" s="21">
        <v>10237</v>
      </c>
      <c r="I781" s="21">
        <v>6005</v>
      </c>
      <c r="J781" s="21">
        <v>6404</v>
      </c>
      <c r="K781" s="21">
        <v>22</v>
      </c>
      <c r="L781" s="21">
        <v>431</v>
      </c>
      <c r="M781" s="21">
        <v>0.54290000000000005</v>
      </c>
      <c r="N781" s="21">
        <v>0.53359999999999996</v>
      </c>
      <c r="O781" s="21">
        <v>7.4200000000000002E-2</v>
      </c>
      <c r="P781" s="21">
        <v>624</v>
      </c>
      <c r="Q781" s="21">
        <v>0.45350000000000001</v>
      </c>
      <c r="R781" s="21">
        <v>77</v>
      </c>
      <c r="S781" s="21">
        <v>52</v>
      </c>
      <c r="T781" s="21">
        <v>8.8999999999999996E-2</v>
      </c>
      <c r="U781" s="21">
        <v>6.0699999999999997E-2</v>
      </c>
      <c r="V781" s="21">
        <v>0.93530000000000002</v>
      </c>
      <c r="W781" s="21">
        <v>2584</v>
      </c>
      <c r="X781" s="21">
        <v>488</v>
      </c>
      <c r="Y781" s="21">
        <v>310</v>
      </c>
      <c r="Z781" s="21">
        <v>0.5</v>
      </c>
      <c r="AA781" s="21">
        <v>1.6</v>
      </c>
      <c r="AB781" s="21">
        <v>880</v>
      </c>
      <c r="AC781" s="21">
        <v>880</v>
      </c>
      <c r="AD781" s="21">
        <v>922</v>
      </c>
      <c r="AE781" s="21">
        <v>47</v>
      </c>
      <c r="AF781" s="21">
        <v>4.87E-2</v>
      </c>
      <c r="AG781" s="21">
        <v>132</v>
      </c>
      <c r="AH781" s="21">
        <v>0.1368</v>
      </c>
      <c r="AI781" s="21">
        <v>0.29730000000000001</v>
      </c>
      <c r="AJ781" s="21">
        <v>0.56669999999999998</v>
      </c>
      <c r="AK781" s="21">
        <v>194</v>
      </c>
      <c r="AL781" s="21">
        <v>0.21029999999999999</v>
      </c>
      <c r="AM781" s="21">
        <v>157</v>
      </c>
      <c r="AN781" s="21">
        <v>0.17019999999999999</v>
      </c>
      <c r="AO781" s="21">
        <v>0.92400000000000004</v>
      </c>
      <c r="AP781" s="21">
        <v>547</v>
      </c>
      <c r="AQ781" s="21">
        <v>547</v>
      </c>
      <c r="AR781" s="21">
        <v>511</v>
      </c>
      <c r="AS781" s="21">
        <v>35</v>
      </c>
      <c r="AT781" s="21">
        <v>0</v>
      </c>
      <c r="AU781" s="21">
        <v>450</v>
      </c>
      <c r="AV781" s="21">
        <v>428</v>
      </c>
    </row>
    <row r="782" spans="1:48" x14ac:dyDescent="0.15">
      <c r="A782" s="20" t="s">
        <v>58</v>
      </c>
      <c r="B782" s="20" t="s">
        <v>116</v>
      </c>
      <c r="C782" s="21">
        <v>16800</v>
      </c>
      <c r="D782" s="21">
        <v>1056</v>
      </c>
      <c r="E782" s="21">
        <v>58766</v>
      </c>
      <c r="F782" s="21">
        <v>76621</v>
      </c>
      <c r="G782" s="21">
        <v>19546</v>
      </c>
      <c r="H782" s="21">
        <v>32880</v>
      </c>
      <c r="J782" s="21">
        <v>3602</v>
      </c>
      <c r="K782" s="21">
        <v>20592</v>
      </c>
      <c r="L782" s="21">
        <v>363</v>
      </c>
      <c r="M782" s="21">
        <v>0.86919999999999997</v>
      </c>
      <c r="N782" s="21">
        <v>0.86919999999999997</v>
      </c>
      <c r="O782" s="21">
        <v>0.38419999999999999</v>
      </c>
      <c r="P782" s="21">
        <v>2284</v>
      </c>
      <c r="Q782" s="21">
        <v>0.46629999999999999</v>
      </c>
      <c r="R782" s="21">
        <v>217</v>
      </c>
      <c r="S782" s="21">
        <v>34</v>
      </c>
      <c r="T782" s="21">
        <v>7.0000000000000007E-2</v>
      </c>
      <c r="U782" s="21">
        <v>6.4100000000000004E-2</v>
      </c>
      <c r="W782" s="21">
        <v>4937</v>
      </c>
      <c r="X782" s="21">
        <v>1347</v>
      </c>
      <c r="Y782" s="21">
        <v>1852</v>
      </c>
      <c r="Z782" s="21">
        <v>0.5</v>
      </c>
      <c r="AA782" s="21">
        <v>0.7</v>
      </c>
      <c r="AB782" s="21">
        <v>2773</v>
      </c>
      <c r="AC782" s="21">
        <v>2773</v>
      </c>
      <c r="AD782" s="21">
        <v>2863</v>
      </c>
      <c r="AE782" s="21">
        <v>201</v>
      </c>
      <c r="AF782" s="21">
        <v>6.8099999999999994E-2</v>
      </c>
      <c r="AG782" s="21">
        <v>381</v>
      </c>
      <c r="AH782" s="21">
        <v>0.129</v>
      </c>
      <c r="AI782" s="21">
        <v>0.1348</v>
      </c>
      <c r="AJ782" s="21">
        <v>0.40039999999999998</v>
      </c>
      <c r="AK782" s="21">
        <v>1053</v>
      </c>
      <c r="AL782" s="21">
        <v>0.36780000000000002</v>
      </c>
      <c r="AM782" s="21">
        <v>794</v>
      </c>
      <c r="AN782" s="21">
        <v>0.27729999999999999</v>
      </c>
      <c r="AP782" s="21">
        <v>195</v>
      </c>
      <c r="AQ782" s="21">
        <v>195</v>
      </c>
      <c r="AR782" s="21">
        <v>121</v>
      </c>
      <c r="AS782" s="21">
        <v>74</v>
      </c>
      <c r="AU782" s="21">
        <v>0</v>
      </c>
      <c r="AV782" s="21">
        <v>310</v>
      </c>
    </row>
    <row r="783" spans="1:48" x14ac:dyDescent="0.15">
      <c r="A783" s="20" t="s">
        <v>59</v>
      </c>
      <c r="B783" s="20" t="s">
        <v>116</v>
      </c>
      <c r="C783" s="21">
        <v>719</v>
      </c>
      <c r="D783" s="21">
        <v>283</v>
      </c>
      <c r="E783" s="21">
        <v>24322</v>
      </c>
      <c r="F783" s="21">
        <v>25324</v>
      </c>
      <c r="G783" s="21">
        <v>3947</v>
      </c>
      <c r="H783" s="21">
        <v>11105</v>
      </c>
      <c r="I783" s="21">
        <v>4021</v>
      </c>
      <c r="J783" s="21">
        <v>3094</v>
      </c>
      <c r="K783" s="21">
        <v>3157</v>
      </c>
      <c r="L783" s="21">
        <v>155</v>
      </c>
      <c r="M783" s="21">
        <v>0.79010000000000002</v>
      </c>
      <c r="N783" s="21">
        <v>0.78400000000000003</v>
      </c>
      <c r="O783" s="21">
        <v>0.15429999999999999</v>
      </c>
      <c r="P783" s="21">
        <v>1124</v>
      </c>
      <c r="Q783" s="21">
        <v>0.30070000000000002</v>
      </c>
      <c r="R783" s="21">
        <v>161</v>
      </c>
      <c r="S783" s="21">
        <v>23</v>
      </c>
      <c r="T783" s="21">
        <v>3.32E-2</v>
      </c>
      <c r="U783" s="21">
        <v>2.5000000000000001E-3</v>
      </c>
      <c r="W783" s="21">
        <v>12</v>
      </c>
      <c r="X783" s="21">
        <v>5</v>
      </c>
      <c r="Y783" s="21">
        <v>7</v>
      </c>
      <c r="Z783" s="21">
        <v>0.1</v>
      </c>
      <c r="AA783" s="21">
        <v>0.8</v>
      </c>
      <c r="AB783" s="21">
        <v>36</v>
      </c>
      <c r="AC783" s="21">
        <v>36</v>
      </c>
      <c r="AD783" s="21">
        <v>60</v>
      </c>
      <c r="AE783" s="21">
        <v>0</v>
      </c>
      <c r="AF783" s="21">
        <v>0</v>
      </c>
      <c r="AG783" s="21">
        <v>48</v>
      </c>
      <c r="AH783" s="21">
        <v>0.57140000000000002</v>
      </c>
      <c r="AI783" s="21">
        <v>0.1429</v>
      </c>
      <c r="AJ783" s="21">
        <v>0.129</v>
      </c>
      <c r="AK783" s="21">
        <v>7</v>
      </c>
      <c r="AL783" s="21">
        <v>0.1167</v>
      </c>
      <c r="AM783" s="21">
        <v>4</v>
      </c>
      <c r="AN783" s="21">
        <v>6.6699999999999995E-2</v>
      </c>
      <c r="AP783" s="21">
        <v>0</v>
      </c>
      <c r="AQ783" s="21">
        <v>0</v>
      </c>
      <c r="AR783" s="21">
        <v>0</v>
      </c>
      <c r="AS783" s="21">
        <v>0</v>
      </c>
      <c r="AU783" s="21">
        <v>0</v>
      </c>
      <c r="AV783" s="21">
        <v>0</v>
      </c>
    </row>
    <row r="784" spans="1:48" x14ac:dyDescent="0.15">
      <c r="A784" s="20" t="s">
        <v>60</v>
      </c>
      <c r="B784" s="20" t="s">
        <v>116</v>
      </c>
      <c r="C784" s="21">
        <v>6932</v>
      </c>
      <c r="D784" s="21">
        <v>311</v>
      </c>
      <c r="E784" s="21">
        <v>14085</v>
      </c>
      <c r="F784" s="21">
        <v>21328</v>
      </c>
      <c r="G784" s="21">
        <v>1126</v>
      </c>
      <c r="H784" s="21">
        <v>5830</v>
      </c>
      <c r="I784" s="21">
        <v>11870</v>
      </c>
      <c r="J784" s="21">
        <v>1173</v>
      </c>
      <c r="K784" s="21">
        <v>1328</v>
      </c>
      <c r="L784" s="21">
        <v>259</v>
      </c>
      <c r="M784" s="21">
        <v>0.66669999999999996</v>
      </c>
      <c r="N784" s="21">
        <v>0.66290000000000004</v>
      </c>
      <c r="O784" s="21">
        <v>6.0600000000000001E-2</v>
      </c>
      <c r="P784" s="21">
        <v>296</v>
      </c>
      <c r="Q784" s="21">
        <v>0.72299999999999998</v>
      </c>
      <c r="R784" s="21">
        <v>82</v>
      </c>
      <c r="S784" s="21">
        <v>72</v>
      </c>
      <c r="T784" s="21">
        <v>4.1599999999999998E-2</v>
      </c>
      <c r="U784" s="21">
        <v>0.1356</v>
      </c>
      <c r="W784" s="21">
        <v>1152</v>
      </c>
      <c r="X784" s="21">
        <v>301</v>
      </c>
      <c r="Y784" s="21">
        <v>306</v>
      </c>
      <c r="Z784" s="21">
        <v>0.3</v>
      </c>
      <c r="AA784" s="21">
        <v>1</v>
      </c>
      <c r="AB784" s="21">
        <v>937</v>
      </c>
      <c r="AC784" s="21">
        <v>937</v>
      </c>
      <c r="AD784" s="21">
        <v>1061</v>
      </c>
      <c r="AE784" s="21">
        <v>7</v>
      </c>
      <c r="AF784" s="21">
        <v>5.8999999999999999E-3</v>
      </c>
      <c r="AG784" s="21">
        <v>255</v>
      </c>
      <c r="AH784" s="21">
        <v>0.2152</v>
      </c>
      <c r="AI784" s="21">
        <v>0.1074</v>
      </c>
      <c r="AJ784" s="21">
        <v>8.2199999999999995E-2</v>
      </c>
      <c r="AK784" s="21">
        <v>190</v>
      </c>
      <c r="AL784" s="21">
        <v>0.1792</v>
      </c>
      <c r="AM784" s="21">
        <v>145</v>
      </c>
      <c r="AN784" s="21">
        <v>0.1368</v>
      </c>
      <c r="AO784" s="21">
        <v>0.90190000000000003</v>
      </c>
      <c r="AP784" s="21">
        <v>61</v>
      </c>
      <c r="AQ784" s="21">
        <v>61</v>
      </c>
      <c r="AR784" s="21">
        <v>19</v>
      </c>
      <c r="AS784" s="21">
        <v>5</v>
      </c>
      <c r="AT784" s="21">
        <v>37</v>
      </c>
      <c r="AU784" s="21">
        <v>37</v>
      </c>
      <c r="AV784" s="21">
        <v>1018</v>
      </c>
    </row>
    <row r="785" spans="1:48" x14ac:dyDescent="0.15">
      <c r="A785" s="20" t="s">
        <v>61</v>
      </c>
      <c r="B785" s="20" t="s">
        <v>116</v>
      </c>
      <c r="C785" s="21">
        <v>6730</v>
      </c>
      <c r="D785" s="21">
        <v>0</v>
      </c>
      <c r="E785" s="21">
        <v>9412</v>
      </c>
      <c r="F785" s="21">
        <v>16142</v>
      </c>
      <c r="G785" s="21">
        <v>5539</v>
      </c>
      <c r="H785" s="21">
        <v>1790</v>
      </c>
      <c r="I785" s="21">
        <v>1851</v>
      </c>
      <c r="J785" s="21">
        <v>1858</v>
      </c>
      <c r="K785" s="21">
        <v>5104</v>
      </c>
      <c r="L785" s="21">
        <v>146</v>
      </c>
      <c r="M785" s="21">
        <v>0.65069999999999995</v>
      </c>
      <c r="N785" s="21">
        <v>0.65069999999999995</v>
      </c>
      <c r="O785" s="21">
        <v>0</v>
      </c>
      <c r="P785" s="21">
        <v>241</v>
      </c>
      <c r="Q785" s="21">
        <v>0.58509999999999995</v>
      </c>
      <c r="R785" s="21">
        <v>111</v>
      </c>
      <c r="S785" s="21">
        <v>67</v>
      </c>
      <c r="T785" s="21">
        <v>3.7400000000000003E-2</v>
      </c>
      <c r="U785" s="21">
        <v>8.2299999999999998E-2</v>
      </c>
      <c r="V785" s="21">
        <v>9.0899999999999995E-2</v>
      </c>
      <c r="W785" s="21">
        <v>159</v>
      </c>
      <c r="X785" s="21">
        <v>93</v>
      </c>
      <c r="Y785" s="21">
        <v>158</v>
      </c>
      <c r="Z785" s="21">
        <v>0.2</v>
      </c>
      <c r="AA785" s="21">
        <v>0.6</v>
      </c>
      <c r="AB785" s="21">
        <v>472</v>
      </c>
      <c r="AC785" s="21">
        <v>472</v>
      </c>
      <c r="AD785" s="21">
        <v>516</v>
      </c>
      <c r="AE785" s="21">
        <v>17</v>
      </c>
      <c r="AF785" s="21">
        <v>3.04E-2</v>
      </c>
      <c r="AG785" s="21">
        <v>105</v>
      </c>
      <c r="AH785" s="21">
        <v>0.1875</v>
      </c>
      <c r="AI785" s="21">
        <v>0.1739</v>
      </c>
      <c r="AJ785" s="21">
        <v>0.45129999999999998</v>
      </c>
      <c r="AK785" s="21">
        <v>102</v>
      </c>
      <c r="AL785" s="21">
        <v>0.19769999999999999</v>
      </c>
      <c r="AM785" s="21">
        <v>62</v>
      </c>
      <c r="AN785" s="21">
        <v>0.1202</v>
      </c>
      <c r="AO785" s="21">
        <v>0.62580000000000002</v>
      </c>
      <c r="AP785" s="21">
        <v>33</v>
      </c>
      <c r="AQ785" s="21">
        <v>33</v>
      </c>
      <c r="AR785" s="21">
        <v>5</v>
      </c>
      <c r="AS785" s="21">
        <v>3</v>
      </c>
      <c r="AT785" s="21">
        <v>25</v>
      </c>
      <c r="AU785" s="21">
        <v>144</v>
      </c>
      <c r="AV785" s="21">
        <v>98</v>
      </c>
    </row>
    <row r="786" spans="1:48" x14ac:dyDescent="0.15">
      <c r="A786" s="20" t="s">
        <v>48</v>
      </c>
      <c r="B786" s="20" t="s">
        <v>117</v>
      </c>
      <c r="C786" s="21">
        <v>17814</v>
      </c>
      <c r="D786" s="21">
        <v>1456</v>
      </c>
      <c r="E786" s="21">
        <v>0</v>
      </c>
      <c r="F786" s="21">
        <v>19270</v>
      </c>
      <c r="G786" s="21">
        <v>2568</v>
      </c>
      <c r="H786" s="21">
        <v>2719</v>
      </c>
      <c r="I786" s="21">
        <v>3419</v>
      </c>
      <c r="J786" s="21">
        <v>2738</v>
      </c>
      <c r="K786" s="21">
        <v>2113</v>
      </c>
      <c r="L786" s="21">
        <v>334</v>
      </c>
      <c r="M786" s="21">
        <v>0.75070000000000003</v>
      </c>
      <c r="N786" s="21">
        <v>0.69189999999999996</v>
      </c>
      <c r="O786" s="21">
        <v>0.41460000000000002</v>
      </c>
      <c r="P786" s="21">
        <v>968</v>
      </c>
      <c r="Q786" s="21">
        <v>0.4597</v>
      </c>
      <c r="R786" s="21">
        <v>56</v>
      </c>
      <c r="S786" s="21">
        <v>20</v>
      </c>
      <c r="T786" s="21">
        <v>6.7199999999999996E-2</v>
      </c>
      <c r="U786" s="21">
        <v>0.11210000000000001</v>
      </c>
      <c r="W786" s="21">
        <v>218</v>
      </c>
      <c r="X786" s="21">
        <v>54</v>
      </c>
      <c r="Y786" s="21">
        <v>69</v>
      </c>
      <c r="Z786" s="21">
        <v>0.2</v>
      </c>
      <c r="AA786" s="21">
        <v>0.8</v>
      </c>
      <c r="AB786" s="21">
        <v>285</v>
      </c>
      <c r="AC786" s="21">
        <v>285</v>
      </c>
      <c r="AD786" s="21">
        <v>300</v>
      </c>
      <c r="AE786" s="21">
        <v>6</v>
      </c>
      <c r="AF786" s="21">
        <v>1.9E-2</v>
      </c>
      <c r="AG786" s="21">
        <v>36</v>
      </c>
      <c r="AH786" s="21">
        <v>0.1143</v>
      </c>
      <c r="AI786" s="21">
        <v>0.12820000000000001</v>
      </c>
      <c r="AJ786" s="21">
        <v>0.35160000000000002</v>
      </c>
      <c r="AK786" s="21">
        <v>43</v>
      </c>
      <c r="AL786" s="21">
        <v>0.14330000000000001</v>
      </c>
      <c r="AM786" s="21">
        <v>30</v>
      </c>
      <c r="AN786" s="21">
        <v>0.1</v>
      </c>
      <c r="AO786" s="21">
        <v>0.79430000000000001</v>
      </c>
      <c r="AP786" s="21">
        <v>54</v>
      </c>
      <c r="AQ786" s="21">
        <v>54</v>
      </c>
      <c r="AR786" s="21">
        <v>53</v>
      </c>
      <c r="AS786" s="21">
        <v>0</v>
      </c>
      <c r="AT786" s="21">
        <v>2</v>
      </c>
      <c r="AU786" s="21">
        <v>43</v>
      </c>
      <c r="AV786" s="21">
        <v>80</v>
      </c>
    </row>
    <row r="787" spans="1:48" x14ac:dyDescent="0.15">
      <c r="A787" s="20" t="s">
        <v>50</v>
      </c>
      <c r="B787" s="20" t="s">
        <v>117</v>
      </c>
      <c r="C787" s="21">
        <v>13203</v>
      </c>
      <c r="D787" s="21">
        <v>2376</v>
      </c>
      <c r="E787" s="21">
        <v>0</v>
      </c>
      <c r="F787" s="21">
        <v>15578</v>
      </c>
      <c r="G787" s="21">
        <v>690</v>
      </c>
      <c r="H787" s="21">
        <v>11189</v>
      </c>
      <c r="I787" s="21">
        <v>0</v>
      </c>
      <c r="J787" s="21">
        <v>2180</v>
      </c>
      <c r="K787" s="21">
        <v>1519</v>
      </c>
      <c r="L787" s="21">
        <v>343</v>
      </c>
      <c r="M787" s="21">
        <v>0.80169999999999997</v>
      </c>
      <c r="N787" s="21">
        <v>0.64249999999999996</v>
      </c>
      <c r="O787" s="21">
        <v>0.57540000000000002</v>
      </c>
      <c r="P787" s="21">
        <v>639</v>
      </c>
      <c r="Q787" s="21">
        <v>0.59309999999999996</v>
      </c>
      <c r="R787" s="21">
        <v>44</v>
      </c>
      <c r="S787" s="21">
        <v>24</v>
      </c>
      <c r="T787" s="21">
        <v>6.2300000000000001E-2</v>
      </c>
      <c r="U787" s="21">
        <v>0.1462</v>
      </c>
      <c r="V787" s="21">
        <v>1</v>
      </c>
      <c r="W787" s="21">
        <v>146</v>
      </c>
      <c r="X787" s="21">
        <v>119</v>
      </c>
      <c r="Y787" s="21">
        <v>103</v>
      </c>
      <c r="Z787" s="21">
        <v>0.2</v>
      </c>
      <c r="AA787" s="21">
        <v>1.2</v>
      </c>
      <c r="AB787" s="21">
        <v>565</v>
      </c>
      <c r="AC787" s="21">
        <v>564</v>
      </c>
      <c r="AD787" s="21">
        <v>576</v>
      </c>
      <c r="AE787" s="21">
        <v>83</v>
      </c>
      <c r="AF787" s="21">
        <v>0.1416</v>
      </c>
      <c r="AG787" s="21">
        <v>104</v>
      </c>
      <c r="AH787" s="21">
        <v>0.17749999999999999</v>
      </c>
      <c r="AI787" s="21">
        <v>9.3299999999999994E-2</v>
      </c>
      <c r="AJ787" s="21">
        <v>0.28860000000000002</v>
      </c>
      <c r="AK787" s="21">
        <v>80</v>
      </c>
      <c r="AL787" s="21">
        <v>0.13930000000000001</v>
      </c>
      <c r="AM787" s="21">
        <v>69</v>
      </c>
      <c r="AN787" s="21">
        <v>0.1201</v>
      </c>
      <c r="AO787" s="21">
        <v>0.73740000000000006</v>
      </c>
      <c r="AP787" s="21">
        <v>261</v>
      </c>
      <c r="AQ787" s="21">
        <v>261</v>
      </c>
      <c r="AR787" s="21">
        <v>258</v>
      </c>
      <c r="AS787" s="21">
        <v>2</v>
      </c>
      <c r="AT787" s="21">
        <v>1</v>
      </c>
      <c r="AU787" s="21">
        <v>61</v>
      </c>
      <c r="AV787" s="21">
        <v>504</v>
      </c>
    </row>
    <row r="788" spans="1:48" x14ac:dyDescent="0.15">
      <c r="A788" s="20" t="s">
        <v>51</v>
      </c>
      <c r="B788" s="20" t="s">
        <v>117</v>
      </c>
      <c r="C788" s="21">
        <v>49185</v>
      </c>
      <c r="D788" s="21">
        <v>9733</v>
      </c>
      <c r="E788" s="21">
        <v>-166</v>
      </c>
      <c r="F788" s="21">
        <v>58752</v>
      </c>
      <c r="G788" s="21">
        <v>3510</v>
      </c>
      <c r="H788" s="21">
        <v>17486</v>
      </c>
      <c r="I788" s="21">
        <v>10836</v>
      </c>
      <c r="J788" s="21">
        <v>9751</v>
      </c>
      <c r="K788" s="21">
        <v>16953</v>
      </c>
      <c r="L788" s="21">
        <v>1455</v>
      </c>
      <c r="M788" s="21">
        <v>0.74760000000000004</v>
      </c>
      <c r="N788" s="21">
        <v>0.67269999999999996</v>
      </c>
      <c r="O788" s="21">
        <v>0.44219999999999998</v>
      </c>
      <c r="P788" s="21">
        <v>3630</v>
      </c>
      <c r="Q788" s="21">
        <v>0.48930000000000001</v>
      </c>
      <c r="R788" s="21">
        <v>39</v>
      </c>
      <c r="S788" s="21">
        <v>16</v>
      </c>
      <c r="T788" s="21">
        <v>9.2799999999999994E-2</v>
      </c>
      <c r="U788" s="21">
        <v>0.16550000000000001</v>
      </c>
      <c r="V788" s="21">
        <v>0.85980000000000001</v>
      </c>
      <c r="W788" s="21">
        <v>2681</v>
      </c>
      <c r="X788" s="21">
        <v>1475</v>
      </c>
      <c r="Y788" s="21">
        <v>2543</v>
      </c>
      <c r="Z788" s="21">
        <v>0.2</v>
      </c>
      <c r="AA788" s="21">
        <v>0.6</v>
      </c>
      <c r="AB788" s="21">
        <v>8424</v>
      </c>
      <c r="AC788" s="21">
        <v>8424</v>
      </c>
      <c r="AD788" s="21">
        <v>8306</v>
      </c>
      <c r="AE788" s="21">
        <v>820</v>
      </c>
      <c r="AF788" s="21">
        <v>0.1002</v>
      </c>
      <c r="AG788" s="21">
        <v>583</v>
      </c>
      <c r="AH788" s="21">
        <v>7.1199999999999999E-2</v>
      </c>
      <c r="AI788" s="21">
        <v>0.11219999999999999</v>
      </c>
      <c r="AJ788" s="21">
        <v>0.67879999999999996</v>
      </c>
      <c r="AK788" s="21">
        <v>1422</v>
      </c>
      <c r="AL788" s="21">
        <v>0.1729</v>
      </c>
      <c r="AM788" s="21">
        <v>1043</v>
      </c>
      <c r="AN788" s="21">
        <v>0.1268</v>
      </c>
      <c r="AO788" s="21">
        <v>0.7</v>
      </c>
      <c r="AP788" s="21">
        <v>62</v>
      </c>
      <c r="AQ788" s="21">
        <v>62</v>
      </c>
      <c r="AR788" s="21">
        <v>58</v>
      </c>
      <c r="AS788" s="21">
        <v>4</v>
      </c>
      <c r="AT788" s="21">
        <v>0</v>
      </c>
      <c r="AU788" s="21">
        <v>284</v>
      </c>
      <c r="AV788" s="21">
        <v>486</v>
      </c>
    </row>
    <row r="789" spans="1:48" x14ac:dyDescent="0.15">
      <c r="A789" s="20" t="s">
        <v>52</v>
      </c>
      <c r="B789" s="20" t="s">
        <v>117</v>
      </c>
      <c r="C789" s="21">
        <v>12290</v>
      </c>
      <c r="D789" s="21">
        <v>2389</v>
      </c>
      <c r="E789" s="21">
        <v>0</v>
      </c>
      <c r="F789" s="21">
        <v>14680</v>
      </c>
      <c r="G789" s="21">
        <v>6088</v>
      </c>
      <c r="H789" s="21">
        <v>3345</v>
      </c>
      <c r="I789" s="21">
        <v>1196</v>
      </c>
      <c r="J789" s="21">
        <v>3683</v>
      </c>
      <c r="K789" s="21">
        <v>367</v>
      </c>
      <c r="L789" s="21">
        <v>338</v>
      </c>
      <c r="M789" s="21">
        <v>0.67179999999999995</v>
      </c>
      <c r="N789" s="21">
        <v>0.53180000000000005</v>
      </c>
      <c r="O789" s="21">
        <v>0.3715</v>
      </c>
      <c r="P789" s="21">
        <v>950</v>
      </c>
      <c r="Q789" s="21">
        <v>0.43369999999999997</v>
      </c>
      <c r="R789" s="21">
        <v>41</v>
      </c>
      <c r="S789" s="21">
        <v>15</v>
      </c>
      <c r="T789" s="21">
        <v>9.4299999999999995E-2</v>
      </c>
      <c r="U789" s="21">
        <v>9.6799999999999997E-2</v>
      </c>
      <c r="W789" s="21">
        <v>282</v>
      </c>
      <c r="X789" s="21">
        <v>74</v>
      </c>
      <c r="Y789" s="21">
        <v>73</v>
      </c>
      <c r="Z789" s="21">
        <v>0.2</v>
      </c>
      <c r="AA789" s="21">
        <v>1</v>
      </c>
      <c r="AB789" s="21">
        <v>415</v>
      </c>
      <c r="AC789" s="21">
        <v>414</v>
      </c>
      <c r="AD789" s="21">
        <v>459</v>
      </c>
      <c r="AE789" s="21">
        <v>8</v>
      </c>
      <c r="AF789" s="21">
        <v>1.5900000000000001E-2</v>
      </c>
      <c r="AG789" s="21">
        <v>96</v>
      </c>
      <c r="AH789" s="21">
        <v>0.19089999999999999</v>
      </c>
      <c r="AI789" s="21">
        <v>8.2199999999999995E-2</v>
      </c>
      <c r="AJ789" s="21">
        <v>0.31109999999999999</v>
      </c>
      <c r="AK789" s="21">
        <v>54</v>
      </c>
      <c r="AL789" s="21">
        <v>0.1178</v>
      </c>
      <c r="AM789" s="21">
        <v>44</v>
      </c>
      <c r="AN789" s="21">
        <v>9.6000000000000002E-2</v>
      </c>
      <c r="AO789" s="21">
        <v>0.69950000000000001</v>
      </c>
      <c r="AP789" s="21">
        <v>74</v>
      </c>
      <c r="AQ789" s="21">
        <v>74</v>
      </c>
      <c r="AR789" s="21">
        <v>73</v>
      </c>
      <c r="AS789" s="21">
        <v>0</v>
      </c>
      <c r="AU789" s="21">
        <v>86</v>
      </c>
      <c r="AV789" s="21">
        <v>290</v>
      </c>
    </row>
    <row r="790" spans="1:48" x14ac:dyDescent="0.15">
      <c r="A790" s="20" t="s">
        <v>53</v>
      </c>
      <c r="B790" s="20" t="s">
        <v>117</v>
      </c>
      <c r="C790" s="21">
        <v>2334</v>
      </c>
      <c r="D790" s="21">
        <v>1987</v>
      </c>
      <c r="E790" s="21">
        <v>0</v>
      </c>
      <c r="F790" s="21">
        <v>4321</v>
      </c>
      <c r="H790" s="21">
        <v>2297</v>
      </c>
      <c r="I790" s="21">
        <v>356</v>
      </c>
      <c r="J790" s="21">
        <v>1667</v>
      </c>
      <c r="K790" s="21">
        <v>0</v>
      </c>
      <c r="L790" s="21">
        <v>200</v>
      </c>
      <c r="M790" s="21">
        <v>0.6109</v>
      </c>
      <c r="N790" s="21">
        <v>0.42530000000000001</v>
      </c>
      <c r="O790" s="21">
        <v>0.48420000000000002</v>
      </c>
      <c r="P790" s="21">
        <v>1697</v>
      </c>
      <c r="Q790" s="21">
        <v>0.13020000000000001</v>
      </c>
      <c r="R790" s="21">
        <v>22</v>
      </c>
      <c r="S790" s="21">
        <v>3</v>
      </c>
      <c r="T790" s="21">
        <v>0.16059999999999999</v>
      </c>
      <c r="U790" s="21">
        <v>1.15E-2</v>
      </c>
      <c r="W790" s="21">
        <v>333</v>
      </c>
      <c r="X790" s="21">
        <v>287</v>
      </c>
      <c r="Y790" s="21">
        <v>408</v>
      </c>
      <c r="Z790" s="21">
        <v>0.2</v>
      </c>
      <c r="AA790" s="21">
        <v>0.7</v>
      </c>
      <c r="AB790" s="21">
        <v>1282</v>
      </c>
      <c r="AC790" s="21">
        <v>1282</v>
      </c>
      <c r="AD790" s="21">
        <v>1256</v>
      </c>
      <c r="AE790" s="21">
        <v>76</v>
      </c>
      <c r="AF790" s="21">
        <v>6.1800000000000001E-2</v>
      </c>
      <c r="AG790" s="21">
        <v>24</v>
      </c>
      <c r="AH790" s="21">
        <v>1.95E-2</v>
      </c>
      <c r="AI790" s="21">
        <v>0.4</v>
      </c>
      <c r="AJ790" s="21">
        <v>0.51749999999999996</v>
      </c>
      <c r="AK790" s="21">
        <v>256</v>
      </c>
      <c r="AL790" s="21">
        <v>0.20380000000000001</v>
      </c>
      <c r="AM790" s="21">
        <v>206</v>
      </c>
      <c r="AN790" s="21">
        <v>0.16400000000000001</v>
      </c>
      <c r="AP790" s="21">
        <v>124</v>
      </c>
      <c r="AQ790" s="21">
        <v>124</v>
      </c>
      <c r="AR790" s="21">
        <v>60</v>
      </c>
      <c r="AS790" s="21">
        <v>1</v>
      </c>
      <c r="AT790" s="21">
        <v>62</v>
      </c>
      <c r="AU790" s="21">
        <v>0</v>
      </c>
      <c r="AV790" s="21">
        <v>0</v>
      </c>
    </row>
    <row r="791" spans="1:48" x14ac:dyDescent="0.15">
      <c r="A791" s="20" t="s">
        <v>0</v>
      </c>
      <c r="B791" s="20" t="s">
        <v>117</v>
      </c>
      <c r="C791" s="21">
        <v>173711</v>
      </c>
      <c r="D791" s="21">
        <v>49691</v>
      </c>
      <c r="E791" s="21">
        <v>-198</v>
      </c>
      <c r="F791" s="21">
        <v>223204</v>
      </c>
      <c r="G791" s="21">
        <v>25210</v>
      </c>
      <c r="H791" s="21">
        <v>69573</v>
      </c>
      <c r="I791" s="21">
        <v>24124</v>
      </c>
      <c r="J791" s="21">
        <v>42792</v>
      </c>
      <c r="K791" s="21">
        <v>55021</v>
      </c>
      <c r="L791" s="21">
        <v>4638</v>
      </c>
      <c r="M791" s="21">
        <v>0.73899999999999999</v>
      </c>
      <c r="N791" s="21">
        <v>0.61299999999999999</v>
      </c>
      <c r="O791" s="21">
        <v>0.51090000000000002</v>
      </c>
      <c r="P791" s="21">
        <v>19082</v>
      </c>
      <c r="Q791" s="21">
        <v>0.33210000000000001</v>
      </c>
      <c r="R791" s="21">
        <v>47</v>
      </c>
      <c r="S791" s="21">
        <v>12</v>
      </c>
      <c r="T791" s="21">
        <v>0.1062</v>
      </c>
      <c r="U791" s="21">
        <v>0.10249999999999999</v>
      </c>
      <c r="V791" s="21">
        <v>0.72989999999999999</v>
      </c>
      <c r="W791" s="21">
        <v>6155</v>
      </c>
      <c r="X791" s="21">
        <v>3396</v>
      </c>
      <c r="Y791" s="21">
        <v>5211</v>
      </c>
      <c r="Z791" s="21">
        <v>0.2</v>
      </c>
      <c r="AA791" s="21">
        <v>0.7</v>
      </c>
      <c r="AB791" s="21">
        <v>17021</v>
      </c>
      <c r="AC791" s="21">
        <v>17019</v>
      </c>
      <c r="AD791" s="21">
        <v>16932</v>
      </c>
      <c r="AE791" s="21">
        <v>1498</v>
      </c>
      <c r="AF791" s="21">
        <v>8.8900000000000007E-2</v>
      </c>
      <c r="AG791" s="21">
        <v>1319</v>
      </c>
      <c r="AH791" s="21">
        <v>7.8299999999999995E-2</v>
      </c>
      <c r="AI791" s="21">
        <v>0.1232</v>
      </c>
      <c r="AJ791" s="21">
        <v>0.50170000000000003</v>
      </c>
      <c r="AK791" s="21">
        <v>3037</v>
      </c>
      <c r="AL791" s="21">
        <v>0.1802</v>
      </c>
      <c r="AM791" s="21">
        <v>2340</v>
      </c>
      <c r="AN791" s="21">
        <v>0.1389</v>
      </c>
      <c r="AO791" s="21">
        <v>0.68469999999999998</v>
      </c>
      <c r="AP791" s="21">
        <v>1838</v>
      </c>
      <c r="AQ791" s="21">
        <v>1837</v>
      </c>
      <c r="AR791" s="21">
        <v>1617</v>
      </c>
      <c r="AS791" s="21">
        <v>116</v>
      </c>
      <c r="AT791" s="21">
        <v>105</v>
      </c>
      <c r="AU791" s="21">
        <v>830</v>
      </c>
      <c r="AV791" s="21">
        <v>2024</v>
      </c>
    </row>
    <row r="792" spans="1:48" x14ac:dyDescent="0.15">
      <c r="A792" s="20" t="s">
        <v>54</v>
      </c>
      <c r="B792" s="20" t="s">
        <v>117</v>
      </c>
      <c r="C792" s="21">
        <v>22470</v>
      </c>
      <c r="D792" s="21">
        <v>10780</v>
      </c>
      <c r="E792" s="21">
        <v>-15</v>
      </c>
      <c r="F792" s="21">
        <v>33235</v>
      </c>
      <c r="G792" s="21">
        <v>2181</v>
      </c>
      <c r="H792" s="21">
        <v>2562</v>
      </c>
      <c r="I792" s="21">
        <v>1479</v>
      </c>
      <c r="J792" s="21">
        <v>8364</v>
      </c>
      <c r="K792" s="21">
        <v>18120</v>
      </c>
      <c r="L792" s="21">
        <v>340</v>
      </c>
      <c r="M792" s="21">
        <v>0.87360000000000004</v>
      </c>
      <c r="N792" s="21">
        <v>0.62929999999999997</v>
      </c>
      <c r="O792" s="21">
        <v>0.8075</v>
      </c>
      <c r="P792" s="21">
        <v>3795</v>
      </c>
      <c r="Q792" s="21">
        <v>0.25800000000000001</v>
      </c>
      <c r="R792" s="21">
        <v>98</v>
      </c>
      <c r="S792" s="21">
        <v>9</v>
      </c>
      <c r="T792" s="21">
        <v>0.11840000000000001</v>
      </c>
      <c r="U792" s="21">
        <v>2.9100000000000001E-2</v>
      </c>
      <c r="W792" s="21">
        <v>384</v>
      </c>
      <c r="X792" s="21">
        <v>168</v>
      </c>
      <c r="Y792" s="21">
        <v>245</v>
      </c>
      <c r="Z792" s="21">
        <v>0.2</v>
      </c>
      <c r="AA792" s="21">
        <v>0.7</v>
      </c>
      <c r="AB792" s="21">
        <v>860</v>
      </c>
      <c r="AC792" s="21">
        <v>860</v>
      </c>
      <c r="AD792" s="21">
        <v>836</v>
      </c>
      <c r="AE792" s="21">
        <v>51</v>
      </c>
      <c r="AF792" s="21">
        <v>6.2799999999999995E-2</v>
      </c>
      <c r="AG792" s="21">
        <v>3</v>
      </c>
      <c r="AH792" s="21">
        <v>3.7000000000000002E-3</v>
      </c>
      <c r="AI792" s="21">
        <v>0.1071</v>
      </c>
      <c r="AJ792" s="21">
        <v>0.31879999999999997</v>
      </c>
      <c r="AK792" s="21">
        <v>152</v>
      </c>
      <c r="AL792" s="21">
        <v>0.18179999999999999</v>
      </c>
      <c r="AM792" s="21">
        <v>132</v>
      </c>
      <c r="AN792" s="21">
        <v>0.15790000000000001</v>
      </c>
      <c r="AO792" s="21">
        <v>1</v>
      </c>
      <c r="AP792" s="21">
        <v>215</v>
      </c>
      <c r="AQ792" s="21">
        <v>215</v>
      </c>
      <c r="AR792" s="21">
        <v>205</v>
      </c>
      <c r="AS792" s="21">
        <v>10</v>
      </c>
      <c r="AT792" s="21">
        <v>0</v>
      </c>
      <c r="AU792" s="21">
        <v>0</v>
      </c>
      <c r="AV792" s="21">
        <v>0</v>
      </c>
    </row>
    <row r="793" spans="1:48" x14ac:dyDescent="0.15">
      <c r="A793" s="20" t="s">
        <v>55</v>
      </c>
      <c r="B793" s="20" t="s">
        <v>117</v>
      </c>
      <c r="C793" s="21">
        <v>3020</v>
      </c>
      <c r="D793" s="21">
        <v>733</v>
      </c>
      <c r="E793" s="21">
        <v>0</v>
      </c>
      <c r="F793" s="21">
        <v>3753</v>
      </c>
      <c r="G793" s="21">
        <v>78</v>
      </c>
      <c r="H793" s="21">
        <v>2288</v>
      </c>
      <c r="I793" s="21">
        <v>1388</v>
      </c>
      <c r="L793" s="21">
        <v>184</v>
      </c>
      <c r="M793" s="21">
        <v>0.7772</v>
      </c>
      <c r="N793" s="21">
        <v>0.60329999999999995</v>
      </c>
      <c r="O793" s="21">
        <v>0.58150000000000002</v>
      </c>
      <c r="P793" s="21">
        <v>1125</v>
      </c>
      <c r="Q793" s="21">
        <v>0.21160000000000001</v>
      </c>
      <c r="R793" s="21">
        <v>21</v>
      </c>
      <c r="S793" s="21">
        <v>3</v>
      </c>
      <c r="T793" s="21">
        <v>0.27629999999999999</v>
      </c>
      <c r="U793" s="21">
        <v>1E-3</v>
      </c>
      <c r="AB793" s="21">
        <v>0</v>
      </c>
      <c r="AC793" s="21">
        <v>0</v>
      </c>
      <c r="AD793" s="21">
        <v>0</v>
      </c>
      <c r="AE793" s="21">
        <v>0</v>
      </c>
      <c r="AF793" s="21">
        <v>0</v>
      </c>
      <c r="AG793" s="21">
        <v>0</v>
      </c>
      <c r="AH793" s="21">
        <v>0</v>
      </c>
      <c r="AI793" s="21">
        <v>0</v>
      </c>
      <c r="AJ793" s="21">
        <v>0</v>
      </c>
      <c r="AK793" s="21">
        <v>0</v>
      </c>
      <c r="AL793" s="21">
        <v>0</v>
      </c>
      <c r="AM793" s="21">
        <v>0</v>
      </c>
      <c r="AN793" s="21">
        <v>0</v>
      </c>
      <c r="AP793" s="21">
        <v>14</v>
      </c>
      <c r="AQ793" s="21">
        <v>14</v>
      </c>
      <c r="AR793" s="21">
        <v>13</v>
      </c>
      <c r="AS793" s="21">
        <v>1</v>
      </c>
      <c r="AU793" s="21">
        <v>0</v>
      </c>
      <c r="AV793" s="21">
        <v>0</v>
      </c>
    </row>
    <row r="794" spans="1:48" x14ac:dyDescent="0.15">
      <c r="A794" s="20" t="s">
        <v>56</v>
      </c>
      <c r="B794" s="20" t="s">
        <v>117</v>
      </c>
      <c r="C794" s="21">
        <v>3051</v>
      </c>
      <c r="D794" s="21">
        <v>996</v>
      </c>
      <c r="E794" s="21">
        <v>-2</v>
      </c>
      <c r="F794" s="21">
        <v>4045</v>
      </c>
      <c r="G794" s="21">
        <v>0</v>
      </c>
      <c r="H794" s="21">
        <v>1055</v>
      </c>
      <c r="J794" s="21">
        <v>751</v>
      </c>
      <c r="K794" s="21">
        <v>2239</v>
      </c>
      <c r="L794" s="21">
        <v>192</v>
      </c>
      <c r="M794" s="21">
        <v>0.69899999999999995</v>
      </c>
      <c r="N794" s="21">
        <v>0.46429999999999999</v>
      </c>
      <c r="O794" s="21">
        <v>0.44900000000000001</v>
      </c>
      <c r="P794" s="21">
        <v>1508</v>
      </c>
      <c r="Q794" s="21">
        <v>0.13730000000000001</v>
      </c>
      <c r="R794" s="21">
        <v>21</v>
      </c>
      <c r="S794" s="21">
        <v>3</v>
      </c>
      <c r="T794" s="21">
        <v>9.1300000000000006E-2</v>
      </c>
      <c r="U794" s="21">
        <v>0.11940000000000001</v>
      </c>
      <c r="W794" s="21">
        <v>319</v>
      </c>
      <c r="X794" s="21">
        <v>64</v>
      </c>
      <c r="Y794" s="21">
        <v>63</v>
      </c>
      <c r="Z794" s="21">
        <v>0.6</v>
      </c>
      <c r="AA794" s="21">
        <v>1</v>
      </c>
      <c r="AB794" s="21">
        <v>88</v>
      </c>
      <c r="AC794" s="21">
        <v>88</v>
      </c>
      <c r="AD794" s="21">
        <v>100</v>
      </c>
      <c r="AE794" s="21">
        <v>3</v>
      </c>
      <c r="AF794" s="21">
        <v>2.7E-2</v>
      </c>
      <c r="AG794" s="21">
        <v>26</v>
      </c>
      <c r="AH794" s="21">
        <v>0.23419999999999999</v>
      </c>
      <c r="AI794" s="21">
        <v>0</v>
      </c>
      <c r="AJ794" s="21">
        <v>0.23580000000000001</v>
      </c>
      <c r="AK794" s="21">
        <v>31</v>
      </c>
      <c r="AL794" s="21">
        <v>0.31159999999999999</v>
      </c>
      <c r="AM794" s="21">
        <v>27</v>
      </c>
      <c r="AN794" s="21">
        <v>0.27139999999999997</v>
      </c>
      <c r="AO794" s="21">
        <v>0.58030000000000004</v>
      </c>
      <c r="AP794" s="21">
        <v>437</v>
      </c>
      <c r="AQ794" s="21">
        <v>437</v>
      </c>
      <c r="AR794" s="21">
        <v>432</v>
      </c>
      <c r="AS794" s="21">
        <v>5</v>
      </c>
      <c r="AU794" s="21">
        <v>1</v>
      </c>
      <c r="AV794" s="21">
        <v>41</v>
      </c>
    </row>
    <row r="795" spans="1:48" x14ac:dyDescent="0.15">
      <c r="A795" s="20" t="s">
        <v>57</v>
      </c>
      <c r="B795" s="20" t="s">
        <v>117</v>
      </c>
      <c r="C795" s="21">
        <v>8977</v>
      </c>
      <c r="D795" s="21">
        <v>6139</v>
      </c>
      <c r="E795" s="21">
        <v>0</v>
      </c>
      <c r="F795" s="21">
        <v>15116</v>
      </c>
      <c r="G795" s="21">
        <v>1081</v>
      </c>
      <c r="H795" s="21">
        <v>5012</v>
      </c>
      <c r="I795" s="21">
        <v>1641</v>
      </c>
      <c r="J795" s="21">
        <v>7382</v>
      </c>
      <c r="K795" s="21">
        <v>0</v>
      </c>
      <c r="L795" s="21">
        <v>386</v>
      </c>
      <c r="M795" s="21">
        <v>0.62529999999999997</v>
      </c>
      <c r="N795" s="21">
        <v>0.4496</v>
      </c>
      <c r="O795" s="21">
        <v>0.4289</v>
      </c>
      <c r="P795" s="21">
        <v>608</v>
      </c>
      <c r="Q795" s="21">
        <v>0.46710000000000002</v>
      </c>
      <c r="R795" s="21">
        <v>38</v>
      </c>
      <c r="S795" s="21">
        <v>25</v>
      </c>
      <c r="T795" s="21">
        <v>8.0199999999999994E-2</v>
      </c>
      <c r="U795" s="21">
        <v>5.5E-2</v>
      </c>
      <c r="V795" s="21">
        <v>0.70130000000000003</v>
      </c>
      <c r="W795" s="21">
        <v>324</v>
      </c>
      <c r="X795" s="21">
        <v>222</v>
      </c>
      <c r="Y795" s="21">
        <v>212</v>
      </c>
      <c r="Z795" s="21">
        <v>0.3</v>
      </c>
      <c r="AA795" s="21">
        <v>1</v>
      </c>
      <c r="AB795" s="21">
        <v>849</v>
      </c>
      <c r="AC795" s="21">
        <v>849</v>
      </c>
      <c r="AD795" s="21">
        <v>864</v>
      </c>
      <c r="AE795" s="21">
        <v>77</v>
      </c>
      <c r="AF795" s="21">
        <v>8.7499999999999994E-2</v>
      </c>
      <c r="AG795" s="21">
        <v>108</v>
      </c>
      <c r="AH795" s="21">
        <v>0.1227</v>
      </c>
      <c r="AI795" s="21">
        <v>8.5400000000000004E-2</v>
      </c>
      <c r="AJ795" s="21">
        <v>0.47060000000000002</v>
      </c>
      <c r="AK795" s="21">
        <v>145</v>
      </c>
      <c r="AL795" s="21">
        <v>0.16769999999999999</v>
      </c>
      <c r="AM795" s="21">
        <v>114</v>
      </c>
      <c r="AN795" s="21">
        <v>0.13189999999999999</v>
      </c>
      <c r="AO795" s="21">
        <v>0.24110000000000001</v>
      </c>
      <c r="AP795" s="21">
        <v>308</v>
      </c>
      <c r="AQ795" s="21">
        <v>308</v>
      </c>
      <c r="AR795" s="21">
        <v>253</v>
      </c>
      <c r="AS795" s="21">
        <v>55</v>
      </c>
      <c r="AT795" s="21">
        <v>0</v>
      </c>
      <c r="AU795" s="21">
        <v>298</v>
      </c>
      <c r="AV795" s="21">
        <v>207</v>
      </c>
    </row>
    <row r="796" spans="1:48" x14ac:dyDescent="0.15">
      <c r="A796" s="20" t="s">
        <v>58</v>
      </c>
      <c r="B796" s="20" t="s">
        <v>117</v>
      </c>
      <c r="C796" s="21">
        <v>26070</v>
      </c>
      <c r="D796" s="21">
        <v>7389</v>
      </c>
      <c r="E796" s="21">
        <v>-15</v>
      </c>
      <c r="F796" s="21">
        <v>33444</v>
      </c>
      <c r="G796" s="21">
        <v>3580</v>
      </c>
      <c r="H796" s="21">
        <v>16982</v>
      </c>
      <c r="J796" s="21">
        <v>1658</v>
      </c>
      <c r="K796" s="21">
        <v>11224</v>
      </c>
      <c r="L796" s="21">
        <v>348</v>
      </c>
      <c r="M796" s="21">
        <v>0.86599999999999999</v>
      </c>
      <c r="N796" s="21">
        <v>0.78549999999999998</v>
      </c>
      <c r="O796" s="21">
        <v>0.80159999999999998</v>
      </c>
      <c r="P796" s="21">
        <v>2476</v>
      </c>
      <c r="Q796" s="21">
        <v>0.31950000000000001</v>
      </c>
      <c r="R796" s="21">
        <v>94</v>
      </c>
      <c r="S796" s="21">
        <v>14</v>
      </c>
      <c r="T796" s="21">
        <v>0.14630000000000001</v>
      </c>
      <c r="U796" s="21">
        <v>7.0599999999999996E-2</v>
      </c>
      <c r="W796" s="21">
        <v>1207</v>
      </c>
      <c r="X796" s="21">
        <v>741</v>
      </c>
      <c r="Y796" s="21">
        <v>1132</v>
      </c>
      <c r="Z796" s="21">
        <v>0.3</v>
      </c>
      <c r="AA796" s="21">
        <v>0.7</v>
      </c>
      <c r="AB796" s="21">
        <v>3001</v>
      </c>
      <c r="AC796" s="21">
        <v>3001</v>
      </c>
      <c r="AD796" s="21">
        <v>2887</v>
      </c>
      <c r="AE796" s="21">
        <v>334</v>
      </c>
      <c r="AF796" s="21">
        <v>0.12039999999999999</v>
      </c>
      <c r="AG796" s="21">
        <v>106</v>
      </c>
      <c r="AH796" s="21">
        <v>3.8199999999999998E-2</v>
      </c>
      <c r="AI796" s="21">
        <v>9.2700000000000005E-2</v>
      </c>
      <c r="AJ796" s="21">
        <v>0.3347</v>
      </c>
      <c r="AK796" s="21">
        <v>655</v>
      </c>
      <c r="AL796" s="21">
        <v>0.22689999999999999</v>
      </c>
      <c r="AM796" s="21">
        <v>533</v>
      </c>
      <c r="AN796" s="21">
        <v>0.18459999999999999</v>
      </c>
      <c r="AO796" s="21">
        <v>1</v>
      </c>
      <c r="AP796" s="21">
        <v>125</v>
      </c>
      <c r="AQ796" s="21">
        <v>125</v>
      </c>
      <c r="AR796" s="21">
        <v>123</v>
      </c>
      <c r="AS796" s="21">
        <v>2</v>
      </c>
      <c r="AU796" s="21">
        <v>0</v>
      </c>
      <c r="AV796" s="21">
        <v>182</v>
      </c>
    </row>
    <row r="797" spans="1:48" x14ac:dyDescent="0.15">
      <c r="A797" s="20" t="s">
        <v>59</v>
      </c>
      <c r="B797" s="20" t="s">
        <v>117</v>
      </c>
      <c r="C797" s="21">
        <v>1845</v>
      </c>
      <c r="D797" s="21">
        <v>2234</v>
      </c>
      <c r="E797" s="21">
        <v>0</v>
      </c>
      <c r="F797" s="21">
        <v>4080</v>
      </c>
      <c r="G797" s="21">
        <v>1306</v>
      </c>
      <c r="H797" s="21">
        <v>-6</v>
      </c>
      <c r="I797" s="21">
        <v>194</v>
      </c>
      <c r="J797" s="21">
        <v>1930</v>
      </c>
      <c r="K797" s="21">
        <v>655</v>
      </c>
      <c r="L797" s="21">
        <v>145</v>
      </c>
      <c r="M797" s="21">
        <v>0.69679999999999997</v>
      </c>
      <c r="N797" s="21">
        <v>0.52900000000000003</v>
      </c>
      <c r="O797" s="21">
        <v>0.6452</v>
      </c>
      <c r="P797" s="21">
        <v>1124</v>
      </c>
      <c r="Q797" s="21">
        <v>0.22509999999999999</v>
      </c>
      <c r="R797" s="21">
        <v>27</v>
      </c>
      <c r="S797" s="21">
        <v>4</v>
      </c>
      <c r="T797" s="21">
        <v>0.17269999999999999</v>
      </c>
      <c r="U797" s="21">
        <v>4.1000000000000003E-3</v>
      </c>
      <c r="W797" s="21">
        <v>71</v>
      </c>
      <c r="X797" s="21">
        <v>14</v>
      </c>
      <c r="Y797" s="21">
        <v>16</v>
      </c>
      <c r="Z797" s="21">
        <v>0.5</v>
      </c>
      <c r="AA797" s="21">
        <v>0.9</v>
      </c>
      <c r="AB797" s="21">
        <v>15</v>
      </c>
      <c r="AC797" s="21">
        <v>15</v>
      </c>
      <c r="AD797" s="21">
        <v>26</v>
      </c>
      <c r="AE797" s="21">
        <v>0</v>
      </c>
      <c r="AF797" s="21">
        <v>0</v>
      </c>
      <c r="AG797" s="21">
        <v>21</v>
      </c>
      <c r="AH797" s="21">
        <v>0.58330000000000004</v>
      </c>
      <c r="AI797" s="21">
        <v>0</v>
      </c>
      <c r="AJ797" s="21">
        <v>0</v>
      </c>
      <c r="AK797" s="21">
        <v>9</v>
      </c>
      <c r="AL797" s="21">
        <v>0.35289999999999999</v>
      </c>
      <c r="AM797" s="21">
        <v>5</v>
      </c>
      <c r="AN797" s="21">
        <v>0.1961</v>
      </c>
      <c r="AP797" s="21">
        <v>61</v>
      </c>
      <c r="AQ797" s="21">
        <v>61</v>
      </c>
      <c r="AR797" s="21">
        <v>61</v>
      </c>
      <c r="AS797" s="21">
        <v>0</v>
      </c>
      <c r="AU797" s="21">
        <v>0</v>
      </c>
      <c r="AV797" s="21">
        <v>0</v>
      </c>
    </row>
    <row r="798" spans="1:48" x14ac:dyDescent="0.15">
      <c r="A798" s="20" t="s">
        <v>60</v>
      </c>
      <c r="B798" s="20" t="s">
        <v>117</v>
      </c>
      <c r="C798" s="21">
        <v>5329</v>
      </c>
      <c r="D798" s="21">
        <v>1782</v>
      </c>
      <c r="E798" s="21">
        <v>0</v>
      </c>
      <c r="F798" s="21">
        <v>7111</v>
      </c>
      <c r="G798" s="21">
        <v>843</v>
      </c>
      <c r="H798" s="21">
        <v>2302</v>
      </c>
      <c r="I798" s="21">
        <v>2598</v>
      </c>
      <c r="J798" s="21">
        <v>770</v>
      </c>
      <c r="K798" s="21">
        <v>597</v>
      </c>
      <c r="L798" s="21">
        <v>240</v>
      </c>
      <c r="M798" s="21">
        <v>0.6381</v>
      </c>
      <c r="N798" s="21">
        <v>0.53700000000000003</v>
      </c>
      <c r="O798" s="21">
        <v>0.40860000000000002</v>
      </c>
      <c r="P798" s="21">
        <v>320</v>
      </c>
      <c r="Q798" s="21">
        <v>0.63439999999999996</v>
      </c>
      <c r="R798" s="21">
        <v>29</v>
      </c>
      <c r="S798" s="21">
        <v>22</v>
      </c>
      <c r="T798" s="21">
        <v>0.10589999999999999</v>
      </c>
      <c r="U798" s="21">
        <v>9.5899999999999999E-2</v>
      </c>
      <c r="W798" s="21">
        <v>234</v>
      </c>
      <c r="X798" s="21">
        <v>145</v>
      </c>
      <c r="Y798" s="21">
        <v>283</v>
      </c>
      <c r="Z798" s="21">
        <v>0.2</v>
      </c>
      <c r="AA798" s="21">
        <v>0.5</v>
      </c>
      <c r="AB798" s="21">
        <v>773</v>
      </c>
      <c r="AC798" s="21">
        <v>773</v>
      </c>
      <c r="AD798" s="21">
        <v>855</v>
      </c>
      <c r="AE798" s="21">
        <v>39</v>
      </c>
      <c r="AF798" s="21">
        <v>4.1599999999999998E-2</v>
      </c>
      <c r="AG798" s="21">
        <v>203</v>
      </c>
      <c r="AH798" s="21">
        <v>0.21659999999999999</v>
      </c>
      <c r="AI798" s="21">
        <v>0.14549999999999999</v>
      </c>
      <c r="AJ798" s="21">
        <v>0.3508</v>
      </c>
      <c r="AK798" s="21">
        <v>149</v>
      </c>
      <c r="AL798" s="21">
        <v>0.17449999999999999</v>
      </c>
      <c r="AM798" s="21">
        <v>105</v>
      </c>
      <c r="AN798" s="21">
        <v>0.123</v>
      </c>
      <c r="AO798" s="21">
        <v>0.84340000000000004</v>
      </c>
      <c r="AP798" s="21">
        <v>72</v>
      </c>
      <c r="AQ798" s="21">
        <v>72</v>
      </c>
      <c r="AR798" s="21">
        <v>26</v>
      </c>
      <c r="AS798" s="21">
        <v>22</v>
      </c>
      <c r="AT798" s="21">
        <v>23</v>
      </c>
      <c r="AU798" s="21">
        <v>12</v>
      </c>
      <c r="AV798" s="21">
        <v>184</v>
      </c>
    </row>
    <row r="799" spans="1:48" x14ac:dyDescent="0.15">
      <c r="A799" s="20" t="s">
        <v>61</v>
      </c>
      <c r="B799" s="20" t="s">
        <v>117</v>
      </c>
      <c r="C799" s="21">
        <v>8122</v>
      </c>
      <c r="D799" s="21">
        <v>1697</v>
      </c>
      <c r="E799" s="21">
        <v>0</v>
      </c>
      <c r="F799" s="21">
        <v>9819</v>
      </c>
      <c r="G799" s="21">
        <v>3285</v>
      </c>
      <c r="H799" s="21">
        <v>2340</v>
      </c>
      <c r="I799" s="21">
        <v>1017</v>
      </c>
      <c r="J799" s="21">
        <v>1918</v>
      </c>
      <c r="K799" s="21">
        <v>1234</v>
      </c>
      <c r="L799" s="21">
        <v>133</v>
      </c>
      <c r="M799" s="21">
        <v>0.72409999999999997</v>
      </c>
      <c r="N799" s="21">
        <v>0.6069</v>
      </c>
      <c r="O799" s="21">
        <v>0.53100000000000003</v>
      </c>
      <c r="P799" s="21">
        <v>242</v>
      </c>
      <c r="Q799" s="21">
        <v>0.61980000000000002</v>
      </c>
      <c r="R799" s="21">
        <v>71</v>
      </c>
      <c r="S799" s="21">
        <v>41</v>
      </c>
      <c r="T799" s="21">
        <v>6.4500000000000002E-2</v>
      </c>
      <c r="U799" s="21">
        <v>6.8199999999999997E-2</v>
      </c>
      <c r="V799" s="21">
        <v>1</v>
      </c>
      <c r="W799" s="21">
        <v>-43</v>
      </c>
      <c r="X799" s="21">
        <v>33</v>
      </c>
      <c r="Y799" s="21">
        <v>64</v>
      </c>
      <c r="Z799" s="21">
        <v>0.1</v>
      </c>
      <c r="AA799" s="21">
        <v>0.5</v>
      </c>
      <c r="AB799" s="21">
        <v>464</v>
      </c>
      <c r="AC799" s="21">
        <v>464</v>
      </c>
      <c r="AD799" s="21">
        <v>468</v>
      </c>
      <c r="AE799" s="21">
        <v>1</v>
      </c>
      <c r="AF799" s="21">
        <v>2.0999999999999999E-3</v>
      </c>
      <c r="AG799" s="21">
        <v>9</v>
      </c>
      <c r="AH799" s="21">
        <v>1.9099999999999999E-2</v>
      </c>
      <c r="AI799" s="21">
        <v>0.15790000000000001</v>
      </c>
      <c r="AJ799" s="21">
        <v>0.39129999999999998</v>
      </c>
      <c r="AK799" s="21">
        <v>41</v>
      </c>
      <c r="AL799" s="21">
        <v>8.7599999999999997E-2</v>
      </c>
      <c r="AM799" s="21">
        <v>32</v>
      </c>
      <c r="AN799" s="21">
        <v>6.8400000000000002E-2</v>
      </c>
      <c r="AO799" s="21">
        <v>0.77510000000000001</v>
      </c>
      <c r="AP799" s="21">
        <v>32</v>
      </c>
      <c r="AQ799" s="21">
        <v>32</v>
      </c>
      <c r="AR799" s="21">
        <v>1</v>
      </c>
      <c r="AS799" s="21">
        <v>13</v>
      </c>
      <c r="AT799" s="21">
        <v>17</v>
      </c>
      <c r="AU799" s="21">
        <v>45</v>
      </c>
      <c r="AV799" s="21">
        <v>49</v>
      </c>
    </row>
    <row r="800" spans="1:48" x14ac:dyDescent="0.15">
      <c r="A800" s="20" t="s">
        <v>48</v>
      </c>
      <c r="B800" s="20" t="s">
        <v>118</v>
      </c>
      <c r="C800" s="21">
        <v>19000</v>
      </c>
      <c r="D800" s="21">
        <v>6408</v>
      </c>
      <c r="E800" s="21">
        <v>0</v>
      </c>
      <c r="F800" s="21">
        <v>25408</v>
      </c>
      <c r="G800" s="21">
        <v>2508</v>
      </c>
      <c r="H800" s="21">
        <v>5643</v>
      </c>
      <c r="I800" s="21">
        <v>4887</v>
      </c>
      <c r="J800" s="21">
        <v>669</v>
      </c>
      <c r="K800" s="21">
        <v>4299</v>
      </c>
      <c r="L800" s="21">
        <v>315</v>
      </c>
      <c r="M800" s="21">
        <v>0.71389999999999998</v>
      </c>
      <c r="N800" s="21">
        <v>0.62649999999999995</v>
      </c>
      <c r="O800" s="21">
        <v>0.55420000000000003</v>
      </c>
      <c r="P800" s="21">
        <v>963</v>
      </c>
      <c r="Q800" s="21">
        <v>0.46729999999999999</v>
      </c>
      <c r="R800" s="21">
        <v>79</v>
      </c>
      <c r="S800" s="21">
        <v>26</v>
      </c>
      <c r="T800" s="21">
        <v>6.2799999999999995E-2</v>
      </c>
      <c r="U800" s="21">
        <v>0.1434</v>
      </c>
      <c r="V800" s="21">
        <v>1</v>
      </c>
      <c r="W800" s="21">
        <v>346</v>
      </c>
      <c r="X800" s="21">
        <v>111</v>
      </c>
      <c r="Y800" s="21">
        <v>186</v>
      </c>
      <c r="Z800" s="21">
        <v>0.4</v>
      </c>
      <c r="AA800" s="21">
        <v>0.6</v>
      </c>
      <c r="AB800" s="21">
        <v>277</v>
      </c>
      <c r="AC800" s="21">
        <v>277</v>
      </c>
      <c r="AD800" s="21">
        <v>281</v>
      </c>
      <c r="AE800" s="21">
        <v>30</v>
      </c>
      <c r="AF800" s="21">
        <v>0.1053</v>
      </c>
      <c r="AG800" s="21">
        <v>38</v>
      </c>
      <c r="AH800" s="21">
        <v>0.1333</v>
      </c>
      <c r="AI800" s="21">
        <v>0.26319999999999999</v>
      </c>
      <c r="AJ800" s="21">
        <v>0.44</v>
      </c>
      <c r="AK800" s="21">
        <v>83</v>
      </c>
      <c r="AL800" s="21">
        <v>0.2954</v>
      </c>
      <c r="AM800" s="21">
        <v>48</v>
      </c>
      <c r="AN800" s="21">
        <v>0.17080000000000001</v>
      </c>
      <c r="AO800" s="21">
        <v>0.97360000000000002</v>
      </c>
      <c r="AP800" s="21">
        <v>233</v>
      </c>
      <c r="AQ800" s="21">
        <v>233</v>
      </c>
      <c r="AR800" s="21">
        <v>230</v>
      </c>
      <c r="AS800" s="21">
        <v>1</v>
      </c>
      <c r="AT800" s="21">
        <v>1</v>
      </c>
      <c r="AU800" s="21">
        <v>135</v>
      </c>
      <c r="AV800" s="21">
        <v>99</v>
      </c>
    </row>
    <row r="801" spans="1:48" x14ac:dyDescent="0.15">
      <c r="A801" s="20" t="s">
        <v>50</v>
      </c>
      <c r="B801" s="20" t="s">
        <v>118</v>
      </c>
      <c r="C801" s="21">
        <v>15790</v>
      </c>
      <c r="D801" s="21">
        <v>6848</v>
      </c>
      <c r="E801" s="21">
        <v>0</v>
      </c>
      <c r="F801" s="21">
        <v>22638</v>
      </c>
      <c r="G801" s="21">
        <v>1450</v>
      </c>
      <c r="H801" s="21">
        <v>18025</v>
      </c>
      <c r="I801" s="21">
        <v>0</v>
      </c>
      <c r="J801" s="21">
        <v>323</v>
      </c>
      <c r="K801" s="21">
        <v>2841</v>
      </c>
      <c r="L801" s="21">
        <v>309</v>
      </c>
      <c r="M801" s="21">
        <v>0.99129999999999996</v>
      </c>
      <c r="N801" s="21">
        <v>0.77549999999999997</v>
      </c>
      <c r="O801" s="21">
        <v>0.81630000000000003</v>
      </c>
      <c r="P801" s="21">
        <v>644</v>
      </c>
      <c r="Q801" s="21">
        <v>0.72670000000000001</v>
      </c>
      <c r="R801" s="21">
        <v>69</v>
      </c>
      <c r="S801" s="21">
        <v>35</v>
      </c>
      <c r="T801" s="21">
        <v>6.8900000000000003E-2</v>
      </c>
      <c r="U801" s="21">
        <v>0.12889999999999999</v>
      </c>
      <c r="V801" s="21">
        <v>0</v>
      </c>
      <c r="W801" s="21">
        <v>635</v>
      </c>
      <c r="X801" s="21">
        <v>425</v>
      </c>
      <c r="Y801" s="21">
        <v>457</v>
      </c>
      <c r="Z801" s="21">
        <v>0.7</v>
      </c>
      <c r="AA801" s="21">
        <v>0.9</v>
      </c>
      <c r="AB801" s="21">
        <v>605</v>
      </c>
      <c r="AC801" s="21">
        <v>604</v>
      </c>
      <c r="AD801" s="21">
        <v>585</v>
      </c>
      <c r="AE801" s="21">
        <v>138</v>
      </c>
      <c r="AF801" s="21">
        <v>0.2442</v>
      </c>
      <c r="AG801" s="21">
        <v>98</v>
      </c>
      <c r="AH801" s="21">
        <v>0.17349999999999999</v>
      </c>
      <c r="AI801" s="21">
        <v>0.51719999999999999</v>
      </c>
      <c r="AJ801" s="21">
        <v>0.40189999999999998</v>
      </c>
      <c r="AK801" s="21">
        <v>239</v>
      </c>
      <c r="AL801" s="21">
        <v>0.40920000000000001</v>
      </c>
      <c r="AM801" s="21">
        <v>198</v>
      </c>
      <c r="AN801" s="21">
        <v>0.33900000000000002</v>
      </c>
      <c r="AO801" s="21">
        <v>0.69110000000000005</v>
      </c>
      <c r="AP801" s="21">
        <v>348</v>
      </c>
      <c r="AQ801" s="21">
        <v>348</v>
      </c>
      <c r="AR801" s="21">
        <v>343</v>
      </c>
      <c r="AS801" s="21">
        <v>2</v>
      </c>
      <c r="AT801" s="21">
        <v>3</v>
      </c>
      <c r="AU801" s="21">
        <v>87</v>
      </c>
      <c r="AV801" s="21">
        <v>132</v>
      </c>
    </row>
    <row r="802" spans="1:48" x14ac:dyDescent="0.15">
      <c r="A802" s="20" t="s">
        <v>51</v>
      </c>
      <c r="B802" s="20" t="s">
        <v>118</v>
      </c>
      <c r="C802" s="21">
        <v>71375</v>
      </c>
      <c r="D802" s="21">
        <v>13292</v>
      </c>
      <c r="E802" s="21">
        <v>0</v>
      </c>
      <c r="F802" s="21">
        <v>84666</v>
      </c>
      <c r="G802" s="21">
        <v>5370</v>
      </c>
      <c r="H802" s="21">
        <v>36680</v>
      </c>
      <c r="I802" s="21">
        <v>14680</v>
      </c>
      <c r="J802" s="21">
        <v>4550</v>
      </c>
      <c r="K802" s="21">
        <v>22750</v>
      </c>
      <c r="L802" s="21">
        <v>1321</v>
      </c>
      <c r="M802" s="21">
        <v>0.74950000000000006</v>
      </c>
      <c r="N802" s="21">
        <v>0.70520000000000005</v>
      </c>
      <c r="O802" s="21">
        <v>0.55779999999999996</v>
      </c>
      <c r="P802" s="21">
        <v>3632</v>
      </c>
      <c r="Q802" s="21">
        <v>0.56610000000000005</v>
      </c>
      <c r="R802" s="21">
        <v>61</v>
      </c>
      <c r="S802" s="21">
        <v>23</v>
      </c>
      <c r="T802" s="21">
        <v>0.1201</v>
      </c>
      <c r="U802" s="21">
        <v>0.1915</v>
      </c>
      <c r="V802" s="21">
        <v>1</v>
      </c>
      <c r="W802" s="21">
        <v>5468</v>
      </c>
      <c r="X802" s="21">
        <v>3133</v>
      </c>
      <c r="Y802" s="21">
        <v>5147</v>
      </c>
      <c r="Z802" s="21">
        <v>0.4</v>
      </c>
      <c r="AA802" s="21">
        <v>0.6</v>
      </c>
      <c r="AB802" s="21">
        <v>8351</v>
      </c>
      <c r="AC802" s="21">
        <v>8351</v>
      </c>
      <c r="AD802" s="21">
        <v>8388</v>
      </c>
      <c r="AE802" s="21">
        <v>1174</v>
      </c>
      <c r="AF802" s="21">
        <v>0.1394</v>
      </c>
      <c r="AG802" s="21">
        <v>1247</v>
      </c>
      <c r="AH802" s="21">
        <v>0.14799999999999999</v>
      </c>
      <c r="AI802" s="21">
        <v>0.15659999999999999</v>
      </c>
      <c r="AJ802" s="21">
        <v>0.59030000000000005</v>
      </c>
      <c r="AK802" s="21">
        <v>2280</v>
      </c>
      <c r="AL802" s="21">
        <v>0.27429999999999999</v>
      </c>
      <c r="AM802" s="21">
        <v>1887</v>
      </c>
      <c r="AN802" s="21">
        <v>0.22700000000000001</v>
      </c>
      <c r="AO802" s="21">
        <v>0.61229999999999996</v>
      </c>
      <c r="AP802" s="21">
        <v>473</v>
      </c>
      <c r="AQ802" s="21">
        <v>473</v>
      </c>
      <c r="AR802" s="21">
        <v>385</v>
      </c>
      <c r="AS802" s="21">
        <v>80</v>
      </c>
      <c r="AT802" s="21">
        <v>8</v>
      </c>
      <c r="AU802" s="21">
        <v>486</v>
      </c>
      <c r="AV802" s="21">
        <v>542</v>
      </c>
    </row>
    <row r="803" spans="1:48" x14ac:dyDescent="0.15">
      <c r="A803" s="20" t="s">
        <v>52</v>
      </c>
      <c r="B803" s="20" t="s">
        <v>118</v>
      </c>
      <c r="C803" s="21">
        <v>17153</v>
      </c>
      <c r="D803" s="21">
        <v>5220</v>
      </c>
      <c r="E803" s="21">
        <v>0</v>
      </c>
      <c r="F803" s="21">
        <v>22373</v>
      </c>
      <c r="G803" s="21">
        <v>10125</v>
      </c>
      <c r="H803" s="21">
        <v>7726</v>
      </c>
      <c r="I803" s="21">
        <v>1067</v>
      </c>
      <c r="J803" s="21">
        <v>1255</v>
      </c>
      <c r="K803" s="21">
        <v>2201</v>
      </c>
      <c r="L803" s="21">
        <v>325</v>
      </c>
      <c r="M803" s="21">
        <v>0.70689999999999997</v>
      </c>
      <c r="N803" s="21">
        <v>0.55459999999999998</v>
      </c>
      <c r="O803" s="21">
        <v>0.50860000000000005</v>
      </c>
      <c r="P803" s="21">
        <v>890</v>
      </c>
      <c r="Q803" s="21">
        <v>0.48089999999999999</v>
      </c>
      <c r="R803" s="21">
        <v>67</v>
      </c>
      <c r="S803" s="21">
        <v>25</v>
      </c>
      <c r="T803" s="21">
        <v>9.5799999999999996E-2</v>
      </c>
      <c r="U803" s="21">
        <v>0.12839999999999999</v>
      </c>
      <c r="W803" s="21">
        <v>1514</v>
      </c>
      <c r="X803" s="21">
        <v>335</v>
      </c>
      <c r="Y803" s="21">
        <v>291</v>
      </c>
      <c r="Z803" s="21">
        <v>0.8</v>
      </c>
      <c r="AA803" s="21">
        <v>1.2</v>
      </c>
      <c r="AB803" s="21">
        <v>426</v>
      </c>
      <c r="AC803" s="21">
        <v>426</v>
      </c>
      <c r="AD803" s="21">
        <v>420</v>
      </c>
      <c r="AE803" s="21">
        <v>51</v>
      </c>
      <c r="AF803" s="21">
        <v>0.1229</v>
      </c>
      <c r="AG803" s="21">
        <v>40</v>
      </c>
      <c r="AH803" s="21">
        <v>9.64E-2</v>
      </c>
      <c r="AI803" s="21">
        <v>0.16669999999999999</v>
      </c>
      <c r="AJ803" s="21">
        <v>0.4</v>
      </c>
      <c r="AK803" s="21">
        <v>140</v>
      </c>
      <c r="AL803" s="21">
        <v>0.33329999999999999</v>
      </c>
      <c r="AM803" s="21">
        <v>111</v>
      </c>
      <c r="AN803" s="21">
        <v>0.26429999999999998</v>
      </c>
      <c r="AO803" s="21">
        <v>0.80230000000000001</v>
      </c>
      <c r="AP803" s="21">
        <v>73</v>
      </c>
      <c r="AQ803" s="21">
        <v>72</v>
      </c>
      <c r="AR803" s="21">
        <v>51</v>
      </c>
      <c r="AS803" s="21">
        <v>21</v>
      </c>
      <c r="AT803" s="21">
        <v>0</v>
      </c>
      <c r="AU803" s="21">
        <v>56</v>
      </c>
      <c r="AV803" s="21">
        <v>374</v>
      </c>
    </row>
    <row r="804" spans="1:48" x14ac:dyDescent="0.15">
      <c r="A804" s="20" t="s">
        <v>53</v>
      </c>
      <c r="B804" s="20" t="s">
        <v>118</v>
      </c>
      <c r="C804" s="21">
        <v>4579</v>
      </c>
      <c r="D804" s="21">
        <v>1494</v>
      </c>
      <c r="E804" s="21">
        <v>0</v>
      </c>
      <c r="F804" s="21">
        <v>6072</v>
      </c>
      <c r="H804" s="21">
        <v>3798</v>
      </c>
      <c r="I804" s="21">
        <v>437</v>
      </c>
      <c r="J804" s="21">
        <v>1837</v>
      </c>
      <c r="K804" s="21">
        <v>0</v>
      </c>
      <c r="L804" s="21">
        <v>206</v>
      </c>
      <c r="M804" s="21">
        <v>0.6502</v>
      </c>
      <c r="N804" s="21">
        <v>0.48149999999999998</v>
      </c>
      <c r="O804" s="21">
        <v>0.51439999999999997</v>
      </c>
      <c r="P804" s="21">
        <v>1758</v>
      </c>
      <c r="Q804" s="21">
        <v>0.1462</v>
      </c>
      <c r="R804" s="21">
        <v>31</v>
      </c>
      <c r="S804" s="21">
        <v>3</v>
      </c>
      <c r="T804" s="21">
        <v>0.1739</v>
      </c>
      <c r="U804" s="21">
        <v>1.66E-2</v>
      </c>
      <c r="W804" s="21">
        <v>1131</v>
      </c>
      <c r="X804" s="21">
        <v>908</v>
      </c>
      <c r="Y804" s="21">
        <v>1196</v>
      </c>
      <c r="Z804" s="21">
        <v>0.7</v>
      </c>
      <c r="AA804" s="21">
        <v>0.8</v>
      </c>
      <c r="AB804" s="21">
        <v>1402</v>
      </c>
      <c r="AC804" s="21">
        <v>1402</v>
      </c>
      <c r="AD804" s="21">
        <v>1342</v>
      </c>
      <c r="AE804" s="21">
        <v>289</v>
      </c>
      <c r="AF804" s="21">
        <v>0.22539999999999999</v>
      </c>
      <c r="AG804" s="21">
        <v>169</v>
      </c>
      <c r="AH804" s="21">
        <v>0.1318</v>
      </c>
      <c r="AI804" s="21">
        <v>0.1842</v>
      </c>
      <c r="AJ804" s="21">
        <v>0.56669999999999998</v>
      </c>
      <c r="AK804" s="21">
        <v>613</v>
      </c>
      <c r="AL804" s="21">
        <v>0.45679999999999998</v>
      </c>
      <c r="AM804" s="21">
        <v>542</v>
      </c>
      <c r="AN804" s="21">
        <v>0.40389999999999998</v>
      </c>
      <c r="AP804" s="21">
        <v>87</v>
      </c>
      <c r="AQ804" s="21">
        <v>87</v>
      </c>
      <c r="AR804" s="21">
        <v>82</v>
      </c>
      <c r="AS804" s="21">
        <v>4</v>
      </c>
      <c r="AT804" s="21">
        <v>0</v>
      </c>
      <c r="AU804" s="21">
        <v>0</v>
      </c>
      <c r="AV804" s="21">
        <v>0</v>
      </c>
    </row>
    <row r="805" spans="1:48" x14ac:dyDescent="0.15">
      <c r="A805" s="20" t="s">
        <v>0</v>
      </c>
      <c r="B805" s="20" t="s">
        <v>118</v>
      </c>
      <c r="C805" s="21">
        <v>260087</v>
      </c>
      <c r="D805" s="21">
        <v>75945</v>
      </c>
      <c r="E805" s="21">
        <v>-37</v>
      </c>
      <c r="F805" s="21">
        <v>335995</v>
      </c>
      <c r="G805" s="21">
        <v>37073</v>
      </c>
      <c r="H805" s="21">
        <v>107287</v>
      </c>
      <c r="I805" s="21">
        <v>33603</v>
      </c>
      <c r="J805" s="21">
        <v>35029</v>
      </c>
      <c r="K805" s="21">
        <v>114362</v>
      </c>
      <c r="L805" s="21">
        <v>4265</v>
      </c>
      <c r="M805" s="21">
        <v>0.75960000000000005</v>
      </c>
      <c r="N805" s="21">
        <v>0.64849999999999997</v>
      </c>
      <c r="O805" s="21">
        <v>0.60560000000000003</v>
      </c>
      <c r="P805" s="21">
        <v>17944</v>
      </c>
      <c r="Q805" s="21">
        <v>0.43659999999999999</v>
      </c>
      <c r="R805" s="21">
        <v>76</v>
      </c>
      <c r="S805" s="21">
        <v>19</v>
      </c>
      <c r="T805" s="21">
        <v>0.10340000000000001</v>
      </c>
      <c r="U805" s="21">
        <v>0.122</v>
      </c>
      <c r="V805" s="21">
        <v>0.73760000000000003</v>
      </c>
      <c r="W805" s="21">
        <v>16040</v>
      </c>
      <c r="X805" s="21">
        <v>7948</v>
      </c>
      <c r="Y805" s="21">
        <v>11646</v>
      </c>
      <c r="Z805" s="21">
        <v>0.5</v>
      </c>
      <c r="AA805" s="21">
        <v>0.7</v>
      </c>
      <c r="AB805" s="21">
        <v>16985</v>
      </c>
      <c r="AC805" s="21">
        <v>16822</v>
      </c>
      <c r="AD805" s="21">
        <v>17003</v>
      </c>
      <c r="AE805" s="21">
        <v>2570</v>
      </c>
      <c r="AF805" s="21">
        <v>0.151</v>
      </c>
      <c r="AG805" s="21">
        <v>2606</v>
      </c>
      <c r="AH805" s="21">
        <v>0.15310000000000001</v>
      </c>
      <c r="AI805" s="21">
        <v>0.17</v>
      </c>
      <c r="AJ805" s="21">
        <v>0.49259999999999998</v>
      </c>
      <c r="AK805" s="21">
        <v>5321</v>
      </c>
      <c r="AL805" s="21">
        <v>0.31590000000000001</v>
      </c>
      <c r="AM805" s="21">
        <v>4409</v>
      </c>
      <c r="AN805" s="21">
        <v>0.26169999999999999</v>
      </c>
      <c r="AO805" s="21">
        <v>0.74370000000000003</v>
      </c>
      <c r="AP805" s="21">
        <v>7361</v>
      </c>
      <c r="AQ805" s="21">
        <v>7159</v>
      </c>
      <c r="AR805" s="21">
        <v>6503</v>
      </c>
      <c r="AS805" s="21">
        <v>223</v>
      </c>
      <c r="AT805" s="21">
        <v>434</v>
      </c>
      <c r="AU805" s="21">
        <v>1197</v>
      </c>
      <c r="AV805" s="21">
        <v>2097</v>
      </c>
    </row>
    <row r="806" spans="1:48" x14ac:dyDescent="0.15">
      <c r="A806" s="20" t="s">
        <v>54</v>
      </c>
      <c r="B806" s="20" t="s">
        <v>118</v>
      </c>
      <c r="C806" s="21">
        <v>52420</v>
      </c>
      <c r="D806" s="21">
        <v>8484</v>
      </c>
      <c r="E806" s="21">
        <v>-2</v>
      </c>
      <c r="F806" s="21">
        <v>60902</v>
      </c>
      <c r="G806" s="21">
        <v>2711</v>
      </c>
      <c r="H806" s="21">
        <v>4781</v>
      </c>
      <c r="I806" s="21">
        <v>1796</v>
      </c>
      <c r="J806" s="21">
        <v>4786</v>
      </c>
      <c r="K806" s="21">
        <v>46388</v>
      </c>
      <c r="L806" s="21">
        <v>321</v>
      </c>
      <c r="M806" s="21">
        <v>0.88390000000000002</v>
      </c>
      <c r="N806" s="21">
        <v>0.80169999999999997</v>
      </c>
      <c r="O806" s="21">
        <v>0.79320000000000002</v>
      </c>
      <c r="P806" s="21">
        <v>2921</v>
      </c>
      <c r="Q806" s="21">
        <v>0.50629999999999997</v>
      </c>
      <c r="R806" s="21">
        <v>185</v>
      </c>
      <c r="S806" s="21">
        <v>21</v>
      </c>
      <c r="T806" s="21">
        <v>7.2400000000000006E-2</v>
      </c>
      <c r="U806" s="21">
        <v>3.5799999999999998E-2</v>
      </c>
      <c r="W806" s="21">
        <v>769</v>
      </c>
      <c r="X806" s="21">
        <v>357</v>
      </c>
      <c r="Y806" s="21">
        <v>530</v>
      </c>
      <c r="Z806" s="21">
        <v>0.5</v>
      </c>
      <c r="AA806" s="21">
        <v>0.7</v>
      </c>
      <c r="AB806" s="21">
        <v>687</v>
      </c>
      <c r="AC806" s="21">
        <v>687</v>
      </c>
      <c r="AD806" s="21">
        <v>774</v>
      </c>
      <c r="AE806" s="21">
        <v>112</v>
      </c>
      <c r="AF806" s="21">
        <v>0.13020000000000001</v>
      </c>
      <c r="AG806" s="21">
        <v>285</v>
      </c>
      <c r="AH806" s="21">
        <v>0.33139999999999997</v>
      </c>
      <c r="AI806" s="21">
        <v>0.23080000000000001</v>
      </c>
      <c r="AJ806" s="21">
        <v>0.2414</v>
      </c>
      <c r="AK806" s="21">
        <v>269</v>
      </c>
      <c r="AL806" s="21">
        <v>0.3478</v>
      </c>
      <c r="AM806" s="21">
        <v>234</v>
      </c>
      <c r="AN806" s="21">
        <v>0.30249999999999999</v>
      </c>
      <c r="AP806" s="21">
        <v>231</v>
      </c>
      <c r="AQ806" s="21">
        <v>231</v>
      </c>
      <c r="AR806" s="21">
        <v>227</v>
      </c>
      <c r="AS806" s="21">
        <v>2</v>
      </c>
      <c r="AT806" s="21">
        <v>3</v>
      </c>
      <c r="AU806" s="21">
        <v>0</v>
      </c>
      <c r="AV806" s="21">
        <v>0</v>
      </c>
    </row>
    <row r="807" spans="1:48" x14ac:dyDescent="0.15">
      <c r="A807" s="20" t="s">
        <v>55</v>
      </c>
      <c r="B807" s="20" t="s">
        <v>118</v>
      </c>
      <c r="C807" s="21">
        <v>1629</v>
      </c>
      <c r="D807" s="21">
        <v>1208</v>
      </c>
      <c r="E807" s="21">
        <v>0</v>
      </c>
      <c r="F807" s="21">
        <v>2837</v>
      </c>
      <c r="G807" s="21">
        <v>112</v>
      </c>
      <c r="H807" s="21">
        <v>1572</v>
      </c>
      <c r="I807" s="21">
        <v>1152</v>
      </c>
      <c r="L807" s="21">
        <v>157</v>
      </c>
      <c r="M807" s="21">
        <v>0.83819999999999995</v>
      </c>
      <c r="N807" s="21">
        <v>0.54910000000000003</v>
      </c>
      <c r="O807" s="21">
        <v>0.69940000000000002</v>
      </c>
      <c r="P807" s="21">
        <v>1123</v>
      </c>
      <c r="Q807" s="21">
        <v>0.21640000000000001</v>
      </c>
      <c r="R807" s="21">
        <v>18</v>
      </c>
      <c r="S807" s="21">
        <v>3</v>
      </c>
      <c r="T807" s="21">
        <v>0.22819999999999999</v>
      </c>
      <c r="U807" s="21">
        <v>6.9999999999999999E-4</v>
      </c>
      <c r="AB807" s="21">
        <v>0</v>
      </c>
      <c r="AC807" s="21">
        <v>0</v>
      </c>
      <c r="AD807" s="21">
        <v>0</v>
      </c>
      <c r="AE807" s="21">
        <v>0</v>
      </c>
      <c r="AF807" s="21">
        <v>0</v>
      </c>
      <c r="AG807" s="21">
        <v>0</v>
      </c>
      <c r="AH807" s="21">
        <v>0</v>
      </c>
      <c r="AI807" s="21">
        <v>0</v>
      </c>
      <c r="AJ807" s="21">
        <v>0</v>
      </c>
      <c r="AK807" s="21">
        <v>0</v>
      </c>
      <c r="AL807" s="21">
        <v>0</v>
      </c>
      <c r="AM807" s="21">
        <v>0</v>
      </c>
      <c r="AN807" s="21">
        <v>0</v>
      </c>
      <c r="AP807" s="21">
        <v>93</v>
      </c>
      <c r="AQ807" s="21">
        <v>93</v>
      </c>
      <c r="AR807" s="21">
        <v>59</v>
      </c>
      <c r="AS807" s="21">
        <v>35</v>
      </c>
      <c r="AU807" s="21">
        <v>0</v>
      </c>
      <c r="AV807" s="21">
        <v>0</v>
      </c>
    </row>
    <row r="808" spans="1:48" x14ac:dyDescent="0.15">
      <c r="A808" s="20" t="s">
        <v>56</v>
      </c>
      <c r="B808" s="20" t="s">
        <v>118</v>
      </c>
      <c r="C808" s="21">
        <v>6768</v>
      </c>
      <c r="D808" s="21">
        <v>884</v>
      </c>
      <c r="E808" s="21">
        <v>-20</v>
      </c>
      <c r="F808" s="21">
        <v>7632</v>
      </c>
      <c r="G808" s="21">
        <v>0</v>
      </c>
      <c r="H808" s="21">
        <v>1040</v>
      </c>
      <c r="J808" s="21">
        <v>1663</v>
      </c>
      <c r="K808" s="21">
        <v>4929</v>
      </c>
      <c r="L808" s="21">
        <v>189</v>
      </c>
      <c r="M808" s="21">
        <v>0.65480000000000005</v>
      </c>
      <c r="N808" s="21">
        <v>0.53300000000000003</v>
      </c>
      <c r="O808" s="21">
        <v>0.31979999999999997</v>
      </c>
      <c r="P808" s="21">
        <v>1503</v>
      </c>
      <c r="Q808" s="21">
        <v>0.159</v>
      </c>
      <c r="R808" s="21">
        <v>40</v>
      </c>
      <c r="S808" s="21">
        <v>5</v>
      </c>
      <c r="T808" s="21">
        <v>5.5899999999999998E-2</v>
      </c>
      <c r="U808" s="21">
        <v>0.161</v>
      </c>
      <c r="W808" s="21">
        <v>186</v>
      </c>
      <c r="X808" s="21">
        <v>94</v>
      </c>
      <c r="Y808" s="21">
        <v>144</v>
      </c>
      <c r="Z808" s="21">
        <v>1.1000000000000001</v>
      </c>
      <c r="AA808" s="21">
        <v>0.7</v>
      </c>
      <c r="AB808" s="21">
        <v>80</v>
      </c>
      <c r="AC808" s="21">
        <v>80</v>
      </c>
      <c r="AD808" s="21">
        <v>84</v>
      </c>
      <c r="AE808" s="21">
        <v>12</v>
      </c>
      <c r="AF808" s="21">
        <v>0.13639999999999999</v>
      </c>
      <c r="AG808" s="21">
        <v>20</v>
      </c>
      <c r="AH808" s="21">
        <v>0.2273</v>
      </c>
      <c r="AI808" s="21">
        <v>0.25</v>
      </c>
      <c r="AJ808" s="21">
        <v>0.1154</v>
      </c>
      <c r="AK808" s="21">
        <v>42</v>
      </c>
      <c r="AL808" s="21">
        <v>0.5</v>
      </c>
      <c r="AM808" s="21">
        <v>33</v>
      </c>
      <c r="AN808" s="21">
        <v>0.39290000000000003</v>
      </c>
      <c r="AO808" s="21">
        <v>0.6391</v>
      </c>
      <c r="AP808" s="21">
        <v>494</v>
      </c>
      <c r="AQ808" s="21">
        <v>494</v>
      </c>
      <c r="AR808" s="21">
        <v>487</v>
      </c>
      <c r="AS808" s="21">
        <v>8</v>
      </c>
      <c r="AU808" s="21">
        <v>0</v>
      </c>
      <c r="AV808" s="21">
        <v>49</v>
      </c>
    </row>
    <row r="809" spans="1:48" x14ac:dyDescent="0.15">
      <c r="A809" s="20" t="s">
        <v>57</v>
      </c>
      <c r="B809" s="20" t="s">
        <v>118</v>
      </c>
      <c r="C809" s="21">
        <v>14212</v>
      </c>
      <c r="D809" s="21">
        <v>13960</v>
      </c>
      <c r="E809" s="21">
        <v>0</v>
      </c>
      <c r="F809" s="21">
        <v>28172</v>
      </c>
      <c r="G809" s="21">
        <v>4637</v>
      </c>
      <c r="H809" s="21">
        <v>5470</v>
      </c>
      <c r="I809" s="21">
        <v>3736</v>
      </c>
      <c r="J809" s="21">
        <v>13943</v>
      </c>
      <c r="K809" s="21">
        <v>387</v>
      </c>
      <c r="L809" s="21">
        <v>348</v>
      </c>
      <c r="M809" s="21">
        <v>0.66479999999999995</v>
      </c>
      <c r="N809" s="21">
        <v>0.43680000000000002</v>
      </c>
      <c r="O809" s="21">
        <v>0.6099</v>
      </c>
      <c r="P809" s="21">
        <v>631</v>
      </c>
      <c r="Q809" s="21">
        <v>0.51190000000000002</v>
      </c>
      <c r="R809" s="21">
        <v>78</v>
      </c>
      <c r="S809" s="21">
        <v>45</v>
      </c>
      <c r="T809" s="21">
        <v>0.08</v>
      </c>
      <c r="U809" s="21">
        <v>7.9399999999999998E-2</v>
      </c>
      <c r="V809" s="21">
        <v>0.72899999999999998</v>
      </c>
      <c r="W809" s="21">
        <v>904</v>
      </c>
      <c r="X809" s="21">
        <v>525</v>
      </c>
      <c r="Y809" s="21">
        <v>607</v>
      </c>
      <c r="Z809" s="21">
        <v>0.6</v>
      </c>
      <c r="AA809" s="21">
        <v>0.9</v>
      </c>
      <c r="AB809" s="21">
        <v>919</v>
      </c>
      <c r="AC809" s="21">
        <v>919</v>
      </c>
      <c r="AD809" s="21">
        <v>884</v>
      </c>
      <c r="AE809" s="21">
        <v>183</v>
      </c>
      <c r="AF809" s="21">
        <v>0.2155</v>
      </c>
      <c r="AG809" s="21">
        <v>113</v>
      </c>
      <c r="AH809" s="21">
        <v>0.1331</v>
      </c>
      <c r="AI809" s="21">
        <v>9.8400000000000001E-2</v>
      </c>
      <c r="AJ809" s="21">
        <v>0.30930000000000002</v>
      </c>
      <c r="AK809" s="21">
        <v>322</v>
      </c>
      <c r="AL809" s="21">
        <v>0.36430000000000001</v>
      </c>
      <c r="AM809" s="21">
        <v>263</v>
      </c>
      <c r="AN809" s="21">
        <v>0.29749999999999999</v>
      </c>
      <c r="AO809" s="21">
        <v>0.88419999999999999</v>
      </c>
      <c r="AP809" s="21">
        <v>3857</v>
      </c>
      <c r="AQ809" s="21">
        <v>3657</v>
      </c>
      <c r="AR809" s="21">
        <v>3437</v>
      </c>
      <c r="AS809" s="21">
        <v>30</v>
      </c>
      <c r="AT809" s="21">
        <v>190</v>
      </c>
      <c r="AU809" s="21">
        <v>353</v>
      </c>
      <c r="AV809" s="21">
        <v>256</v>
      </c>
    </row>
    <row r="810" spans="1:48" x14ac:dyDescent="0.15">
      <c r="A810" s="20" t="s">
        <v>58</v>
      </c>
      <c r="B810" s="20" t="s">
        <v>118</v>
      </c>
      <c r="C810" s="21">
        <v>30968</v>
      </c>
      <c r="D810" s="21">
        <v>8060</v>
      </c>
      <c r="E810" s="21">
        <v>-15</v>
      </c>
      <c r="F810" s="21">
        <v>39013</v>
      </c>
      <c r="G810" s="21">
        <v>4390</v>
      </c>
      <c r="H810" s="21">
        <v>15687</v>
      </c>
      <c r="J810" s="21">
        <v>2520</v>
      </c>
      <c r="K810" s="21">
        <v>16416</v>
      </c>
      <c r="L810" s="21">
        <v>334</v>
      </c>
      <c r="M810" s="21">
        <v>0.82150000000000001</v>
      </c>
      <c r="N810" s="21">
        <v>0.7762</v>
      </c>
      <c r="O810" s="21">
        <v>0.73370000000000002</v>
      </c>
      <c r="P810" s="21">
        <v>2196</v>
      </c>
      <c r="Q810" s="21">
        <v>0.51090000000000002</v>
      </c>
      <c r="R810" s="21">
        <v>114</v>
      </c>
      <c r="S810" s="21">
        <v>18</v>
      </c>
      <c r="T810" s="21">
        <v>0.17330000000000001</v>
      </c>
      <c r="U810" s="21">
        <v>9.01E-2</v>
      </c>
      <c r="W810" s="21">
        <v>4032</v>
      </c>
      <c r="X810" s="21">
        <v>1459</v>
      </c>
      <c r="Y810" s="21">
        <v>2286</v>
      </c>
      <c r="Z810" s="21">
        <v>0.5</v>
      </c>
      <c r="AA810" s="21">
        <v>0.6</v>
      </c>
      <c r="AB810" s="21">
        <v>3098</v>
      </c>
      <c r="AC810" s="21">
        <v>3098</v>
      </c>
      <c r="AD810" s="21">
        <v>3050</v>
      </c>
      <c r="AE810" s="21">
        <v>233</v>
      </c>
      <c r="AF810" s="21">
        <v>7.7600000000000002E-2</v>
      </c>
      <c r="AG810" s="21">
        <v>136</v>
      </c>
      <c r="AH810" s="21">
        <v>4.53E-2</v>
      </c>
      <c r="AI810" s="21">
        <v>0.1313</v>
      </c>
      <c r="AJ810" s="21">
        <v>0.71579999999999999</v>
      </c>
      <c r="AK810" s="21">
        <v>943</v>
      </c>
      <c r="AL810" s="21">
        <v>0.30919999999999997</v>
      </c>
      <c r="AM810" s="21">
        <v>797</v>
      </c>
      <c r="AN810" s="21">
        <v>0.26140000000000002</v>
      </c>
      <c r="AO810" s="21">
        <v>0.8911</v>
      </c>
      <c r="AP810" s="21">
        <v>1120</v>
      </c>
      <c r="AQ810" s="21">
        <v>1120</v>
      </c>
      <c r="AR810" s="21">
        <v>963</v>
      </c>
      <c r="AS810" s="21">
        <v>5</v>
      </c>
      <c r="AT810" s="21">
        <v>152</v>
      </c>
      <c r="AU810" s="21">
        <v>0</v>
      </c>
      <c r="AV810" s="21">
        <v>311</v>
      </c>
    </row>
    <row r="811" spans="1:48" x14ac:dyDescent="0.15">
      <c r="A811" s="20" t="s">
        <v>59</v>
      </c>
      <c r="B811" s="20" t="s">
        <v>118</v>
      </c>
      <c r="C811" s="21">
        <v>9927</v>
      </c>
      <c r="D811" s="21">
        <v>2641</v>
      </c>
      <c r="E811" s="21">
        <v>0</v>
      </c>
      <c r="F811" s="21">
        <v>12567</v>
      </c>
      <c r="G811" s="21">
        <v>993</v>
      </c>
      <c r="H811" s="21">
        <v>0</v>
      </c>
      <c r="I811" s="21">
        <v>207</v>
      </c>
      <c r="J811" s="21">
        <v>2088</v>
      </c>
      <c r="K811" s="21">
        <v>9280</v>
      </c>
      <c r="L811" s="21">
        <v>127</v>
      </c>
      <c r="M811" s="21">
        <v>0.73099999999999998</v>
      </c>
      <c r="N811" s="21">
        <v>0.67589999999999995</v>
      </c>
      <c r="O811" s="21">
        <v>0.61380000000000001</v>
      </c>
      <c r="P811" s="21">
        <v>1124</v>
      </c>
      <c r="Q811" s="21">
        <v>0.33450000000000002</v>
      </c>
      <c r="R811" s="21">
        <v>93</v>
      </c>
      <c r="S811" s="21">
        <v>11</v>
      </c>
      <c r="T811" s="21">
        <v>8.8400000000000006E-2</v>
      </c>
      <c r="U811" s="21">
        <v>5.4999999999999997E-3</v>
      </c>
      <c r="W811" s="21">
        <v>90</v>
      </c>
      <c r="X811" s="21">
        <v>22</v>
      </c>
      <c r="Y811" s="21">
        <v>27</v>
      </c>
      <c r="Z811" s="21">
        <v>1.8</v>
      </c>
      <c r="AA811" s="21">
        <v>0.8</v>
      </c>
      <c r="AB811" s="21">
        <v>10</v>
      </c>
      <c r="AC811" s="21">
        <v>10</v>
      </c>
      <c r="AD811" s="21">
        <v>12</v>
      </c>
      <c r="AE811" s="21">
        <v>0</v>
      </c>
      <c r="AF811" s="21">
        <v>0</v>
      </c>
      <c r="AG811" s="21">
        <v>5</v>
      </c>
      <c r="AH811" s="21">
        <v>0.33329999999999999</v>
      </c>
      <c r="AI811" s="21">
        <v>0</v>
      </c>
      <c r="AJ811" s="21">
        <v>0.125</v>
      </c>
      <c r="AK811" s="21">
        <v>8</v>
      </c>
      <c r="AL811" s="21">
        <v>0.64</v>
      </c>
      <c r="AM811" s="21">
        <v>5</v>
      </c>
      <c r="AN811" s="21">
        <v>0.4</v>
      </c>
      <c r="AP811" s="21">
        <v>131</v>
      </c>
      <c r="AQ811" s="21">
        <v>131</v>
      </c>
      <c r="AR811" s="21">
        <v>130</v>
      </c>
      <c r="AS811" s="21">
        <v>1</v>
      </c>
      <c r="AU811" s="21">
        <v>0</v>
      </c>
      <c r="AV811" s="21">
        <v>0</v>
      </c>
    </row>
    <row r="812" spans="1:48" x14ac:dyDescent="0.15">
      <c r="A812" s="20" t="s">
        <v>60</v>
      </c>
      <c r="B812" s="20" t="s">
        <v>118</v>
      </c>
      <c r="C812" s="21">
        <v>8844</v>
      </c>
      <c r="D812" s="21">
        <v>3538</v>
      </c>
      <c r="E812" s="21">
        <v>0</v>
      </c>
      <c r="F812" s="21">
        <v>12383</v>
      </c>
      <c r="G812" s="21">
        <v>1723</v>
      </c>
      <c r="H812" s="21">
        <v>3094</v>
      </c>
      <c r="I812" s="21">
        <v>4349</v>
      </c>
      <c r="J812" s="21">
        <v>666</v>
      </c>
      <c r="K812" s="21">
        <v>2551</v>
      </c>
      <c r="L812" s="21">
        <v>198</v>
      </c>
      <c r="M812" s="21">
        <v>0.64959999999999996</v>
      </c>
      <c r="N812" s="21">
        <v>0.52990000000000004</v>
      </c>
      <c r="O812" s="21">
        <v>0.55130000000000001</v>
      </c>
      <c r="P812" s="21">
        <v>319</v>
      </c>
      <c r="Q812" s="21">
        <v>0.69589999999999996</v>
      </c>
      <c r="R812" s="21">
        <v>57</v>
      </c>
      <c r="S812" s="21">
        <v>39</v>
      </c>
      <c r="T812" s="21">
        <v>7.2099999999999997E-2</v>
      </c>
      <c r="U812" s="21">
        <v>0.1014</v>
      </c>
      <c r="W812" s="21">
        <v>679</v>
      </c>
      <c r="X812" s="21">
        <v>356</v>
      </c>
      <c r="Y812" s="21">
        <v>515</v>
      </c>
      <c r="Z812" s="21">
        <v>0.4</v>
      </c>
      <c r="AA812" s="21">
        <v>0.7</v>
      </c>
      <c r="AB812" s="21">
        <v>821</v>
      </c>
      <c r="AC812" s="21">
        <v>659</v>
      </c>
      <c r="AD812" s="21">
        <v>797</v>
      </c>
      <c r="AE812" s="21">
        <v>261</v>
      </c>
      <c r="AF812" s="21">
        <v>0.33760000000000001</v>
      </c>
      <c r="AG812" s="21">
        <v>213</v>
      </c>
      <c r="AH812" s="21">
        <v>0.27550000000000002</v>
      </c>
      <c r="AI812" s="21">
        <v>0.1056</v>
      </c>
      <c r="AJ812" s="21">
        <v>0.24049999999999999</v>
      </c>
      <c r="AK812" s="21">
        <v>252</v>
      </c>
      <c r="AL812" s="21">
        <v>0.35220000000000001</v>
      </c>
      <c r="AM812" s="21">
        <v>196</v>
      </c>
      <c r="AN812" s="21">
        <v>0.27389999999999998</v>
      </c>
      <c r="AO812" s="21">
        <v>0.7782</v>
      </c>
      <c r="AP812" s="21">
        <v>159</v>
      </c>
      <c r="AQ812" s="21">
        <v>159</v>
      </c>
      <c r="AR812" s="21">
        <v>100</v>
      </c>
      <c r="AS812" s="21">
        <v>3</v>
      </c>
      <c r="AT812" s="21">
        <v>57</v>
      </c>
      <c r="AU812" s="21">
        <v>10</v>
      </c>
      <c r="AV812" s="21">
        <v>273</v>
      </c>
    </row>
    <row r="813" spans="1:48" x14ac:dyDescent="0.15">
      <c r="A813" s="20" t="s">
        <v>61</v>
      </c>
      <c r="B813" s="20" t="s">
        <v>118</v>
      </c>
      <c r="C813" s="21">
        <v>7422</v>
      </c>
      <c r="D813" s="21">
        <v>3908</v>
      </c>
      <c r="E813" s="21">
        <v>0</v>
      </c>
      <c r="F813" s="21">
        <v>11330</v>
      </c>
      <c r="G813" s="21">
        <v>3054</v>
      </c>
      <c r="H813" s="21">
        <v>3771</v>
      </c>
      <c r="I813" s="21">
        <v>1292</v>
      </c>
      <c r="J813" s="21">
        <v>730</v>
      </c>
      <c r="K813" s="21">
        <v>2321</v>
      </c>
      <c r="L813" s="21">
        <v>115</v>
      </c>
      <c r="M813" s="21">
        <v>0.76800000000000002</v>
      </c>
      <c r="N813" s="21">
        <v>0.624</v>
      </c>
      <c r="O813" s="21">
        <v>0.67200000000000004</v>
      </c>
      <c r="P813" s="21">
        <v>240</v>
      </c>
      <c r="Q813" s="21">
        <v>0.71250000000000002</v>
      </c>
      <c r="R813" s="21">
        <v>94</v>
      </c>
      <c r="S813" s="21">
        <v>47</v>
      </c>
      <c r="T813" s="21">
        <v>0.1042</v>
      </c>
      <c r="U813" s="21">
        <v>7.5899999999999995E-2</v>
      </c>
      <c r="V813" s="21">
        <v>1</v>
      </c>
      <c r="W813" s="21">
        <v>287</v>
      </c>
      <c r="X813" s="21">
        <v>222</v>
      </c>
      <c r="Y813" s="21">
        <v>260</v>
      </c>
      <c r="Z813" s="21">
        <v>0.6</v>
      </c>
      <c r="AA813" s="21">
        <v>0.9</v>
      </c>
      <c r="AB813" s="21">
        <v>309</v>
      </c>
      <c r="AC813" s="21">
        <v>309</v>
      </c>
      <c r="AD813" s="21">
        <v>386</v>
      </c>
      <c r="AE813" s="21">
        <v>87</v>
      </c>
      <c r="AF813" s="21">
        <v>0.1875</v>
      </c>
      <c r="AG813" s="21">
        <v>242</v>
      </c>
      <c r="AH813" s="21">
        <v>0.52159999999999995</v>
      </c>
      <c r="AI813" s="21">
        <v>0.23910000000000001</v>
      </c>
      <c r="AJ813" s="21">
        <v>0.39129999999999998</v>
      </c>
      <c r="AK813" s="21">
        <v>130</v>
      </c>
      <c r="AL813" s="21">
        <v>0.33639999999999998</v>
      </c>
      <c r="AM813" s="21">
        <v>95</v>
      </c>
      <c r="AN813" s="21">
        <v>0.24579999999999999</v>
      </c>
      <c r="AO813" s="21">
        <v>0.49220000000000003</v>
      </c>
      <c r="AP813" s="21">
        <v>62</v>
      </c>
      <c r="AQ813" s="21">
        <v>62</v>
      </c>
      <c r="AR813" s="21">
        <v>9</v>
      </c>
      <c r="AS813" s="21">
        <v>33</v>
      </c>
      <c r="AT813" s="21">
        <v>20</v>
      </c>
      <c r="AU813" s="21">
        <v>70</v>
      </c>
      <c r="AV813" s="21">
        <v>62</v>
      </c>
    </row>
    <row r="814" spans="1:48" x14ac:dyDescent="0.15">
      <c r="A814" s="20" t="s">
        <v>48</v>
      </c>
      <c r="B814" s="20" t="s">
        <v>119</v>
      </c>
      <c r="C814" s="21">
        <v>10586</v>
      </c>
      <c r="D814" s="21">
        <v>2336</v>
      </c>
      <c r="E814" s="21">
        <v>0</v>
      </c>
      <c r="F814" s="21">
        <v>12922</v>
      </c>
      <c r="G814" s="21">
        <v>465</v>
      </c>
      <c r="H814" s="21">
        <v>5744</v>
      </c>
      <c r="I814" s="21">
        <v>1497</v>
      </c>
      <c r="J814" s="21">
        <v>307</v>
      </c>
      <c r="K814" s="21">
        <v>2473</v>
      </c>
      <c r="L814" s="21">
        <v>290</v>
      </c>
      <c r="M814" s="21">
        <v>0.50339999999999996</v>
      </c>
      <c r="N814" s="21">
        <v>0.47239999999999999</v>
      </c>
      <c r="O814" s="21">
        <v>0.33100000000000002</v>
      </c>
      <c r="P814" s="21">
        <v>973</v>
      </c>
      <c r="Q814" s="21">
        <v>0.37309999999999999</v>
      </c>
      <c r="R814" s="21">
        <v>45</v>
      </c>
      <c r="S814" s="21">
        <v>13</v>
      </c>
      <c r="T814" s="21">
        <v>8.3799999999999999E-2</v>
      </c>
      <c r="U814" s="21">
        <v>0.13250000000000001</v>
      </c>
      <c r="W814" s="21">
        <v>33</v>
      </c>
      <c r="X814" s="21">
        <v>43</v>
      </c>
      <c r="Y814" s="21">
        <v>53</v>
      </c>
      <c r="Z814" s="21">
        <v>0.2</v>
      </c>
      <c r="AA814" s="21">
        <v>0.8</v>
      </c>
      <c r="AB814" s="21">
        <v>270</v>
      </c>
      <c r="AC814" s="21">
        <v>270</v>
      </c>
      <c r="AD814" s="21">
        <v>274</v>
      </c>
      <c r="AE814" s="21">
        <v>11</v>
      </c>
      <c r="AF814" s="21">
        <v>3.9699999999999999E-2</v>
      </c>
      <c r="AG814" s="21">
        <v>18</v>
      </c>
      <c r="AH814" s="21">
        <v>6.5000000000000002E-2</v>
      </c>
      <c r="AI814" s="21">
        <v>0</v>
      </c>
      <c r="AJ814" s="21">
        <v>0.57499999999999996</v>
      </c>
      <c r="AK814" s="21">
        <v>34</v>
      </c>
      <c r="AL814" s="21">
        <v>0.12429999999999999</v>
      </c>
      <c r="AM814" s="21">
        <v>22</v>
      </c>
      <c r="AN814" s="21">
        <v>8.0399999999999999E-2</v>
      </c>
      <c r="AO814" s="21">
        <v>0.92069999999999996</v>
      </c>
      <c r="AP814" s="21">
        <v>111</v>
      </c>
      <c r="AQ814" s="21">
        <v>111</v>
      </c>
      <c r="AR814" s="21">
        <v>98</v>
      </c>
      <c r="AS814" s="21">
        <v>0</v>
      </c>
      <c r="AT814" s="21">
        <v>13</v>
      </c>
      <c r="AU814" s="21">
        <v>337</v>
      </c>
      <c r="AV814" s="21">
        <v>90</v>
      </c>
    </row>
    <row r="815" spans="1:48" x14ac:dyDescent="0.15">
      <c r="A815" s="20" t="s">
        <v>50</v>
      </c>
      <c r="B815" s="20" t="s">
        <v>119</v>
      </c>
      <c r="C815" s="21">
        <v>10508</v>
      </c>
      <c r="D815" s="21">
        <v>6498</v>
      </c>
      <c r="E815" s="21">
        <v>0</v>
      </c>
      <c r="F815" s="21">
        <v>17005</v>
      </c>
      <c r="G815" s="21">
        <v>455</v>
      </c>
      <c r="H815" s="21">
        <v>12829</v>
      </c>
      <c r="I815" s="21">
        <v>0</v>
      </c>
      <c r="J815" s="21">
        <v>2361</v>
      </c>
      <c r="K815" s="21">
        <v>1360</v>
      </c>
      <c r="L815" s="21">
        <v>310</v>
      </c>
      <c r="M815" s="21">
        <v>0.84189999999999998</v>
      </c>
      <c r="N815" s="21">
        <v>0.70320000000000005</v>
      </c>
      <c r="O815" s="21">
        <v>0.71940000000000004</v>
      </c>
      <c r="P815" s="21">
        <v>640</v>
      </c>
      <c r="Q815" s="21">
        <v>0.62339999999999995</v>
      </c>
      <c r="R815" s="21">
        <v>55</v>
      </c>
      <c r="S815" s="21">
        <v>27</v>
      </c>
      <c r="T815" s="21">
        <v>9.9400000000000002E-2</v>
      </c>
      <c r="U815" s="21">
        <v>0.1179</v>
      </c>
      <c r="V815" s="21">
        <v>0.89470000000000005</v>
      </c>
      <c r="W815" s="21">
        <v>135</v>
      </c>
      <c r="X815" s="21">
        <v>209</v>
      </c>
      <c r="Y815" s="21">
        <v>186</v>
      </c>
      <c r="Z815" s="21">
        <v>0.4</v>
      </c>
      <c r="AA815" s="21">
        <v>1.1000000000000001</v>
      </c>
      <c r="AB815" s="21">
        <v>581</v>
      </c>
      <c r="AC815" s="21">
        <v>580</v>
      </c>
      <c r="AD815" s="21">
        <v>593</v>
      </c>
      <c r="AE815" s="21">
        <v>61</v>
      </c>
      <c r="AF815" s="21">
        <v>0.1008</v>
      </c>
      <c r="AG815" s="21">
        <v>85</v>
      </c>
      <c r="AH815" s="21">
        <v>0.14050000000000001</v>
      </c>
      <c r="AI815" s="21">
        <v>0.52380000000000004</v>
      </c>
      <c r="AJ815" s="21">
        <v>0.2979</v>
      </c>
      <c r="AK815" s="21">
        <v>155</v>
      </c>
      <c r="AL815" s="21">
        <v>0.26179999999999998</v>
      </c>
      <c r="AM815" s="21">
        <v>133</v>
      </c>
      <c r="AN815" s="21">
        <v>0.22470000000000001</v>
      </c>
      <c r="AO815" s="21">
        <v>0.8992</v>
      </c>
      <c r="AP815" s="21">
        <v>180</v>
      </c>
      <c r="AQ815" s="21">
        <v>180</v>
      </c>
      <c r="AR815" s="21">
        <v>158</v>
      </c>
      <c r="AS815" s="21">
        <v>20</v>
      </c>
      <c r="AT815" s="21">
        <v>2</v>
      </c>
      <c r="AU815" s="21">
        <v>178</v>
      </c>
      <c r="AV815" s="21">
        <v>77</v>
      </c>
    </row>
    <row r="816" spans="1:48" x14ac:dyDescent="0.15">
      <c r="A816" s="20" t="s">
        <v>51</v>
      </c>
      <c r="B816" s="20" t="s">
        <v>119</v>
      </c>
      <c r="C816" s="21">
        <v>49422</v>
      </c>
      <c r="D816" s="21">
        <v>9494</v>
      </c>
      <c r="E816" s="21">
        <v>0</v>
      </c>
      <c r="F816" s="21">
        <v>58916</v>
      </c>
      <c r="G816" s="21">
        <v>3906</v>
      </c>
      <c r="H816" s="21">
        <v>24838</v>
      </c>
      <c r="I816" s="21">
        <v>9222</v>
      </c>
      <c r="J816" s="21">
        <v>7217</v>
      </c>
      <c r="K816" s="21">
        <v>13265</v>
      </c>
      <c r="L816" s="21">
        <v>1241</v>
      </c>
      <c r="M816" s="21">
        <v>0.75239999999999996</v>
      </c>
      <c r="N816" s="21">
        <v>0.69810000000000005</v>
      </c>
      <c r="O816" s="21">
        <v>0.55910000000000004</v>
      </c>
      <c r="P816" s="21">
        <v>3629</v>
      </c>
      <c r="Q816" s="21">
        <v>0.52800000000000002</v>
      </c>
      <c r="R816" s="21">
        <v>47</v>
      </c>
      <c r="S816" s="21">
        <v>16</v>
      </c>
      <c r="T816" s="21">
        <v>0.10829999999999999</v>
      </c>
      <c r="U816" s="21">
        <v>0.1799</v>
      </c>
      <c r="V816" s="21">
        <v>1</v>
      </c>
      <c r="W816" s="21">
        <v>984</v>
      </c>
      <c r="X816" s="21">
        <v>1287</v>
      </c>
      <c r="Y816" s="21">
        <v>2108</v>
      </c>
      <c r="Z816" s="21">
        <v>0.2</v>
      </c>
      <c r="AA816" s="21">
        <v>0.6</v>
      </c>
      <c r="AB816" s="21">
        <v>8585</v>
      </c>
      <c r="AC816" s="21">
        <v>8585</v>
      </c>
      <c r="AD816" s="21">
        <v>8468</v>
      </c>
      <c r="AE816" s="21">
        <v>662</v>
      </c>
      <c r="AF816" s="21">
        <v>7.9299999999999995E-2</v>
      </c>
      <c r="AG816" s="21">
        <v>428</v>
      </c>
      <c r="AH816" s="21">
        <v>5.1299999999999998E-2</v>
      </c>
      <c r="AI816" s="21">
        <v>0.12920000000000001</v>
      </c>
      <c r="AJ816" s="21">
        <v>0.70199999999999996</v>
      </c>
      <c r="AK816" s="21">
        <v>1365</v>
      </c>
      <c r="AL816" s="21">
        <v>0.16250000000000001</v>
      </c>
      <c r="AM816" s="21">
        <v>1049</v>
      </c>
      <c r="AN816" s="21">
        <v>0.1249</v>
      </c>
      <c r="AO816" s="21">
        <v>0.69430000000000003</v>
      </c>
      <c r="AP816" s="21">
        <v>172</v>
      </c>
      <c r="AQ816" s="21">
        <v>172</v>
      </c>
      <c r="AR816" s="21">
        <v>164</v>
      </c>
      <c r="AS816" s="21">
        <v>6</v>
      </c>
      <c r="AT816" s="21">
        <v>1</v>
      </c>
      <c r="AU816" s="21">
        <v>3330</v>
      </c>
      <c r="AV816" s="21">
        <v>589</v>
      </c>
    </row>
    <row r="817" spans="1:48" x14ac:dyDescent="0.15">
      <c r="A817" s="20" t="s">
        <v>52</v>
      </c>
      <c r="B817" s="20" t="s">
        <v>119</v>
      </c>
      <c r="C817" s="21">
        <v>10211</v>
      </c>
      <c r="D817" s="21">
        <v>6276</v>
      </c>
      <c r="E817" s="21">
        <v>0</v>
      </c>
      <c r="F817" s="21">
        <v>16487</v>
      </c>
      <c r="G817" s="21">
        <v>4041</v>
      </c>
      <c r="H817" s="21">
        <v>5365</v>
      </c>
      <c r="I817" s="21">
        <v>2111</v>
      </c>
      <c r="J817" s="21">
        <v>3634</v>
      </c>
      <c r="K817" s="21">
        <v>1337</v>
      </c>
      <c r="L817" s="21">
        <v>335</v>
      </c>
      <c r="M817" s="21">
        <v>0.67159999999999997</v>
      </c>
      <c r="N817" s="21">
        <v>0.52239999999999998</v>
      </c>
      <c r="O817" s="21">
        <v>0.48659999999999998</v>
      </c>
      <c r="P817" s="21">
        <v>892</v>
      </c>
      <c r="Q817" s="21">
        <v>0.4294</v>
      </c>
      <c r="R817" s="21">
        <v>50</v>
      </c>
      <c r="S817" s="21">
        <v>18</v>
      </c>
      <c r="T817" s="21">
        <v>8.3599999999999994E-2</v>
      </c>
      <c r="U817" s="21">
        <v>0.1207</v>
      </c>
      <c r="V817" s="21">
        <v>0</v>
      </c>
      <c r="W817" s="21">
        <v>-45</v>
      </c>
      <c r="X817" s="21">
        <v>59</v>
      </c>
      <c r="Y817" s="21">
        <v>92</v>
      </c>
      <c r="Z817" s="21">
        <v>0.1</v>
      </c>
      <c r="AA817" s="21">
        <v>0.6</v>
      </c>
      <c r="AB817" s="21">
        <v>401</v>
      </c>
      <c r="AC817" s="21">
        <v>401</v>
      </c>
      <c r="AD817" s="21">
        <v>414</v>
      </c>
      <c r="AE817" s="21">
        <v>8</v>
      </c>
      <c r="AF817" s="21">
        <v>1.8800000000000001E-2</v>
      </c>
      <c r="AG817" s="21">
        <v>33</v>
      </c>
      <c r="AH817" s="21">
        <v>7.7499999999999999E-2</v>
      </c>
      <c r="AI817" s="21">
        <v>0</v>
      </c>
      <c r="AJ817" s="21">
        <v>0.50680000000000003</v>
      </c>
      <c r="AK817" s="21">
        <v>68</v>
      </c>
      <c r="AL817" s="21">
        <v>0.16439999999999999</v>
      </c>
      <c r="AM817" s="21">
        <v>52</v>
      </c>
      <c r="AN817" s="21">
        <v>0.1258</v>
      </c>
      <c r="AO817" s="21">
        <v>0.7782</v>
      </c>
      <c r="AP817" s="21">
        <v>88</v>
      </c>
      <c r="AQ817" s="21">
        <v>88</v>
      </c>
      <c r="AR817" s="21">
        <v>87</v>
      </c>
      <c r="AS817" s="21">
        <v>2</v>
      </c>
      <c r="AT817" s="21">
        <v>0</v>
      </c>
      <c r="AU817" s="21">
        <v>772</v>
      </c>
      <c r="AV817" s="21">
        <v>370</v>
      </c>
    </row>
    <row r="818" spans="1:48" x14ac:dyDescent="0.15">
      <c r="A818" s="20" t="s">
        <v>53</v>
      </c>
      <c r="B818" s="20" t="s">
        <v>119</v>
      </c>
      <c r="C818" s="21">
        <v>5274</v>
      </c>
      <c r="D818" s="21">
        <v>2477</v>
      </c>
      <c r="E818" s="21">
        <v>-50</v>
      </c>
      <c r="F818" s="21">
        <v>7701</v>
      </c>
      <c r="H818" s="21">
        <v>2528</v>
      </c>
      <c r="I818" s="21">
        <v>608</v>
      </c>
      <c r="J818" s="21">
        <v>4565</v>
      </c>
      <c r="K818" s="21">
        <v>0</v>
      </c>
      <c r="L818" s="21">
        <v>233</v>
      </c>
      <c r="M818" s="21">
        <v>0.74180000000000001</v>
      </c>
      <c r="N818" s="21">
        <v>0.49590000000000001</v>
      </c>
      <c r="O818" s="21">
        <v>0.65980000000000005</v>
      </c>
      <c r="P818" s="21">
        <v>1760</v>
      </c>
      <c r="Q818" s="21">
        <v>0.15970000000000001</v>
      </c>
      <c r="R818" s="21">
        <v>35</v>
      </c>
      <c r="S818" s="21">
        <v>4</v>
      </c>
      <c r="T818" s="21">
        <v>0.14050000000000001</v>
      </c>
      <c r="U818" s="21">
        <v>1.67E-2</v>
      </c>
      <c r="W818" s="21">
        <v>184</v>
      </c>
      <c r="X818" s="21">
        <v>254</v>
      </c>
      <c r="Y818" s="21">
        <v>323</v>
      </c>
      <c r="Z818" s="21">
        <v>0.2</v>
      </c>
      <c r="AA818" s="21">
        <v>0.8</v>
      </c>
      <c r="AB818" s="21">
        <v>1424</v>
      </c>
      <c r="AC818" s="21">
        <v>1424</v>
      </c>
      <c r="AD818" s="21">
        <v>1413</v>
      </c>
      <c r="AE818" s="21">
        <v>73</v>
      </c>
      <c r="AF818" s="21">
        <v>5.21E-2</v>
      </c>
      <c r="AG818" s="21">
        <v>51</v>
      </c>
      <c r="AH818" s="21">
        <v>3.6400000000000002E-2</v>
      </c>
      <c r="AI818" s="21">
        <v>0.34289999999999998</v>
      </c>
      <c r="AJ818" s="21">
        <v>0.59209999999999996</v>
      </c>
      <c r="AK818" s="21">
        <v>250</v>
      </c>
      <c r="AL818" s="21">
        <v>0.1769</v>
      </c>
      <c r="AM818" s="21">
        <v>216</v>
      </c>
      <c r="AN818" s="21">
        <v>0.15290000000000001</v>
      </c>
      <c r="AP818" s="21">
        <v>51</v>
      </c>
      <c r="AQ818" s="21">
        <v>51</v>
      </c>
      <c r="AR818" s="21">
        <v>49</v>
      </c>
      <c r="AS818" s="21">
        <v>2</v>
      </c>
      <c r="AT818" s="21">
        <v>0</v>
      </c>
      <c r="AU818" s="21">
        <v>0</v>
      </c>
      <c r="AV818" s="21">
        <v>0</v>
      </c>
    </row>
    <row r="819" spans="1:48" x14ac:dyDescent="0.15">
      <c r="A819" s="20" t="s">
        <v>0</v>
      </c>
      <c r="B819" s="20" t="s">
        <v>119</v>
      </c>
      <c r="C819" s="21">
        <v>179924</v>
      </c>
      <c r="D819" s="21">
        <v>59668</v>
      </c>
      <c r="E819" s="21">
        <v>-50</v>
      </c>
      <c r="F819" s="21">
        <v>239542</v>
      </c>
      <c r="G819" s="21">
        <v>25045</v>
      </c>
      <c r="H819" s="21">
        <v>78178</v>
      </c>
      <c r="I819" s="21">
        <v>25747</v>
      </c>
      <c r="J819" s="21">
        <v>39264</v>
      </c>
      <c r="K819" s="21">
        <v>66356</v>
      </c>
      <c r="L819" s="21">
        <v>4166</v>
      </c>
      <c r="M819" s="21">
        <v>0.72619999999999996</v>
      </c>
      <c r="N819" s="21">
        <v>0.61629999999999996</v>
      </c>
      <c r="O819" s="21">
        <v>0.57079999999999997</v>
      </c>
      <c r="P819" s="21">
        <v>17878</v>
      </c>
      <c r="Q819" s="21">
        <v>0.38890000000000002</v>
      </c>
      <c r="R819" s="21">
        <v>57</v>
      </c>
      <c r="S819" s="21">
        <v>13</v>
      </c>
      <c r="T819" s="21">
        <v>0.1191</v>
      </c>
      <c r="U819" s="21">
        <v>0.1142</v>
      </c>
      <c r="V819" s="21">
        <v>0.90649999999999997</v>
      </c>
      <c r="W819" s="21">
        <v>2123</v>
      </c>
      <c r="X819" s="21">
        <v>2971</v>
      </c>
      <c r="Y819" s="21">
        <v>4402</v>
      </c>
      <c r="Z819" s="21">
        <v>0.2</v>
      </c>
      <c r="AA819" s="21">
        <v>0.7</v>
      </c>
      <c r="AB819" s="21">
        <v>17206</v>
      </c>
      <c r="AC819" s="21">
        <v>16681</v>
      </c>
      <c r="AD819" s="21">
        <v>17096</v>
      </c>
      <c r="AE819" s="21">
        <v>1657</v>
      </c>
      <c r="AF819" s="21">
        <v>9.7600000000000006E-2</v>
      </c>
      <c r="AG819" s="21">
        <v>1436</v>
      </c>
      <c r="AH819" s="21">
        <v>8.4500000000000006E-2</v>
      </c>
      <c r="AI819" s="21">
        <v>0.1832</v>
      </c>
      <c r="AJ819" s="21">
        <v>0.53890000000000005</v>
      </c>
      <c r="AK819" s="21">
        <v>2887</v>
      </c>
      <c r="AL819" s="21">
        <v>0.17319999999999999</v>
      </c>
      <c r="AM819" s="21">
        <v>2294</v>
      </c>
      <c r="AN819" s="21">
        <v>0.1376</v>
      </c>
      <c r="AO819" s="21">
        <v>0.73640000000000005</v>
      </c>
      <c r="AP819" s="21">
        <v>1719</v>
      </c>
      <c r="AQ819" s="21">
        <v>1719</v>
      </c>
      <c r="AR819" s="21">
        <v>1572</v>
      </c>
      <c r="AS819" s="21">
        <v>60</v>
      </c>
      <c r="AT819" s="21">
        <v>88</v>
      </c>
      <c r="AU819" s="21">
        <v>9728</v>
      </c>
      <c r="AV819" s="21">
        <v>1630</v>
      </c>
    </row>
    <row r="820" spans="1:48" x14ac:dyDescent="0.15">
      <c r="A820" s="20" t="s">
        <v>54</v>
      </c>
      <c r="B820" s="20" t="s">
        <v>119</v>
      </c>
      <c r="C820" s="21">
        <v>23269</v>
      </c>
      <c r="D820" s="21">
        <v>3823</v>
      </c>
      <c r="E820" s="21">
        <v>0</v>
      </c>
      <c r="F820" s="21">
        <v>27092</v>
      </c>
      <c r="G820" s="21">
        <v>930</v>
      </c>
      <c r="H820" s="21">
        <v>1372</v>
      </c>
      <c r="I820" s="21">
        <v>1532</v>
      </c>
      <c r="J820" s="21">
        <v>3079</v>
      </c>
      <c r="K820" s="21">
        <v>20042</v>
      </c>
      <c r="L820" s="21">
        <v>309</v>
      </c>
      <c r="M820" s="21">
        <v>0.74219999999999997</v>
      </c>
      <c r="N820" s="21">
        <v>0.63349999999999995</v>
      </c>
      <c r="O820" s="21">
        <v>0.58699999999999997</v>
      </c>
      <c r="P820" s="21">
        <v>2842</v>
      </c>
      <c r="Q820" s="21">
        <v>0.3473</v>
      </c>
      <c r="R820" s="21">
        <v>86</v>
      </c>
      <c r="S820" s="21">
        <v>10</v>
      </c>
      <c r="T820" s="21">
        <v>0.17979999999999999</v>
      </c>
      <c r="U820" s="21">
        <v>3.4200000000000001E-2</v>
      </c>
      <c r="W820" s="21">
        <v>80</v>
      </c>
      <c r="X820" s="21">
        <v>127</v>
      </c>
      <c r="Y820" s="21">
        <v>190</v>
      </c>
      <c r="Z820" s="21">
        <v>0.2</v>
      </c>
      <c r="AA820" s="21">
        <v>0.7</v>
      </c>
      <c r="AB820" s="21">
        <v>713</v>
      </c>
      <c r="AC820" s="21">
        <v>671</v>
      </c>
      <c r="AD820" s="21">
        <v>700</v>
      </c>
      <c r="AE820" s="21">
        <v>67</v>
      </c>
      <c r="AF820" s="21">
        <v>9.7500000000000003E-2</v>
      </c>
      <c r="AG820" s="21">
        <v>41</v>
      </c>
      <c r="AH820" s="21">
        <v>5.9700000000000003E-2</v>
      </c>
      <c r="AI820" s="21">
        <v>0.1026</v>
      </c>
      <c r="AJ820" s="21">
        <v>0.25</v>
      </c>
      <c r="AK820" s="21">
        <v>126</v>
      </c>
      <c r="AL820" s="21">
        <v>0.18559999999999999</v>
      </c>
      <c r="AM820" s="21">
        <v>117</v>
      </c>
      <c r="AN820" s="21">
        <v>0.17230000000000001</v>
      </c>
      <c r="AP820" s="21">
        <v>138</v>
      </c>
      <c r="AQ820" s="21">
        <v>138</v>
      </c>
      <c r="AR820" s="21">
        <v>135</v>
      </c>
      <c r="AS820" s="21">
        <v>1</v>
      </c>
      <c r="AT820" s="21">
        <v>2</v>
      </c>
      <c r="AU820" s="21">
        <v>0</v>
      </c>
      <c r="AV820" s="21">
        <v>0</v>
      </c>
    </row>
    <row r="821" spans="1:48" x14ac:dyDescent="0.15">
      <c r="A821" s="20" t="s">
        <v>55</v>
      </c>
      <c r="B821" s="20" t="s">
        <v>119</v>
      </c>
      <c r="C821" s="21">
        <v>2799</v>
      </c>
      <c r="D821" s="21">
        <v>971</v>
      </c>
      <c r="E821" s="21">
        <v>0</v>
      </c>
      <c r="F821" s="21">
        <v>3769</v>
      </c>
      <c r="G821" s="21">
        <v>344</v>
      </c>
      <c r="H821" s="21">
        <v>2051</v>
      </c>
      <c r="I821" s="21">
        <v>1375</v>
      </c>
      <c r="L821" s="21">
        <v>156</v>
      </c>
      <c r="M821" s="21">
        <v>0.74390000000000001</v>
      </c>
      <c r="N821" s="21">
        <v>0.59150000000000003</v>
      </c>
      <c r="O821" s="21">
        <v>0.57930000000000004</v>
      </c>
      <c r="P821" s="21">
        <v>1093</v>
      </c>
      <c r="Q821" s="21">
        <v>0.1812</v>
      </c>
      <c r="R821" s="21">
        <v>24</v>
      </c>
      <c r="S821" s="21">
        <v>3</v>
      </c>
      <c r="T821" s="21">
        <v>0.19869999999999999</v>
      </c>
      <c r="U821" s="21">
        <v>1.1000000000000001E-3</v>
      </c>
      <c r="AB821" s="21">
        <v>277</v>
      </c>
      <c r="AC821" s="21">
        <v>0</v>
      </c>
      <c r="AD821" s="21">
        <v>138</v>
      </c>
      <c r="AE821" s="21">
        <v>280</v>
      </c>
      <c r="AF821" s="21">
        <v>0</v>
      </c>
      <c r="AG821" s="21">
        <v>3</v>
      </c>
      <c r="AH821" s="21">
        <v>0</v>
      </c>
      <c r="AI821" s="21">
        <v>0</v>
      </c>
      <c r="AJ821" s="21">
        <v>0</v>
      </c>
      <c r="AK821" s="21">
        <v>0</v>
      </c>
      <c r="AL821" s="21">
        <v>0</v>
      </c>
      <c r="AM821" s="21">
        <v>0</v>
      </c>
      <c r="AN821" s="21">
        <v>0</v>
      </c>
      <c r="AP821" s="21">
        <v>52</v>
      </c>
      <c r="AQ821" s="21">
        <v>52</v>
      </c>
      <c r="AR821" s="21">
        <v>51</v>
      </c>
      <c r="AS821" s="21">
        <v>1</v>
      </c>
      <c r="AU821" s="21">
        <v>0</v>
      </c>
      <c r="AV821" s="21">
        <v>0</v>
      </c>
    </row>
    <row r="822" spans="1:48" x14ac:dyDescent="0.15">
      <c r="A822" s="20" t="s">
        <v>56</v>
      </c>
      <c r="B822" s="20" t="s">
        <v>119</v>
      </c>
      <c r="C822" s="21">
        <v>10234</v>
      </c>
      <c r="D822" s="21">
        <v>1042</v>
      </c>
      <c r="E822" s="21">
        <v>0</v>
      </c>
      <c r="F822" s="21">
        <v>11277</v>
      </c>
      <c r="G822" s="21">
        <v>0</v>
      </c>
      <c r="H822" s="21">
        <v>876</v>
      </c>
      <c r="J822" s="21">
        <v>3341</v>
      </c>
      <c r="K822" s="21">
        <v>7061</v>
      </c>
      <c r="L822" s="21">
        <v>176</v>
      </c>
      <c r="M822" s="21">
        <v>0.62770000000000004</v>
      </c>
      <c r="N822" s="21">
        <v>0.59040000000000004</v>
      </c>
      <c r="O822" s="21">
        <v>0.27660000000000001</v>
      </c>
      <c r="P822" s="21">
        <v>1503</v>
      </c>
      <c r="Q822" s="21">
        <v>0.18160000000000001</v>
      </c>
      <c r="R822" s="21">
        <v>62</v>
      </c>
      <c r="S822" s="21">
        <v>8</v>
      </c>
      <c r="T822" s="21">
        <v>7.0199999999999999E-2</v>
      </c>
      <c r="U822" s="21">
        <v>0.15709999999999999</v>
      </c>
      <c r="W822" s="21">
        <v>37</v>
      </c>
      <c r="X822" s="21">
        <v>48</v>
      </c>
      <c r="Y822" s="21">
        <v>57</v>
      </c>
      <c r="Z822" s="21">
        <v>0.4</v>
      </c>
      <c r="AA822" s="21">
        <v>0.8</v>
      </c>
      <c r="AB822" s="21">
        <v>194</v>
      </c>
      <c r="AC822" s="21">
        <v>79</v>
      </c>
      <c r="AD822" s="21">
        <v>137</v>
      </c>
      <c r="AE822" s="21">
        <v>120</v>
      </c>
      <c r="AF822" s="21">
        <v>1.5</v>
      </c>
      <c r="AG822" s="21">
        <v>6</v>
      </c>
      <c r="AH822" s="21">
        <v>7.4999999999999997E-2</v>
      </c>
      <c r="AI822" s="21">
        <v>1</v>
      </c>
      <c r="AJ822" s="21">
        <v>0.33329999999999999</v>
      </c>
      <c r="AK822" s="21">
        <v>32</v>
      </c>
      <c r="AL822" s="21">
        <v>0.40250000000000002</v>
      </c>
      <c r="AM822" s="21">
        <v>29</v>
      </c>
      <c r="AN822" s="21">
        <v>0.36480000000000001</v>
      </c>
      <c r="AO822" s="21">
        <v>0.62860000000000005</v>
      </c>
      <c r="AP822" s="21">
        <v>457</v>
      </c>
      <c r="AQ822" s="21">
        <v>457</v>
      </c>
      <c r="AR822" s="21">
        <v>456</v>
      </c>
      <c r="AS822" s="21">
        <v>1</v>
      </c>
      <c r="AU822" s="21">
        <v>0</v>
      </c>
      <c r="AV822" s="21">
        <v>28</v>
      </c>
    </row>
    <row r="823" spans="1:48" x14ac:dyDescent="0.15">
      <c r="A823" s="20" t="s">
        <v>57</v>
      </c>
      <c r="B823" s="20" t="s">
        <v>119</v>
      </c>
      <c r="C823" s="21">
        <v>8692</v>
      </c>
      <c r="D823" s="21">
        <v>10533</v>
      </c>
      <c r="E823" s="21">
        <v>0</v>
      </c>
      <c r="F823" s="21">
        <v>19225</v>
      </c>
      <c r="G823" s="21">
        <v>5396</v>
      </c>
      <c r="H823" s="21">
        <v>2710</v>
      </c>
      <c r="I823" s="21">
        <v>3045</v>
      </c>
      <c r="J823" s="21">
        <v>7401</v>
      </c>
      <c r="K823" s="21">
        <v>674</v>
      </c>
      <c r="L823" s="21">
        <v>343</v>
      </c>
      <c r="M823" s="21">
        <v>0.63270000000000004</v>
      </c>
      <c r="N823" s="21">
        <v>0.32940000000000003</v>
      </c>
      <c r="O823" s="21">
        <v>0.56559999999999999</v>
      </c>
      <c r="P823" s="21">
        <v>641</v>
      </c>
      <c r="Q823" s="21">
        <v>0.45400000000000001</v>
      </c>
      <c r="R823" s="21">
        <v>56</v>
      </c>
      <c r="S823" s="21">
        <v>30</v>
      </c>
      <c r="T823" s="21">
        <v>0.13650000000000001</v>
      </c>
      <c r="U823" s="21">
        <v>7.3700000000000002E-2</v>
      </c>
      <c r="V823" s="21">
        <v>0.90039999999999998</v>
      </c>
      <c r="W823" s="21">
        <v>222</v>
      </c>
      <c r="X823" s="21">
        <v>258</v>
      </c>
      <c r="Y823" s="21">
        <v>373</v>
      </c>
      <c r="Z823" s="21">
        <v>0.3</v>
      </c>
      <c r="AA823" s="21">
        <v>0.7</v>
      </c>
      <c r="AB823" s="21">
        <v>911</v>
      </c>
      <c r="AC823" s="21">
        <v>911</v>
      </c>
      <c r="AD823" s="21">
        <v>915</v>
      </c>
      <c r="AE823" s="21">
        <v>72</v>
      </c>
      <c r="AF823" s="21">
        <v>7.8299999999999995E-2</v>
      </c>
      <c r="AG823" s="21">
        <v>80</v>
      </c>
      <c r="AH823" s="21">
        <v>8.7099999999999997E-2</v>
      </c>
      <c r="AI823" s="21">
        <v>0.1739</v>
      </c>
      <c r="AJ823" s="21">
        <v>0.38240000000000002</v>
      </c>
      <c r="AK823" s="21">
        <v>191</v>
      </c>
      <c r="AL823" s="21">
        <v>0.2087</v>
      </c>
      <c r="AM823" s="21">
        <v>157</v>
      </c>
      <c r="AN823" s="21">
        <v>0.1716</v>
      </c>
      <c r="AO823" s="21">
        <v>0.94020000000000004</v>
      </c>
      <c r="AP823" s="21">
        <v>151</v>
      </c>
      <c r="AQ823" s="21">
        <v>151</v>
      </c>
      <c r="AR823" s="21">
        <v>101</v>
      </c>
      <c r="AS823" s="21">
        <v>12</v>
      </c>
      <c r="AT823" s="21">
        <v>38</v>
      </c>
      <c r="AU823" s="21">
        <v>4395</v>
      </c>
      <c r="AV823" s="21">
        <v>195</v>
      </c>
    </row>
    <row r="824" spans="1:48" x14ac:dyDescent="0.15">
      <c r="A824" s="20" t="s">
        <v>58</v>
      </c>
      <c r="B824" s="20" t="s">
        <v>119</v>
      </c>
      <c r="C824" s="21">
        <v>28596</v>
      </c>
      <c r="D824" s="21">
        <v>6670</v>
      </c>
      <c r="E824" s="21">
        <v>0</v>
      </c>
      <c r="F824" s="21">
        <v>35266</v>
      </c>
      <c r="G824" s="21">
        <v>4669</v>
      </c>
      <c r="H824" s="21">
        <v>13309</v>
      </c>
      <c r="J824" s="21">
        <v>2197</v>
      </c>
      <c r="K824" s="21">
        <v>15091</v>
      </c>
      <c r="L824" s="21">
        <v>341</v>
      </c>
      <c r="M824" s="21">
        <v>0.85189999999999999</v>
      </c>
      <c r="N824" s="21">
        <v>0.78059999999999996</v>
      </c>
      <c r="O824" s="21">
        <v>0.77780000000000005</v>
      </c>
      <c r="P824" s="21">
        <v>2227</v>
      </c>
      <c r="Q824" s="21">
        <v>0.52759999999999996</v>
      </c>
      <c r="R824" s="21">
        <v>104</v>
      </c>
      <c r="S824" s="21">
        <v>16</v>
      </c>
      <c r="T824" s="21">
        <v>0.14699999999999999</v>
      </c>
      <c r="U824" s="21">
        <v>8.8499999999999995E-2</v>
      </c>
      <c r="W824" s="21">
        <v>377</v>
      </c>
      <c r="X824" s="21">
        <v>516</v>
      </c>
      <c r="Y824" s="21">
        <v>791</v>
      </c>
      <c r="Z824" s="21">
        <v>0.2</v>
      </c>
      <c r="AA824" s="21">
        <v>0.7</v>
      </c>
      <c r="AB824" s="21">
        <v>2732</v>
      </c>
      <c r="AC824" s="21">
        <v>2732</v>
      </c>
      <c r="AD824" s="21">
        <v>2915</v>
      </c>
      <c r="AE824" s="21">
        <v>170</v>
      </c>
      <c r="AF824" s="21">
        <v>5.4899999999999997E-2</v>
      </c>
      <c r="AG824" s="21">
        <v>536</v>
      </c>
      <c r="AH824" s="21">
        <v>0.17299999999999999</v>
      </c>
      <c r="AI824" s="21">
        <v>0.20169999999999999</v>
      </c>
      <c r="AJ824" s="21">
        <v>0.25900000000000001</v>
      </c>
      <c r="AK824" s="21">
        <v>516</v>
      </c>
      <c r="AL824" s="21">
        <v>0.17699999999999999</v>
      </c>
      <c r="AM824" s="21">
        <v>419</v>
      </c>
      <c r="AN824" s="21">
        <v>0.14369999999999999</v>
      </c>
      <c r="AO824" s="21">
        <v>0.73299999999999998</v>
      </c>
      <c r="AP824" s="21">
        <v>182</v>
      </c>
      <c r="AQ824" s="21">
        <v>182</v>
      </c>
      <c r="AR824" s="21">
        <v>181</v>
      </c>
      <c r="AS824" s="21">
        <v>1</v>
      </c>
      <c r="AT824" s="21">
        <v>0</v>
      </c>
      <c r="AU824" s="21">
        <v>232</v>
      </c>
      <c r="AV824" s="21">
        <v>159</v>
      </c>
    </row>
    <row r="825" spans="1:48" x14ac:dyDescent="0.15">
      <c r="A825" s="20" t="s">
        <v>59</v>
      </c>
      <c r="B825" s="20" t="s">
        <v>119</v>
      </c>
      <c r="C825" s="21">
        <v>4514</v>
      </c>
      <c r="D825" s="21">
        <v>2008</v>
      </c>
      <c r="E825" s="21">
        <v>0</v>
      </c>
      <c r="F825" s="21">
        <v>6522</v>
      </c>
      <c r="G825" s="21">
        <v>1408</v>
      </c>
      <c r="H825" s="21">
        <v>45</v>
      </c>
      <c r="I825" s="21">
        <v>171</v>
      </c>
      <c r="J825" s="21">
        <v>1634</v>
      </c>
      <c r="K825" s="21">
        <v>3262</v>
      </c>
      <c r="L825" s="21">
        <v>119</v>
      </c>
      <c r="M825" s="21">
        <v>0.64839999999999998</v>
      </c>
      <c r="N825" s="21">
        <v>0.55469999999999997</v>
      </c>
      <c r="O825" s="21">
        <v>0.55469999999999997</v>
      </c>
      <c r="P825" s="21">
        <v>1122</v>
      </c>
      <c r="Q825" s="21">
        <v>0.21929999999999999</v>
      </c>
      <c r="R825" s="21">
        <v>53</v>
      </c>
      <c r="S825" s="21">
        <v>6</v>
      </c>
      <c r="T825" s="21">
        <v>0.1022</v>
      </c>
      <c r="U825" s="21">
        <v>6.7999999999999996E-3</v>
      </c>
      <c r="W825" s="21">
        <v>11</v>
      </c>
      <c r="X825" s="21">
        <v>13</v>
      </c>
      <c r="Y825" s="21">
        <v>13</v>
      </c>
      <c r="Z825" s="21">
        <v>0.2</v>
      </c>
      <c r="AA825" s="21">
        <v>1</v>
      </c>
      <c r="AB825" s="21">
        <v>101</v>
      </c>
      <c r="AC825" s="21">
        <v>11</v>
      </c>
      <c r="AD825" s="21">
        <v>56</v>
      </c>
      <c r="AE825" s="21">
        <v>92</v>
      </c>
      <c r="AF825" s="21">
        <v>9.1999999999999993</v>
      </c>
      <c r="AG825" s="21">
        <v>1</v>
      </c>
      <c r="AH825" s="21">
        <v>0.1</v>
      </c>
      <c r="AI825" s="21">
        <v>0</v>
      </c>
      <c r="AJ825" s="21">
        <v>0</v>
      </c>
      <c r="AK825" s="21">
        <v>5</v>
      </c>
      <c r="AL825" s="21">
        <v>0.47620000000000001</v>
      </c>
      <c r="AM825" s="21">
        <v>4</v>
      </c>
      <c r="AN825" s="21">
        <v>0.38100000000000001</v>
      </c>
      <c r="AP825" s="21">
        <v>0</v>
      </c>
      <c r="AQ825" s="21">
        <v>0</v>
      </c>
      <c r="AR825" s="21">
        <v>0</v>
      </c>
      <c r="AS825" s="21">
        <v>0</v>
      </c>
      <c r="AU825" s="21">
        <v>0</v>
      </c>
      <c r="AV825" s="21">
        <v>0</v>
      </c>
    </row>
    <row r="826" spans="1:48" x14ac:dyDescent="0.15">
      <c r="A826" s="20" t="s">
        <v>60</v>
      </c>
      <c r="B826" s="20" t="s">
        <v>119</v>
      </c>
      <c r="C826" s="21">
        <v>8407</v>
      </c>
      <c r="D826" s="21">
        <v>4945</v>
      </c>
      <c r="E826" s="21">
        <v>0</v>
      </c>
      <c r="F826" s="21">
        <v>13352</v>
      </c>
      <c r="G826" s="21">
        <v>1123</v>
      </c>
      <c r="H826" s="21">
        <v>3649</v>
      </c>
      <c r="I826" s="21">
        <v>5194</v>
      </c>
      <c r="J826" s="21">
        <v>2046</v>
      </c>
      <c r="K826" s="21">
        <v>1340</v>
      </c>
      <c r="L826" s="21">
        <v>198</v>
      </c>
      <c r="M826" s="21">
        <v>0.75249999999999995</v>
      </c>
      <c r="N826" s="21">
        <v>0.66669999999999996</v>
      </c>
      <c r="O826" s="21">
        <v>0.64139999999999997</v>
      </c>
      <c r="P826" s="21">
        <v>316</v>
      </c>
      <c r="Q826" s="21">
        <v>0.78800000000000003</v>
      </c>
      <c r="R826" s="21">
        <v>67</v>
      </c>
      <c r="S826" s="21">
        <v>42</v>
      </c>
      <c r="T826" s="21">
        <v>6.3100000000000003E-2</v>
      </c>
      <c r="U826" s="21">
        <v>9.3799999999999994E-2</v>
      </c>
      <c r="W826" s="21">
        <v>90</v>
      </c>
      <c r="X826" s="21">
        <v>129</v>
      </c>
      <c r="Y826" s="21">
        <v>170</v>
      </c>
      <c r="Z826" s="21">
        <v>0.2</v>
      </c>
      <c r="AA826" s="21">
        <v>0.8</v>
      </c>
      <c r="AB826" s="21">
        <v>747</v>
      </c>
      <c r="AC826" s="21">
        <v>747</v>
      </c>
      <c r="AD826" s="21">
        <v>784</v>
      </c>
      <c r="AE826" s="21">
        <v>31</v>
      </c>
      <c r="AF826" s="21">
        <v>3.78E-2</v>
      </c>
      <c r="AG826" s="21">
        <v>105</v>
      </c>
      <c r="AH826" s="21">
        <v>0.12790000000000001</v>
      </c>
      <c r="AI826" s="21">
        <v>0</v>
      </c>
      <c r="AJ826" s="21">
        <v>0.25600000000000001</v>
      </c>
      <c r="AK826" s="21">
        <v>117</v>
      </c>
      <c r="AL826" s="21">
        <v>0.16980000000000001</v>
      </c>
      <c r="AM826" s="21">
        <v>79</v>
      </c>
      <c r="AN826" s="21">
        <v>0.1147</v>
      </c>
      <c r="AO826" s="21">
        <v>0.63129999999999997</v>
      </c>
      <c r="AP826" s="21">
        <v>110</v>
      </c>
      <c r="AQ826" s="21">
        <v>110</v>
      </c>
      <c r="AR826" s="21">
        <v>83</v>
      </c>
      <c r="AS826" s="21">
        <v>8</v>
      </c>
      <c r="AT826" s="21">
        <v>18</v>
      </c>
      <c r="AU826" s="21">
        <v>148</v>
      </c>
      <c r="AV826" s="21">
        <v>100</v>
      </c>
    </row>
    <row r="827" spans="1:48" x14ac:dyDescent="0.15">
      <c r="A827" s="20" t="s">
        <v>61</v>
      </c>
      <c r="B827" s="20" t="s">
        <v>119</v>
      </c>
      <c r="C827" s="21">
        <v>7413</v>
      </c>
      <c r="D827" s="21">
        <v>2594</v>
      </c>
      <c r="E827" s="21">
        <v>0</v>
      </c>
      <c r="F827" s="21">
        <v>10008</v>
      </c>
      <c r="G827" s="21">
        <v>2308</v>
      </c>
      <c r="H827" s="21">
        <v>2862</v>
      </c>
      <c r="I827" s="21">
        <v>994</v>
      </c>
      <c r="J827" s="21">
        <v>1482</v>
      </c>
      <c r="K827" s="21">
        <v>452</v>
      </c>
      <c r="L827" s="21">
        <v>115</v>
      </c>
      <c r="M827" s="21">
        <v>0.84350000000000003</v>
      </c>
      <c r="N827" s="21">
        <v>0.74780000000000002</v>
      </c>
      <c r="O827" s="21">
        <v>0.66090000000000004</v>
      </c>
      <c r="P827" s="21">
        <v>240</v>
      </c>
      <c r="Q827" s="21">
        <v>0.8</v>
      </c>
      <c r="R827" s="21">
        <v>87</v>
      </c>
      <c r="S827" s="21">
        <v>42</v>
      </c>
      <c r="T827" s="21">
        <v>8.4199999999999997E-2</v>
      </c>
      <c r="U827" s="21">
        <v>6.6100000000000006E-2</v>
      </c>
      <c r="V827" s="21">
        <v>1</v>
      </c>
      <c r="W827" s="21">
        <v>15</v>
      </c>
      <c r="X827" s="21">
        <v>27</v>
      </c>
      <c r="Y827" s="21">
        <v>46</v>
      </c>
      <c r="Z827" s="21">
        <v>0.1</v>
      </c>
      <c r="AA827" s="21">
        <v>0.6</v>
      </c>
      <c r="AB827" s="21">
        <v>270</v>
      </c>
      <c r="AC827" s="21">
        <v>270</v>
      </c>
      <c r="AD827" s="21">
        <v>290</v>
      </c>
      <c r="AE827" s="21">
        <v>10</v>
      </c>
      <c r="AF827" s="21">
        <v>3.2399999999999998E-2</v>
      </c>
      <c r="AG827" s="21">
        <v>49</v>
      </c>
      <c r="AH827" s="21">
        <v>0.15859999999999999</v>
      </c>
      <c r="AI827" s="21">
        <v>0.5</v>
      </c>
      <c r="AJ827" s="21">
        <v>0.26319999999999999</v>
      </c>
      <c r="AK827" s="21">
        <v>28</v>
      </c>
      <c r="AL827" s="21">
        <v>9.6699999999999994E-2</v>
      </c>
      <c r="AM827" s="21">
        <v>17</v>
      </c>
      <c r="AN827" s="21">
        <v>5.8700000000000002E-2</v>
      </c>
      <c r="AO827" s="21">
        <v>0.67179999999999995</v>
      </c>
      <c r="AP827" s="21">
        <v>26</v>
      </c>
      <c r="AQ827" s="21">
        <v>26</v>
      </c>
      <c r="AR827" s="21">
        <v>7</v>
      </c>
      <c r="AS827" s="21">
        <v>6</v>
      </c>
      <c r="AT827" s="21">
        <v>13</v>
      </c>
      <c r="AU827" s="21">
        <v>335</v>
      </c>
      <c r="AV827" s="21">
        <v>24</v>
      </c>
    </row>
    <row r="828" spans="1:48" x14ac:dyDescent="0.15">
      <c r="A828" s="20" t="s">
        <v>48</v>
      </c>
      <c r="B828" s="20" t="s">
        <v>120</v>
      </c>
      <c r="C828" s="21">
        <v>10112</v>
      </c>
      <c r="D828" s="21">
        <v>2887</v>
      </c>
      <c r="E828" s="21">
        <v>0</v>
      </c>
      <c r="F828" s="21">
        <v>13000</v>
      </c>
      <c r="G828" s="21">
        <v>514</v>
      </c>
      <c r="H828" s="21">
        <v>3903</v>
      </c>
      <c r="I828" s="21">
        <v>2146</v>
      </c>
      <c r="J828" s="21">
        <v>1452</v>
      </c>
      <c r="K828" s="21">
        <v>2640</v>
      </c>
      <c r="L828" s="21">
        <v>177</v>
      </c>
      <c r="M828" s="21">
        <v>0.78049999999999997</v>
      </c>
      <c r="N828" s="21">
        <v>0.68289999999999995</v>
      </c>
      <c r="O828" s="21">
        <v>0.55610000000000004</v>
      </c>
      <c r="P828" s="21">
        <v>967</v>
      </c>
      <c r="Q828" s="21">
        <v>0.4385</v>
      </c>
      <c r="R828" s="21">
        <v>68</v>
      </c>
      <c r="S828" s="21">
        <v>13</v>
      </c>
      <c r="T828" s="21">
        <v>0.10879999999999999</v>
      </c>
      <c r="U828" s="21">
        <v>0.1283</v>
      </c>
      <c r="W828" s="21">
        <v>26</v>
      </c>
      <c r="X828" s="21">
        <v>33</v>
      </c>
      <c r="Y828" s="21">
        <v>41</v>
      </c>
      <c r="Z828" s="21">
        <v>0.1</v>
      </c>
      <c r="AA828" s="21">
        <v>0.8</v>
      </c>
      <c r="AB828" s="21">
        <v>284</v>
      </c>
      <c r="AC828" s="21">
        <v>262</v>
      </c>
      <c r="AD828" s="21">
        <v>277</v>
      </c>
      <c r="AE828" s="21">
        <v>52</v>
      </c>
      <c r="AF828" s="21">
        <v>0.19259999999999999</v>
      </c>
      <c r="AG828" s="21">
        <v>38</v>
      </c>
      <c r="AH828" s="21">
        <v>0.14069999999999999</v>
      </c>
      <c r="AI828" s="21">
        <v>0.2</v>
      </c>
      <c r="AJ828" s="21">
        <v>0.7</v>
      </c>
      <c r="AK828" s="21">
        <v>27</v>
      </c>
      <c r="AL828" s="21">
        <v>0.10150000000000001</v>
      </c>
      <c r="AM828" s="21">
        <v>18</v>
      </c>
      <c r="AN828" s="21">
        <v>6.7699999999999996E-2</v>
      </c>
      <c r="AO828" s="21">
        <v>0.95289999999999997</v>
      </c>
      <c r="AP828" s="21">
        <v>135</v>
      </c>
      <c r="AQ828" s="21">
        <v>135</v>
      </c>
      <c r="AR828" s="21">
        <v>132</v>
      </c>
      <c r="AS828" s="21">
        <v>1</v>
      </c>
      <c r="AT828" s="21">
        <v>3</v>
      </c>
      <c r="AU828" s="21">
        <v>1117</v>
      </c>
      <c r="AV828" s="21">
        <v>282</v>
      </c>
    </row>
    <row r="829" spans="1:48" x14ac:dyDescent="0.15">
      <c r="A829" s="20" t="s">
        <v>50</v>
      </c>
      <c r="B829" s="20" t="s">
        <v>120</v>
      </c>
      <c r="C829" s="21">
        <v>8898</v>
      </c>
      <c r="D829" s="21">
        <v>8788</v>
      </c>
      <c r="E829" s="21">
        <v>0</v>
      </c>
      <c r="F829" s="21">
        <v>17686</v>
      </c>
      <c r="G829" s="21">
        <v>339</v>
      </c>
      <c r="H829" s="21">
        <v>14297</v>
      </c>
      <c r="I829" s="21">
        <v>0</v>
      </c>
      <c r="J829" s="21">
        <v>2142</v>
      </c>
      <c r="K829" s="21">
        <v>908</v>
      </c>
      <c r="L829" s="21">
        <v>284</v>
      </c>
      <c r="M829" s="21">
        <v>0.86</v>
      </c>
      <c r="N829" s="21">
        <v>0.63670000000000004</v>
      </c>
      <c r="O829" s="21">
        <v>0.8</v>
      </c>
      <c r="P829" s="21">
        <v>605</v>
      </c>
      <c r="Q829" s="21">
        <v>0.65449999999999997</v>
      </c>
      <c r="R829" s="21">
        <v>61</v>
      </c>
      <c r="S829" s="21">
        <v>29</v>
      </c>
      <c r="T829" s="21">
        <v>9.5000000000000001E-2</v>
      </c>
      <c r="U829" s="21">
        <v>0.111</v>
      </c>
      <c r="V829" s="21">
        <v>0.66669999999999996</v>
      </c>
      <c r="W829" s="21">
        <v>122</v>
      </c>
      <c r="X829" s="21">
        <v>198</v>
      </c>
      <c r="Y829" s="21">
        <v>211</v>
      </c>
      <c r="Z829" s="21">
        <v>0.3</v>
      </c>
      <c r="AA829" s="21">
        <v>0.9</v>
      </c>
      <c r="AB829" s="21">
        <v>708</v>
      </c>
      <c r="AC829" s="21">
        <v>557</v>
      </c>
      <c r="AD829" s="21">
        <v>644</v>
      </c>
      <c r="AE829" s="21">
        <v>173</v>
      </c>
      <c r="AF829" s="21">
        <v>0.29780000000000001</v>
      </c>
      <c r="AG829" s="21">
        <v>46</v>
      </c>
      <c r="AH829" s="21">
        <v>7.9200000000000007E-2</v>
      </c>
      <c r="AI829" s="21">
        <v>6.25E-2</v>
      </c>
      <c r="AJ829" s="21">
        <v>0.66180000000000005</v>
      </c>
      <c r="AK829" s="21">
        <v>177</v>
      </c>
      <c r="AL829" s="21">
        <v>0.31130000000000002</v>
      </c>
      <c r="AM829" s="21">
        <v>122</v>
      </c>
      <c r="AN829" s="21">
        <v>0.21460000000000001</v>
      </c>
      <c r="AO829" s="21">
        <v>0.94110000000000005</v>
      </c>
      <c r="AP829" s="21">
        <v>279</v>
      </c>
      <c r="AQ829" s="21">
        <v>279</v>
      </c>
      <c r="AR829" s="21">
        <v>239</v>
      </c>
      <c r="AS829" s="21">
        <v>20</v>
      </c>
      <c r="AT829" s="21">
        <v>19</v>
      </c>
      <c r="AU829" s="21">
        <v>1570</v>
      </c>
      <c r="AV829" s="21">
        <v>305</v>
      </c>
    </row>
    <row r="830" spans="1:48" x14ac:dyDescent="0.15">
      <c r="A830" s="20" t="s">
        <v>51</v>
      </c>
      <c r="B830" s="20" t="s">
        <v>120</v>
      </c>
      <c r="C830" s="21">
        <v>36923</v>
      </c>
      <c r="D830" s="21">
        <v>10769</v>
      </c>
      <c r="E830" s="21">
        <v>0</v>
      </c>
      <c r="F830" s="21">
        <v>47692</v>
      </c>
      <c r="G830" s="21">
        <v>2202</v>
      </c>
      <c r="H830" s="21">
        <v>17828</v>
      </c>
      <c r="I830" s="21">
        <v>7904</v>
      </c>
      <c r="J830" s="21">
        <v>6119</v>
      </c>
      <c r="K830" s="21">
        <v>13184</v>
      </c>
      <c r="L830" s="21">
        <v>1146</v>
      </c>
      <c r="M830" s="21">
        <v>0.75109999999999999</v>
      </c>
      <c r="N830" s="21">
        <v>0.66080000000000005</v>
      </c>
      <c r="O830" s="21">
        <v>0.62029999999999996</v>
      </c>
      <c r="P830" s="21">
        <v>3411</v>
      </c>
      <c r="Q830" s="21">
        <v>0.54590000000000005</v>
      </c>
      <c r="R830" s="21">
        <v>41</v>
      </c>
      <c r="S830" s="21">
        <v>14</v>
      </c>
      <c r="T830" s="21">
        <v>0.11890000000000001</v>
      </c>
      <c r="U830" s="21">
        <v>0.183</v>
      </c>
      <c r="V830" s="21">
        <v>1</v>
      </c>
      <c r="W830" s="21">
        <v>1068</v>
      </c>
      <c r="X830" s="21">
        <v>1479</v>
      </c>
      <c r="Y830" s="21">
        <v>2077</v>
      </c>
      <c r="Z830" s="21">
        <v>0.2</v>
      </c>
      <c r="AA830" s="21">
        <v>0.7</v>
      </c>
      <c r="AB830" s="21">
        <v>8784</v>
      </c>
      <c r="AC830" s="21">
        <v>8626</v>
      </c>
      <c r="AD830" s="21">
        <v>8684</v>
      </c>
      <c r="AE830" s="21">
        <v>691</v>
      </c>
      <c r="AF830" s="21">
        <v>8.0500000000000002E-2</v>
      </c>
      <c r="AG830" s="21">
        <v>492</v>
      </c>
      <c r="AH830" s="21">
        <v>5.7299999999999997E-2</v>
      </c>
      <c r="AI830" s="21">
        <v>0.12720000000000001</v>
      </c>
      <c r="AJ830" s="21">
        <v>0.67569999999999997</v>
      </c>
      <c r="AK830" s="21">
        <v>1421</v>
      </c>
      <c r="AL830" s="21">
        <v>0.16639999999999999</v>
      </c>
      <c r="AM830" s="21">
        <v>1043</v>
      </c>
      <c r="AN830" s="21">
        <v>0.1221</v>
      </c>
      <c r="AO830" s="21">
        <v>0.64880000000000004</v>
      </c>
      <c r="AP830" s="21">
        <v>171</v>
      </c>
      <c r="AQ830" s="21">
        <v>171</v>
      </c>
      <c r="AR830" s="21">
        <v>123</v>
      </c>
      <c r="AS830" s="21">
        <v>46</v>
      </c>
      <c r="AT830" s="21">
        <v>3</v>
      </c>
      <c r="AU830" s="21">
        <v>5076</v>
      </c>
      <c r="AV830" s="21">
        <v>966</v>
      </c>
    </row>
    <row r="831" spans="1:48" x14ac:dyDescent="0.15">
      <c r="A831" s="20" t="s">
        <v>52</v>
      </c>
      <c r="B831" s="20" t="s">
        <v>120</v>
      </c>
      <c r="C831" s="21">
        <v>13791</v>
      </c>
      <c r="D831" s="21">
        <v>6935</v>
      </c>
      <c r="E831" s="21">
        <v>0</v>
      </c>
      <c r="F831" s="21">
        <v>20726</v>
      </c>
      <c r="G831" s="21">
        <v>5766</v>
      </c>
      <c r="H831" s="21">
        <v>7511</v>
      </c>
      <c r="I831" s="21">
        <v>2150</v>
      </c>
      <c r="J831" s="21">
        <v>3186</v>
      </c>
      <c r="K831" s="21">
        <v>2112</v>
      </c>
      <c r="L831" s="21">
        <v>318</v>
      </c>
      <c r="M831" s="21">
        <v>0.76729999999999998</v>
      </c>
      <c r="N831" s="21">
        <v>0.57230000000000003</v>
      </c>
      <c r="O831" s="21">
        <v>0.60060000000000002</v>
      </c>
      <c r="P831" s="21">
        <v>921</v>
      </c>
      <c r="Q831" s="21">
        <v>0.46910000000000002</v>
      </c>
      <c r="R831" s="21">
        <v>66</v>
      </c>
      <c r="S831" s="21">
        <v>23</v>
      </c>
      <c r="T831" s="21">
        <v>8.7599999999999997E-2</v>
      </c>
      <c r="U831" s="21">
        <v>0.1212</v>
      </c>
      <c r="V831" s="21">
        <v>0.63260000000000005</v>
      </c>
      <c r="W831" s="21">
        <v>57</v>
      </c>
      <c r="X831" s="21">
        <v>64</v>
      </c>
      <c r="Y831" s="21">
        <v>87</v>
      </c>
      <c r="Z831" s="21">
        <v>0.2</v>
      </c>
      <c r="AA831" s="21">
        <v>0.7</v>
      </c>
      <c r="AB831" s="21">
        <v>402</v>
      </c>
      <c r="AC831" s="21">
        <v>402</v>
      </c>
      <c r="AD831" s="21">
        <v>402</v>
      </c>
      <c r="AE831" s="21">
        <v>21</v>
      </c>
      <c r="AF831" s="21">
        <v>5.2400000000000002E-2</v>
      </c>
      <c r="AG831" s="21">
        <v>20</v>
      </c>
      <c r="AH831" s="21">
        <v>4.99E-2</v>
      </c>
      <c r="AI831" s="21">
        <v>0.25</v>
      </c>
      <c r="AJ831" s="21">
        <v>0.51519999999999999</v>
      </c>
      <c r="AK831" s="21">
        <v>66</v>
      </c>
      <c r="AL831" s="21">
        <v>0.16439999999999999</v>
      </c>
      <c r="AM831" s="21">
        <v>41</v>
      </c>
      <c r="AN831" s="21">
        <v>0.1021</v>
      </c>
      <c r="AO831" s="21">
        <v>0.92930000000000001</v>
      </c>
      <c r="AP831" s="21">
        <v>118</v>
      </c>
      <c r="AQ831" s="21">
        <v>112</v>
      </c>
      <c r="AR831" s="21">
        <v>110</v>
      </c>
      <c r="AS831" s="21">
        <v>1</v>
      </c>
      <c r="AT831" s="21">
        <v>1</v>
      </c>
      <c r="AU831" s="21">
        <v>3387</v>
      </c>
      <c r="AV831" s="21">
        <v>394</v>
      </c>
    </row>
    <row r="832" spans="1:48" x14ac:dyDescent="0.15">
      <c r="A832" s="20" t="s">
        <v>53</v>
      </c>
      <c r="B832" s="20" t="s">
        <v>120</v>
      </c>
      <c r="C832" s="21">
        <v>2607</v>
      </c>
      <c r="D832" s="21">
        <v>2738</v>
      </c>
      <c r="E832" s="21">
        <v>0</v>
      </c>
      <c r="F832" s="21">
        <v>5345</v>
      </c>
      <c r="H832" s="21">
        <v>2353</v>
      </c>
      <c r="I832" s="21">
        <v>837</v>
      </c>
      <c r="J832" s="21">
        <v>2155</v>
      </c>
      <c r="K832" s="21">
        <v>0</v>
      </c>
      <c r="L832" s="21">
        <v>224</v>
      </c>
      <c r="M832" s="21">
        <v>0.73119999999999996</v>
      </c>
      <c r="N832" s="21">
        <v>0.4506</v>
      </c>
      <c r="O832" s="21">
        <v>0.6522</v>
      </c>
      <c r="P832" s="21">
        <v>1833</v>
      </c>
      <c r="Q832" s="21">
        <v>0.16750000000000001</v>
      </c>
      <c r="R832" s="21">
        <v>24</v>
      </c>
      <c r="S832" s="21">
        <v>3</v>
      </c>
      <c r="T832" s="21">
        <v>0.25119999999999998</v>
      </c>
      <c r="U832" s="21">
        <v>1.6400000000000001E-2</v>
      </c>
      <c r="W832" s="21">
        <v>292</v>
      </c>
      <c r="X832" s="21">
        <v>421</v>
      </c>
      <c r="Y832" s="21">
        <v>431</v>
      </c>
      <c r="Z832" s="21">
        <v>0.3</v>
      </c>
      <c r="AA832" s="21">
        <v>1</v>
      </c>
      <c r="AB832" s="21">
        <v>1720</v>
      </c>
      <c r="AC832" s="21">
        <v>1331</v>
      </c>
      <c r="AD832" s="21">
        <v>1572</v>
      </c>
      <c r="AE832" s="21">
        <v>526</v>
      </c>
      <c r="AF832" s="21">
        <v>0.36940000000000001</v>
      </c>
      <c r="AG832" s="21">
        <v>230</v>
      </c>
      <c r="AH832" s="21">
        <v>0.1615</v>
      </c>
      <c r="AI832" s="21">
        <v>0.1867</v>
      </c>
      <c r="AJ832" s="21">
        <v>0.42080000000000001</v>
      </c>
      <c r="AK832" s="21">
        <v>354</v>
      </c>
      <c r="AL832" s="21">
        <v>0.25700000000000001</v>
      </c>
      <c r="AM832" s="21">
        <v>315</v>
      </c>
      <c r="AN832" s="21">
        <v>0.22869999999999999</v>
      </c>
      <c r="AP832" s="21">
        <v>95</v>
      </c>
      <c r="AQ832" s="21">
        <v>95</v>
      </c>
      <c r="AR832" s="21">
        <v>57</v>
      </c>
      <c r="AS832" s="21">
        <v>0</v>
      </c>
      <c r="AT832" s="21">
        <v>38</v>
      </c>
      <c r="AU832" s="21">
        <v>0</v>
      </c>
      <c r="AV832" s="21">
        <v>0</v>
      </c>
    </row>
    <row r="833" spans="1:48" x14ac:dyDescent="0.15">
      <c r="A833" s="20" t="s">
        <v>0</v>
      </c>
      <c r="B833" s="20" t="s">
        <v>120</v>
      </c>
      <c r="C833" s="21">
        <v>174011</v>
      </c>
      <c r="D833" s="21">
        <v>68982</v>
      </c>
      <c r="E833" s="21">
        <v>-20</v>
      </c>
      <c r="F833" s="21">
        <v>242973</v>
      </c>
      <c r="G833" s="21">
        <v>30276</v>
      </c>
      <c r="H833" s="21">
        <v>68404</v>
      </c>
      <c r="I833" s="21">
        <v>26645</v>
      </c>
      <c r="J833" s="21">
        <v>36587</v>
      </c>
      <c r="K833" s="21">
        <v>75300</v>
      </c>
      <c r="L833" s="21">
        <v>3767</v>
      </c>
      <c r="M833" s="21">
        <v>0.77229999999999999</v>
      </c>
      <c r="N833" s="21">
        <v>0.62439999999999996</v>
      </c>
      <c r="O833" s="21">
        <v>0.65269999999999995</v>
      </c>
      <c r="P833" s="21">
        <v>17330</v>
      </c>
      <c r="Q833" s="21">
        <v>0.41839999999999999</v>
      </c>
      <c r="R833" s="21">
        <v>63</v>
      </c>
      <c r="S833" s="21">
        <v>14</v>
      </c>
      <c r="T833" s="21">
        <v>0.1231</v>
      </c>
      <c r="U833" s="21">
        <v>0.114</v>
      </c>
      <c r="V833" s="21">
        <v>0.8458</v>
      </c>
      <c r="W833" s="21">
        <v>2730</v>
      </c>
      <c r="X833" s="21">
        <v>3455</v>
      </c>
      <c r="Y833" s="21">
        <v>4783</v>
      </c>
      <c r="Z833" s="21">
        <v>0.2</v>
      </c>
      <c r="AA833" s="21">
        <v>0.7</v>
      </c>
      <c r="AB833" s="21">
        <v>18190</v>
      </c>
      <c r="AC833" s="21">
        <v>17072</v>
      </c>
      <c r="AD833" s="21">
        <v>17698</v>
      </c>
      <c r="AE833" s="21">
        <v>2322</v>
      </c>
      <c r="AF833" s="21">
        <v>0.13500000000000001</v>
      </c>
      <c r="AG833" s="21">
        <v>1338</v>
      </c>
      <c r="AH833" s="21">
        <v>7.7799999999999994E-2</v>
      </c>
      <c r="AI833" s="21">
        <v>0.13639999999999999</v>
      </c>
      <c r="AJ833" s="21">
        <v>0.56200000000000006</v>
      </c>
      <c r="AK833" s="21">
        <v>3249</v>
      </c>
      <c r="AL833" s="21">
        <v>0.1913</v>
      </c>
      <c r="AM833" s="21">
        <v>2383</v>
      </c>
      <c r="AN833" s="21">
        <v>0.14030000000000001</v>
      </c>
      <c r="AO833" s="21">
        <v>0.68110000000000004</v>
      </c>
      <c r="AP833" s="21">
        <v>2586</v>
      </c>
      <c r="AQ833" s="21">
        <v>2487</v>
      </c>
      <c r="AR833" s="21">
        <v>2233</v>
      </c>
      <c r="AS833" s="21">
        <v>97</v>
      </c>
      <c r="AT833" s="21">
        <v>157</v>
      </c>
      <c r="AU833" s="21">
        <v>18466</v>
      </c>
      <c r="AV833" s="21">
        <v>2629</v>
      </c>
    </row>
    <row r="834" spans="1:48" x14ac:dyDescent="0.15">
      <c r="A834" s="20" t="s">
        <v>54</v>
      </c>
      <c r="B834" s="20" t="s">
        <v>120</v>
      </c>
      <c r="C834" s="21">
        <v>27974</v>
      </c>
      <c r="D834" s="21">
        <v>4792</v>
      </c>
      <c r="E834" s="21">
        <v>-20</v>
      </c>
      <c r="F834" s="21">
        <v>32746</v>
      </c>
      <c r="G834" s="21">
        <v>1546</v>
      </c>
      <c r="H834" s="21">
        <v>782</v>
      </c>
      <c r="I834" s="21">
        <v>1752</v>
      </c>
      <c r="J834" s="21">
        <v>3126</v>
      </c>
      <c r="K834" s="21">
        <v>25340</v>
      </c>
      <c r="L834" s="21">
        <v>296</v>
      </c>
      <c r="M834" s="21">
        <v>0.89539999999999997</v>
      </c>
      <c r="N834" s="21">
        <v>0.75819999999999999</v>
      </c>
      <c r="O834" s="21">
        <v>0.83009999999999995</v>
      </c>
      <c r="P834" s="21">
        <v>2359</v>
      </c>
      <c r="Q834" s="21">
        <v>0.49509999999999998</v>
      </c>
      <c r="R834" s="21">
        <v>110</v>
      </c>
      <c r="S834" s="21">
        <v>14</v>
      </c>
      <c r="T834" s="21">
        <v>0.10050000000000001</v>
      </c>
      <c r="U834" s="21">
        <v>3.1899999999999998E-2</v>
      </c>
      <c r="W834" s="21">
        <v>134</v>
      </c>
      <c r="X834" s="21">
        <v>143</v>
      </c>
      <c r="Y834" s="21">
        <v>233</v>
      </c>
      <c r="Z834" s="21">
        <v>0.2</v>
      </c>
      <c r="AA834" s="21">
        <v>0.6</v>
      </c>
      <c r="AB834" s="21">
        <v>717</v>
      </c>
      <c r="AC834" s="21">
        <v>625</v>
      </c>
      <c r="AD834" s="21">
        <v>715</v>
      </c>
      <c r="AE834" s="21">
        <v>114</v>
      </c>
      <c r="AF834" s="21">
        <v>0.15989999999999999</v>
      </c>
      <c r="AG834" s="21">
        <v>110</v>
      </c>
      <c r="AH834" s="21">
        <v>0.15429999999999999</v>
      </c>
      <c r="AI834" s="21">
        <v>0.22919999999999999</v>
      </c>
      <c r="AJ834" s="21">
        <v>0.4274</v>
      </c>
      <c r="AK834" s="21">
        <v>149</v>
      </c>
      <c r="AL834" s="21">
        <v>0.22270000000000001</v>
      </c>
      <c r="AM834" s="21">
        <v>120</v>
      </c>
      <c r="AN834" s="21">
        <v>0.1794</v>
      </c>
      <c r="AP834" s="21">
        <v>212</v>
      </c>
      <c r="AQ834" s="21">
        <v>212</v>
      </c>
      <c r="AR834" s="21">
        <v>199</v>
      </c>
      <c r="AS834" s="21">
        <v>2</v>
      </c>
      <c r="AT834" s="21">
        <v>11</v>
      </c>
      <c r="AU834" s="21">
        <v>3</v>
      </c>
      <c r="AV834" s="21">
        <v>0</v>
      </c>
    </row>
    <row r="835" spans="1:48" x14ac:dyDescent="0.15">
      <c r="A835" s="20" t="s">
        <v>55</v>
      </c>
      <c r="B835" s="20" t="s">
        <v>120</v>
      </c>
      <c r="C835" s="21">
        <v>4240</v>
      </c>
      <c r="D835" s="21">
        <v>964</v>
      </c>
      <c r="E835" s="21">
        <v>0</v>
      </c>
      <c r="F835" s="21">
        <v>5204</v>
      </c>
      <c r="G835" s="21">
        <v>716</v>
      </c>
      <c r="H835" s="21">
        <v>3278</v>
      </c>
      <c r="I835" s="21">
        <v>1210</v>
      </c>
      <c r="L835" s="21">
        <v>150</v>
      </c>
      <c r="M835" s="21">
        <v>0.79220000000000002</v>
      </c>
      <c r="N835" s="21">
        <v>0.57789999999999997</v>
      </c>
      <c r="O835" s="21">
        <v>0.65580000000000005</v>
      </c>
      <c r="P835" s="21">
        <v>1093</v>
      </c>
      <c r="Q835" s="21">
        <v>0.19400000000000001</v>
      </c>
      <c r="R835" s="21">
        <v>35</v>
      </c>
      <c r="S835" s="21">
        <v>5</v>
      </c>
      <c r="T835" s="21">
        <v>0.19270000000000001</v>
      </c>
      <c r="U835" s="21">
        <v>1.1000000000000001E-3</v>
      </c>
      <c r="W835" s="21">
        <v>154</v>
      </c>
      <c r="X835" s="21">
        <v>106</v>
      </c>
      <c r="Y835" s="21">
        <v>186</v>
      </c>
      <c r="Z835" s="21">
        <v>0.4</v>
      </c>
      <c r="AA835" s="21">
        <v>0.6</v>
      </c>
      <c r="AB835" s="21">
        <v>309</v>
      </c>
      <c r="AC835" s="21">
        <v>309</v>
      </c>
      <c r="AD835" s="21">
        <v>293</v>
      </c>
      <c r="AE835" s="21">
        <v>67</v>
      </c>
      <c r="AF835" s="21">
        <v>0.2419</v>
      </c>
      <c r="AG835" s="21">
        <v>35</v>
      </c>
      <c r="AH835" s="21">
        <v>0.12640000000000001</v>
      </c>
      <c r="AI835" s="21">
        <v>0</v>
      </c>
      <c r="AJ835" s="21">
        <v>0</v>
      </c>
      <c r="AK835" s="21">
        <v>112</v>
      </c>
      <c r="AL835" s="21">
        <v>0.38229999999999997</v>
      </c>
      <c r="AM835" s="21">
        <v>71</v>
      </c>
      <c r="AN835" s="21">
        <v>0.24229999999999999</v>
      </c>
      <c r="AP835" s="21">
        <v>42</v>
      </c>
      <c r="AQ835" s="21">
        <v>42</v>
      </c>
      <c r="AR835" s="21">
        <v>42</v>
      </c>
      <c r="AS835" s="21">
        <v>0</v>
      </c>
      <c r="AT835" s="21">
        <v>0</v>
      </c>
      <c r="AU835" s="21">
        <v>0</v>
      </c>
      <c r="AV835" s="21">
        <v>0</v>
      </c>
    </row>
    <row r="836" spans="1:48" x14ac:dyDescent="0.15">
      <c r="A836" s="20" t="s">
        <v>56</v>
      </c>
      <c r="B836" s="20" t="s">
        <v>120</v>
      </c>
      <c r="C836" s="21">
        <v>15734</v>
      </c>
      <c r="D836" s="21">
        <v>1572</v>
      </c>
      <c r="E836" s="21">
        <v>0</v>
      </c>
      <c r="F836" s="21">
        <v>17306</v>
      </c>
      <c r="G836" s="21">
        <v>0</v>
      </c>
      <c r="H836" s="21">
        <v>3287</v>
      </c>
      <c r="J836" s="21">
        <v>3701</v>
      </c>
      <c r="K836" s="21">
        <v>10318</v>
      </c>
      <c r="L836" s="21">
        <v>159</v>
      </c>
      <c r="M836" s="21">
        <v>0.64410000000000001</v>
      </c>
      <c r="N836" s="21">
        <v>0.62709999999999999</v>
      </c>
      <c r="O836" s="21">
        <v>0.34460000000000002</v>
      </c>
      <c r="P836" s="21">
        <v>1503</v>
      </c>
      <c r="Q836" s="21">
        <v>0.2029</v>
      </c>
      <c r="R836" s="21">
        <v>103</v>
      </c>
      <c r="S836" s="21">
        <v>12</v>
      </c>
      <c r="T836" s="21">
        <v>5.9499999999999997E-2</v>
      </c>
      <c r="U836" s="21">
        <v>0.13819999999999999</v>
      </c>
      <c r="W836" s="21">
        <v>60</v>
      </c>
      <c r="X836" s="21">
        <v>65</v>
      </c>
      <c r="Y836" s="21">
        <v>92</v>
      </c>
      <c r="Z836" s="21">
        <v>0.3</v>
      </c>
      <c r="AA836" s="21">
        <v>0.7</v>
      </c>
      <c r="AB836" s="21">
        <v>189</v>
      </c>
      <c r="AC836" s="21">
        <v>189</v>
      </c>
      <c r="AD836" s="21">
        <v>192</v>
      </c>
      <c r="AE836" s="21">
        <v>22</v>
      </c>
      <c r="AF836" s="21">
        <v>0.1134</v>
      </c>
      <c r="AG836" s="21">
        <v>27</v>
      </c>
      <c r="AH836" s="21">
        <v>0.13919999999999999</v>
      </c>
      <c r="AI836" s="21">
        <v>0</v>
      </c>
      <c r="AJ836" s="21">
        <v>0.4</v>
      </c>
      <c r="AK836" s="21">
        <v>51</v>
      </c>
      <c r="AL836" s="21">
        <v>0.26629999999999998</v>
      </c>
      <c r="AM836" s="21">
        <v>39</v>
      </c>
      <c r="AN836" s="21">
        <v>0.20369999999999999</v>
      </c>
      <c r="AO836" s="21">
        <v>0.81910000000000005</v>
      </c>
      <c r="AP836" s="21">
        <v>368</v>
      </c>
      <c r="AQ836" s="21">
        <v>309</v>
      </c>
      <c r="AR836" s="21">
        <v>304</v>
      </c>
      <c r="AS836" s="21">
        <v>5</v>
      </c>
      <c r="AU836" s="21">
        <v>2</v>
      </c>
      <c r="AV836" s="21">
        <v>35</v>
      </c>
    </row>
    <row r="837" spans="1:48" x14ac:dyDescent="0.15">
      <c r="A837" s="20" t="s">
        <v>57</v>
      </c>
      <c r="B837" s="20" t="s">
        <v>120</v>
      </c>
      <c r="C837" s="21">
        <v>7620</v>
      </c>
      <c r="D837" s="21">
        <v>14036</v>
      </c>
      <c r="E837" s="21">
        <v>0</v>
      </c>
      <c r="F837" s="21">
        <v>21656</v>
      </c>
      <c r="G837" s="21">
        <v>6654</v>
      </c>
      <c r="H837" s="21">
        <v>2078</v>
      </c>
      <c r="I837" s="21">
        <v>4339</v>
      </c>
      <c r="J837" s="21">
        <v>7886</v>
      </c>
      <c r="K837" s="21">
        <v>699</v>
      </c>
      <c r="L837" s="21">
        <v>303</v>
      </c>
      <c r="M837" s="21">
        <v>0.65949999999999998</v>
      </c>
      <c r="N837" s="21">
        <v>0.34660000000000002</v>
      </c>
      <c r="O837" s="21">
        <v>0.60429999999999995</v>
      </c>
      <c r="P837" s="21">
        <v>637</v>
      </c>
      <c r="Q837" s="21">
        <v>0.44579999999999997</v>
      </c>
      <c r="R837" s="21">
        <v>70</v>
      </c>
      <c r="S837" s="21">
        <v>34</v>
      </c>
      <c r="T837" s="21">
        <v>0.18970000000000001</v>
      </c>
      <c r="U837" s="21">
        <v>7.9600000000000004E-2</v>
      </c>
      <c r="V837" s="21">
        <v>0.83250000000000002</v>
      </c>
      <c r="W837" s="21">
        <v>171</v>
      </c>
      <c r="X837" s="21">
        <v>236</v>
      </c>
      <c r="Y837" s="21">
        <v>262</v>
      </c>
      <c r="Z837" s="21">
        <v>0.3</v>
      </c>
      <c r="AA837" s="21">
        <v>0.9</v>
      </c>
      <c r="AB837" s="21">
        <v>939</v>
      </c>
      <c r="AC837" s="21">
        <v>891</v>
      </c>
      <c r="AD837" s="21">
        <v>925</v>
      </c>
      <c r="AE837" s="21">
        <v>141</v>
      </c>
      <c r="AF837" s="21">
        <v>0.15479999999999999</v>
      </c>
      <c r="AG837" s="21">
        <v>113</v>
      </c>
      <c r="AH837" s="21">
        <v>0.124</v>
      </c>
      <c r="AI837" s="21">
        <v>0.15579999999999999</v>
      </c>
      <c r="AJ837" s="21">
        <v>0.34439999999999998</v>
      </c>
      <c r="AK837" s="21">
        <v>186</v>
      </c>
      <c r="AL837" s="21">
        <v>0.2064</v>
      </c>
      <c r="AM837" s="21">
        <v>136</v>
      </c>
      <c r="AN837" s="21">
        <v>0.15090000000000001</v>
      </c>
      <c r="AO837" s="21">
        <v>0.85680000000000001</v>
      </c>
      <c r="AP837" s="21">
        <v>659</v>
      </c>
      <c r="AQ837" s="21">
        <v>625</v>
      </c>
      <c r="AR837" s="21">
        <v>592</v>
      </c>
      <c r="AS837" s="21">
        <v>3</v>
      </c>
      <c r="AT837" s="21">
        <v>30</v>
      </c>
      <c r="AU837" s="21">
        <v>5100</v>
      </c>
      <c r="AV837" s="21">
        <v>183</v>
      </c>
    </row>
    <row r="838" spans="1:48" x14ac:dyDescent="0.15">
      <c r="A838" s="20" t="s">
        <v>58</v>
      </c>
      <c r="B838" s="20" t="s">
        <v>120</v>
      </c>
      <c r="C838" s="21">
        <v>25061</v>
      </c>
      <c r="D838" s="21">
        <v>5466</v>
      </c>
      <c r="E838" s="21">
        <v>0</v>
      </c>
      <c r="F838" s="21">
        <v>30528</v>
      </c>
      <c r="G838" s="21">
        <v>8326</v>
      </c>
      <c r="H838" s="21">
        <v>8343</v>
      </c>
      <c r="J838" s="21">
        <v>2516</v>
      </c>
      <c r="K838" s="21">
        <v>11342</v>
      </c>
      <c r="L838" s="21">
        <v>334</v>
      </c>
      <c r="M838" s="21">
        <v>0.83709999999999996</v>
      </c>
      <c r="N838" s="21">
        <v>0.75</v>
      </c>
      <c r="O838" s="21">
        <v>0.75</v>
      </c>
      <c r="P838" s="21">
        <v>2324</v>
      </c>
      <c r="Q838" s="21">
        <v>0.5</v>
      </c>
      <c r="R838" s="21">
        <v>90</v>
      </c>
      <c r="S838" s="21">
        <v>13</v>
      </c>
      <c r="T838" s="21">
        <v>0.1701</v>
      </c>
      <c r="U838" s="21">
        <v>8.6099999999999996E-2</v>
      </c>
      <c r="W838" s="21">
        <v>461</v>
      </c>
      <c r="X838" s="21">
        <v>524</v>
      </c>
      <c r="Y838" s="21">
        <v>918</v>
      </c>
      <c r="Z838" s="21">
        <v>0.2</v>
      </c>
      <c r="AA838" s="21">
        <v>0.6</v>
      </c>
      <c r="AB838" s="21">
        <v>2765</v>
      </c>
      <c r="AC838" s="21">
        <v>2765</v>
      </c>
      <c r="AD838" s="21">
        <v>2748</v>
      </c>
      <c r="AE838" s="21">
        <v>181</v>
      </c>
      <c r="AF838" s="21">
        <v>6.6299999999999998E-2</v>
      </c>
      <c r="AG838" s="21">
        <v>148</v>
      </c>
      <c r="AH838" s="21">
        <v>5.4199999999999998E-2</v>
      </c>
      <c r="AI838" s="21">
        <v>0.15110000000000001</v>
      </c>
      <c r="AJ838" s="21">
        <v>0.71</v>
      </c>
      <c r="AK838" s="21">
        <v>538</v>
      </c>
      <c r="AL838" s="21">
        <v>0.19570000000000001</v>
      </c>
      <c r="AM838" s="21">
        <v>382</v>
      </c>
      <c r="AN838" s="21">
        <v>0.13900000000000001</v>
      </c>
      <c r="AO838" s="21">
        <v>0.65669999999999995</v>
      </c>
      <c r="AP838" s="21">
        <v>251</v>
      </c>
      <c r="AQ838" s="21">
        <v>251</v>
      </c>
      <c r="AR838" s="21">
        <v>237</v>
      </c>
      <c r="AS838" s="21">
        <v>13</v>
      </c>
      <c r="AT838" s="21">
        <v>0</v>
      </c>
      <c r="AU838" s="21">
        <v>684</v>
      </c>
      <c r="AV838" s="21">
        <v>334</v>
      </c>
    </row>
    <row r="839" spans="1:48" x14ac:dyDescent="0.15">
      <c r="A839" s="20" t="s">
        <v>59</v>
      </c>
      <c r="B839" s="20" t="s">
        <v>120</v>
      </c>
      <c r="C839" s="21">
        <v>7609</v>
      </c>
      <c r="D839" s="21">
        <v>1718</v>
      </c>
      <c r="E839" s="21">
        <v>0</v>
      </c>
      <c r="F839" s="21">
        <v>9327</v>
      </c>
      <c r="G839" s="21">
        <v>797</v>
      </c>
      <c r="H839" s="21">
        <v>0</v>
      </c>
      <c r="I839" s="21">
        <v>349</v>
      </c>
      <c r="J839" s="21">
        <v>1219</v>
      </c>
      <c r="K839" s="21">
        <v>6962</v>
      </c>
      <c r="L839" s="21">
        <v>113</v>
      </c>
      <c r="M839" s="21">
        <v>0.8</v>
      </c>
      <c r="N839" s="21">
        <v>0.58330000000000004</v>
      </c>
      <c r="O839" s="21">
        <v>0.70830000000000004</v>
      </c>
      <c r="P839" s="21">
        <v>1123</v>
      </c>
      <c r="Q839" s="21">
        <v>0.24929999999999999</v>
      </c>
      <c r="R839" s="21">
        <v>81</v>
      </c>
      <c r="S839" s="21">
        <v>8</v>
      </c>
      <c r="T839" s="21">
        <v>0.1009</v>
      </c>
      <c r="U839" s="21">
        <v>7.7999999999999996E-3</v>
      </c>
      <c r="W839" s="21">
        <v>6</v>
      </c>
      <c r="X839" s="21">
        <v>8</v>
      </c>
      <c r="Y839" s="21">
        <v>9</v>
      </c>
      <c r="Z839" s="21">
        <v>0</v>
      </c>
      <c r="AA839" s="21">
        <v>0.9</v>
      </c>
      <c r="AB839" s="21">
        <v>344</v>
      </c>
      <c r="AC839" s="21">
        <v>86</v>
      </c>
      <c r="AD839" s="21">
        <v>222</v>
      </c>
      <c r="AE839" s="21">
        <v>261</v>
      </c>
      <c r="AF839" s="21">
        <v>2.5842000000000001</v>
      </c>
      <c r="AG839" s="21">
        <v>18</v>
      </c>
      <c r="AH839" s="21">
        <v>0.1782</v>
      </c>
      <c r="AI839" s="21">
        <v>0</v>
      </c>
      <c r="AJ839" s="21">
        <v>0.33329999999999999</v>
      </c>
      <c r="AK839" s="21">
        <v>4</v>
      </c>
      <c r="AL839" s="21">
        <v>4.2799999999999998E-2</v>
      </c>
      <c r="AM839" s="21">
        <v>2</v>
      </c>
      <c r="AN839" s="21">
        <v>2.1399999999999999E-2</v>
      </c>
      <c r="AP839" s="21">
        <v>77</v>
      </c>
      <c r="AQ839" s="21">
        <v>77</v>
      </c>
      <c r="AR839" s="21">
        <v>76</v>
      </c>
      <c r="AS839" s="21">
        <v>1</v>
      </c>
      <c r="AU839" s="21">
        <v>0</v>
      </c>
      <c r="AV839" s="21">
        <v>0</v>
      </c>
    </row>
    <row r="840" spans="1:48" x14ac:dyDescent="0.15">
      <c r="A840" s="20" t="s">
        <v>60</v>
      </c>
      <c r="B840" s="20" t="s">
        <v>120</v>
      </c>
      <c r="C840" s="21">
        <v>7467</v>
      </c>
      <c r="D840" s="21">
        <v>4834</v>
      </c>
      <c r="E840" s="21">
        <v>0</v>
      </c>
      <c r="F840" s="21">
        <v>12300</v>
      </c>
      <c r="G840" s="21">
        <v>1480</v>
      </c>
      <c r="H840" s="21">
        <v>3093</v>
      </c>
      <c r="I840" s="21">
        <v>4351</v>
      </c>
      <c r="J840" s="21">
        <v>1988</v>
      </c>
      <c r="K840" s="21">
        <v>1387</v>
      </c>
      <c r="L840" s="21">
        <v>163</v>
      </c>
      <c r="M840" s="21">
        <v>0.7238</v>
      </c>
      <c r="N840" s="21">
        <v>0.66849999999999998</v>
      </c>
      <c r="O840" s="21">
        <v>0.63539999999999996</v>
      </c>
      <c r="P840" s="21">
        <v>314</v>
      </c>
      <c r="Q840" s="21">
        <v>0.75160000000000005</v>
      </c>
      <c r="R840" s="21">
        <v>72</v>
      </c>
      <c r="S840" s="21">
        <v>39</v>
      </c>
      <c r="T840" s="21">
        <v>7.2099999999999997E-2</v>
      </c>
      <c r="U840" s="21">
        <v>9.6100000000000005E-2</v>
      </c>
      <c r="V840" s="21">
        <v>1</v>
      </c>
      <c r="W840" s="21">
        <v>148</v>
      </c>
      <c r="X840" s="21">
        <v>145</v>
      </c>
      <c r="Y840" s="21">
        <v>196</v>
      </c>
      <c r="Z840" s="21">
        <v>0.2</v>
      </c>
      <c r="AA840" s="21">
        <v>0.7</v>
      </c>
      <c r="AB840" s="21">
        <v>760</v>
      </c>
      <c r="AC840" s="21">
        <v>760</v>
      </c>
      <c r="AD840" s="21">
        <v>754</v>
      </c>
      <c r="AE840" s="21">
        <v>50</v>
      </c>
      <c r="AF840" s="21">
        <v>6.6900000000000001E-2</v>
      </c>
      <c r="AG840" s="21">
        <v>37</v>
      </c>
      <c r="AH840" s="21">
        <v>4.9500000000000002E-2</v>
      </c>
      <c r="AI840" s="21">
        <v>7.8899999999999998E-2</v>
      </c>
      <c r="AJ840" s="21">
        <v>0.18609999999999999</v>
      </c>
      <c r="AK840" s="21">
        <v>137</v>
      </c>
      <c r="AL840" s="21">
        <v>0.20730000000000001</v>
      </c>
      <c r="AM840" s="21">
        <v>78</v>
      </c>
      <c r="AN840" s="21">
        <v>0.11799999999999999</v>
      </c>
      <c r="AO840" s="21">
        <v>0.55469999999999997</v>
      </c>
      <c r="AP840" s="21">
        <v>151</v>
      </c>
      <c r="AQ840" s="21">
        <v>151</v>
      </c>
      <c r="AR840" s="21">
        <v>115</v>
      </c>
      <c r="AS840" s="21">
        <v>1</v>
      </c>
      <c r="AT840" s="21">
        <v>35</v>
      </c>
      <c r="AU840" s="21">
        <v>929</v>
      </c>
      <c r="AV840" s="21">
        <v>109</v>
      </c>
    </row>
    <row r="841" spans="1:48" x14ac:dyDescent="0.15">
      <c r="A841" s="20" t="s">
        <v>61</v>
      </c>
      <c r="B841" s="20" t="s">
        <v>120</v>
      </c>
      <c r="C841" s="21">
        <v>5974</v>
      </c>
      <c r="D841" s="21">
        <v>3482</v>
      </c>
      <c r="E841" s="21">
        <v>0</v>
      </c>
      <c r="F841" s="21">
        <v>9457</v>
      </c>
      <c r="G841" s="21">
        <v>1934</v>
      </c>
      <c r="H841" s="21">
        <v>1649</v>
      </c>
      <c r="I841" s="21">
        <v>1606</v>
      </c>
      <c r="J841" s="21">
        <v>1098</v>
      </c>
      <c r="K841" s="21">
        <v>408</v>
      </c>
      <c r="L841" s="21">
        <v>100</v>
      </c>
      <c r="M841" s="21">
        <v>0.86919999999999997</v>
      </c>
      <c r="N841" s="21">
        <v>0.71960000000000002</v>
      </c>
      <c r="O841" s="21">
        <v>0.72899999999999998</v>
      </c>
      <c r="P841" s="21">
        <v>240</v>
      </c>
      <c r="Q841" s="21">
        <v>0.76249999999999996</v>
      </c>
      <c r="R841" s="21">
        <v>91</v>
      </c>
      <c r="S841" s="21">
        <v>39</v>
      </c>
      <c r="T841" s="21">
        <v>0.1066</v>
      </c>
      <c r="U841" s="21">
        <v>6.8699999999999997E-2</v>
      </c>
      <c r="V841" s="21">
        <v>1</v>
      </c>
      <c r="W841" s="21">
        <v>29</v>
      </c>
      <c r="X841" s="21">
        <v>33</v>
      </c>
      <c r="Y841" s="21">
        <v>40</v>
      </c>
      <c r="Z841" s="21">
        <v>0.1</v>
      </c>
      <c r="AA841" s="21">
        <v>0.8</v>
      </c>
      <c r="AB841" s="21">
        <v>269</v>
      </c>
      <c r="AC841" s="21">
        <v>269</v>
      </c>
      <c r="AD841" s="21">
        <v>270</v>
      </c>
      <c r="AE841" s="21">
        <v>23</v>
      </c>
      <c r="AF841" s="21">
        <v>8.5199999999999998E-2</v>
      </c>
      <c r="AG841" s="21">
        <v>24</v>
      </c>
      <c r="AH841" s="21">
        <v>8.8900000000000007E-2</v>
      </c>
      <c r="AI841" s="21">
        <v>0</v>
      </c>
      <c r="AJ841" s="21">
        <v>0.17230000000000001</v>
      </c>
      <c r="AK841" s="21">
        <v>27</v>
      </c>
      <c r="AL841" s="21">
        <v>0.1002</v>
      </c>
      <c r="AM841" s="21">
        <v>16</v>
      </c>
      <c r="AN841" s="21">
        <v>5.9400000000000001E-2</v>
      </c>
      <c r="AO841" s="21">
        <v>0.28639999999999999</v>
      </c>
      <c r="AP841" s="21">
        <v>28</v>
      </c>
      <c r="AQ841" s="21">
        <v>28</v>
      </c>
      <c r="AR841" s="21">
        <v>8</v>
      </c>
      <c r="AS841" s="21">
        <v>3</v>
      </c>
      <c r="AT841" s="21">
        <v>17</v>
      </c>
      <c r="AU841" s="21">
        <v>598</v>
      </c>
      <c r="AV841" s="21">
        <v>22</v>
      </c>
    </row>
    <row r="842" spans="1:48" x14ac:dyDescent="0.15">
      <c r="A842" s="20" t="s">
        <v>48</v>
      </c>
      <c r="B842" s="20" t="s">
        <v>121</v>
      </c>
      <c r="C842" s="21">
        <v>4567</v>
      </c>
      <c r="D842" s="21">
        <v>2775</v>
      </c>
      <c r="E842" s="21">
        <v>0</v>
      </c>
      <c r="F842" s="21">
        <v>7342</v>
      </c>
      <c r="G842" s="21">
        <v>301</v>
      </c>
      <c r="H842" s="21">
        <v>2856</v>
      </c>
      <c r="I842" s="21">
        <v>1353</v>
      </c>
      <c r="J842" s="21">
        <v>430</v>
      </c>
      <c r="K842" s="21">
        <v>1058</v>
      </c>
      <c r="L842" s="21">
        <v>171</v>
      </c>
      <c r="M842" s="21">
        <v>0.68930000000000002</v>
      </c>
      <c r="N842" s="21">
        <v>0.53110000000000002</v>
      </c>
      <c r="O842" s="21">
        <v>0.5141</v>
      </c>
      <c r="P842" s="21">
        <v>968</v>
      </c>
      <c r="Q842" s="21">
        <v>0.2676</v>
      </c>
      <c r="R842" s="21">
        <v>42</v>
      </c>
      <c r="S842" s="21">
        <v>8</v>
      </c>
      <c r="T842" s="21">
        <v>0.13600000000000001</v>
      </c>
      <c r="U842" s="21">
        <v>0.12520000000000001</v>
      </c>
      <c r="V842" s="21">
        <v>0.98050000000000004</v>
      </c>
      <c r="W842" s="21">
        <v>106</v>
      </c>
      <c r="X842" s="21">
        <v>100</v>
      </c>
      <c r="Y842" s="21">
        <v>163</v>
      </c>
      <c r="Z842" s="21">
        <v>0.4</v>
      </c>
      <c r="AA842" s="21">
        <v>0.6</v>
      </c>
      <c r="AB842" s="21">
        <v>258</v>
      </c>
      <c r="AC842" s="21">
        <v>258</v>
      </c>
      <c r="AD842" s="21">
        <v>271</v>
      </c>
      <c r="AE842" s="21">
        <v>7</v>
      </c>
      <c r="AF842" s="21">
        <v>2.46E-2</v>
      </c>
      <c r="AG842" s="21">
        <v>33</v>
      </c>
      <c r="AH842" s="21">
        <v>0.1162</v>
      </c>
      <c r="AI842" s="21">
        <v>0.1</v>
      </c>
      <c r="AJ842" s="21">
        <v>0.33329999999999999</v>
      </c>
      <c r="AK842" s="21">
        <v>68</v>
      </c>
      <c r="AL842" s="21">
        <v>0.25090000000000001</v>
      </c>
      <c r="AM842" s="21">
        <v>15</v>
      </c>
      <c r="AN842" s="21">
        <v>5.5399999999999998E-2</v>
      </c>
      <c r="AO842" s="21">
        <v>0.9234</v>
      </c>
      <c r="AP842" s="21">
        <v>181</v>
      </c>
      <c r="AQ842" s="21">
        <v>181</v>
      </c>
      <c r="AR842" s="21">
        <v>168</v>
      </c>
      <c r="AS842" s="21">
        <v>10</v>
      </c>
      <c r="AT842" s="21">
        <v>4</v>
      </c>
      <c r="AU842" s="21">
        <v>910</v>
      </c>
      <c r="AV842" s="21">
        <v>449</v>
      </c>
    </row>
    <row r="843" spans="1:48" x14ac:dyDescent="0.15">
      <c r="A843" s="20" t="s">
        <v>50</v>
      </c>
      <c r="B843" s="20" t="s">
        <v>121</v>
      </c>
      <c r="C843" s="21">
        <v>10504</v>
      </c>
      <c r="D843" s="21">
        <v>6062</v>
      </c>
      <c r="E843" s="21">
        <v>0</v>
      </c>
      <c r="F843" s="21">
        <v>16567</v>
      </c>
      <c r="G843" s="21">
        <v>177</v>
      </c>
      <c r="H843" s="21">
        <v>14177</v>
      </c>
      <c r="I843" s="21">
        <v>0</v>
      </c>
      <c r="J843" s="21">
        <v>1348</v>
      </c>
      <c r="K843" s="21">
        <v>864</v>
      </c>
      <c r="L843" s="21">
        <v>267</v>
      </c>
      <c r="M843" s="21">
        <v>0.84450000000000003</v>
      </c>
      <c r="N843" s="21">
        <v>0.67490000000000006</v>
      </c>
      <c r="O843" s="21">
        <v>0.71730000000000005</v>
      </c>
      <c r="P843" s="21">
        <v>605</v>
      </c>
      <c r="Q843" s="21">
        <v>0.5917</v>
      </c>
      <c r="R843" s="21">
        <v>60</v>
      </c>
      <c r="S843" s="21">
        <v>27</v>
      </c>
      <c r="T843" s="21">
        <v>0.1036</v>
      </c>
      <c r="U843" s="21">
        <v>0.10050000000000001</v>
      </c>
      <c r="V843" s="21">
        <v>0.95169999999999999</v>
      </c>
      <c r="W843" s="21">
        <v>251</v>
      </c>
      <c r="X843" s="21">
        <v>394</v>
      </c>
      <c r="Y843" s="21">
        <v>387</v>
      </c>
      <c r="Z843" s="21">
        <v>0.5</v>
      </c>
      <c r="AA843" s="21">
        <v>1</v>
      </c>
      <c r="AB843" s="21">
        <v>769</v>
      </c>
      <c r="AC843" s="21">
        <v>768</v>
      </c>
      <c r="AD843" s="21">
        <v>738</v>
      </c>
      <c r="AE843" s="21">
        <v>113</v>
      </c>
      <c r="AF843" s="21">
        <v>0.15959999999999999</v>
      </c>
      <c r="AG843" s="21">
        <v>52</v>
      </c>
      <c r="AH843" s="21">
        <v>7.3400000000000007E-2</v>
      </c>
      <c r="AI843" s="21">
        <v>0.57630000000000003</v>
      </c>
      <c r="AJ843" s="21">
        <v>0.72</v>
      </c>
      <c r="AK843" s="21">
        <v>328</v>
      </c>
      <c r="AL843" s="21">
        <v>0.44469999999999998</v>
      </c>
      <c r="AM843" s="21">
        <v>254</v>
      </c>
      <c r="AN843" s="21">
        <v>0.34439999999999998</v>
      </c>
      <c r="AO843" s="21">
        <v>0.97219999999999995</v>
      </c>
      <c r="AP843" s="21">
        <v>444</v>
      </c>
      <c r="AQ843" s="21">
        <v>444</v>
      </c>
      <c r="AR843" s="21">
        <v>405</v>
      </c>
      <c r="AS843" s="21">
        <v>23</v>
      </c>
      <c r="AT843" s="21">
        <v>16</v>
      </c>
      <c r="AU843" s="21">
        <v>850</v>
      </c>
      <c r="AV843" s="21">
        <v>152</v>
      </c>
    </row>
    <row r="844" spans="1:48" x14ac:dyDescent="0.15">
      <c r="A844" s="20" t="s">
        <v>51</v>
      </c>
      <c r="B844" s="20" t="s">
        <v>121</v>
      </c>
      <c r="C844" s="21">
        <v>34433</v>
      </c>
      <c r="D844" s="21">
        <v>15164</v>
      </c>
      <c r="E844" s="21">
        <v>0</v>
      </c>
      <c r="F844" s="21">
        <v>49596</v>
      </c>
      <c r="G844" s="21">
        <v>1909</v>
      </c>
      <c r="H844" s="21">
        <v>20762</v>
      </c>
      <c r="I844" s="21">
        <v>6566</v>
      </c>
      <c r="J844" s="21">
        <v>3720</v>
      </c>
      <c r="K844" s="21">
        <v>16432</v>
      </c>
      <c r="L844" s="21">
        <v>1102</v>
      </c>
      <c r="M844" s="21">
        <v>0.78280000000000005</v>
      </c>
      <c r="N844" s="21">
        <v>0.66220000000000001</v>
      </c>
      <c r="O844" s="21">
        <v>0.69350000000000001</v>
      </c>
      <c r="P844" s="21">
        <v>3439</v>
      </c>
      <c r="Q844" s="21">
        <v>0.53300000000000003</v>
      </c>
      <c r="R844" s="21">
        <v>45</v>
      </c>
      <c r="S844" s="21">
        <v>14</v>
      </c>
      <c r="T844" s="21">
        <v>0.14119999999999999</v>
      </c>
      <c r="U844" s="21">
        <v>0.16830000000000001</v>
      </c>
      <c r="V844" s="21">
        <v>0.94130000000000003</v>
      </c>
      <c r="W844" s="21">
        <v>2436</v>
      </c>
      <c r="X844" s="21">
        <v>3478</v>
      </c>
      <c r="Y844" s="21">
        <v>4299</v>
      </c>
      <c r="Z844" s="21">
        <v>0.4</v>
      </c>
      <c r="AA844" s="21">
        <v>0.8</v>
      </c>
      <c r="AB844" s="21">
        <v>8903</v>
      </c>
      <c r="AC844" s="21">
        <v>8608</v>
      </c>
      <c r="AD844" s="21">
        <v>8844</v>
      </c>
      <c r="AE844" s="21">
        <v>1848</v>
      </c>
      <c r="AF844" s="21">
        <v>0.2104</v>
      </c>
      <c r="AG844" s="21">
        <v>1729</v>
      </c>
      <c r="AH844" s="21">
        <v>0.1968</v>
      </c>
      <c r="AI844" s="21">
        <v>0.35670000000000002</v>
      </c>
      <c r="AJ844" s="21">
        <v>0.60219999999999996</v>
      </c>
      <c r="AK844" s="21">
        <v>2463</v>
      </c>
      <c r="AL844" s="21">
        <v>0.28499999999999998</v>
      </c>
      <c r="AM844" s="21">
        <v>1582</v>
      </c>
      <c r="AN844" s="21">
        <v>0.18310000000000001</v>
      </c>
      <c r="AO844" s="21">
        <v>0.6129</v>
      </c>
      <c r="AP844" s="21">
        <v>247</v>
      </c>
      <c r="AQ844" s="21">
        <v>247</v>
      </c>
      <c r="AR844" s="21">
        <v>239</v>
      </c>
      <c r="AS844" s="21">
        <v>6</v>
      </c>
      <c r="AT844" s="21">
        <v>2</v>
      </c>
      <c r="AU844" s="21">
        <v>3693</v>
      </c>
      <c r="AV844" s="21">
        <v>1254</v>
      </c>
    </row>
    <row r="845" spans="1:48" x14ac:dyDescent="0.15">
      <c r="A845" s="20" t="s">
        <v>52</v>
      </c>
      <c r="B845" s="20" t="s">
        <v>121</v>
      </c>
      <c r="C845" s="21">
        <v>7791</v>
      </c>
      <c r="D845" s="21">
        <v>5832</v>
      </c>
      <c r="E845" s="21">
        <v>0</v>
      </c>
      <c r="F845" s="21">
        <v>13622</v>
      </c>
      <c r="G845" s="21">
        <v>2671</v>
      </c>
      <c r="H845" s="21">
        <v>5748</v>
      </c>
      <c r="I845" s="21">
        <v>1530</v>
      </c>
      <c r="J845" s="21">
        <v>1941</v>
      </c>
      <c r="K845" s="21">
        <v>1732</v>
      </c>
      <c r="L845" s="21">
        <v>303</v>
      </c>
      <c r="M845" s="21">
        <v>0.79869999999999997</v>
      </c>
      <c r="N845" s="21">
        <v>0.56440000000000001</v>
      </c>
      <c r="O845" s="21">
        <v>0.68320000000000003</v>
      </c>
      <c r="P845" s="21">
        <v>929</v>
      </c>
      <c r="Q845" s="21">
        <v>0.40260000000000001</v>
      </c>
      <c r="R845" s="21">
        <v>45</v>
      </c>
      <c r="S845" s="21">
        <v>15</v>
      </c>
      <c r="T845" s="21">
        <v>0.1933</v>
      </c>
      <c r="U845" s="21">
        <v>0.11609999999999999</v>
      </c>
      <c r="V845" s="21">
        <v>0.78769999999999996</v>
      </c>
      <c r="W845" s="21">
        <v>116</v>
      </c>
      <c r="X845" s="21">
        <v>130</v>
      </c>
      <c r="Y845" s="21">
        <v>207</v>
      </c>
      <c r="Z845" s="21">
        <v>0.3</v>
      </c>
      <c r="AA845" s="21">
        <v>0.6</v>
      </c>
      <c r="AB845" s="21">
        <v>476</v>
      </c>
      <c r="AC845" s="21">
        <v>385</v>
      </c>
      <c r="AD845" s="21">
        <v>439</v>
      </c>
      <c r="AE845" s="21">
        <v>110</v>
      </c>
      <c r="AF845" s="21">
        <v>0.27360000000000001</v>
      </c>
      <c r="AG845" s="21">
        <v>36</v>
      </c>
      <c r="AH845" s="21">
        <v>8.9599999999999999E-2</v>
      </c>
      <c r="AI845" s="21">
        <v>0.22450000000000001</v>
      </c>
      <c r="AJ845" s="21">
        <v>0</v>
      </c>
      <c r="AK845" s="21">
        <v>94</v>
      </c>
      <c r="AL845" s="21">
        <v>0.2389</v>
      </c>
      <c r="AM845" s="21">
        <v>31</v>
      </c>
      <c r="AN845" s="21">
        <v>7.8799999999999995E-2</v>
      </c>
      <c r="AO845" s="21">
        <v>0.75729999999999997</v>
      </c>
      <c r="AP845" s="21">
        <v>546</v>
      </c>
      <c r="AQ845" s="21">
        <v>546</v>
      </c>
      <c r="AR845" s="21">
        <v>535</v>
      </c>
      <c r="AS845" s="21">
        <v>10</v>
      </c>
      <c r="AT845" s="21">
        <v>0</v>
      </c>
      <c r="AU845" s="21">
        <v>724</v>
      </c>
      <c r="AV845" s="21">
        <v>1087</v>
      </c>
    </row>
    <row r="846" spans="1:48" x14ac:dyDescent="0.15">
      <c r="A846" s="20" t="s">
        <v>53</v>
      </c>
      <c r="B846" s="20" t="s">
        <v>121</v>
      </c>
      <c r="C846" s="21">
        <v>1942</v>
      </c>
      <c r="D846" s="21">
        <v>2016</v>
      </c>
      <c r="E846" s="21">
        <v>0</v>
      </c>
      <c r="F846" s="21">
        <v>3959</v>
      </c>
      <c r="H846" s="21">
        <v>1279</v>
      </c>
      <c r="I846" s="21">
        <v>613</v>
      </c>
      <c r="J846" s="21">
        <v>2067</v>
      </c>
      <c r="K846" s="21">
        <v>0</v>
      </c>
      <c r="L846" s="21">
        <v>230</v>
      </c>
      <c r="M846" s="21">
        <v>0.6794</v>
      </c>
      <c r="N846" s="21">
        <v>0.35499999999999998</v>
      </c>
      <c r="O846" s="21">
        <v>0.57630000000000003</v>
      </c>
      <c r="P846" s="21">
        <v>1846</v>
      </c>
      <c r="Q846" s="21">
        <v>0.1371</v>
      </c>
      <c r="R846" s="21">
        <v>18</v>
      </c>
      <c r="S846" s="21">
        <v>2</v>
      </c>
      <c r="T846" s="21">
        <v>0.1855</v>
      </c>
      <c r="U846" s="21">
        <v>2.1000000000000001E-2</v>
      </c>
      <c r="W846" s="21">
        <v>890</v>
      </c>
      <c r="X846" s="21">
        <v>1119</v>
      </c>
      <c r="Y846" s="21">
        <v>1235</v>
      </c>
      <c r="Z846" s="21">
        <v>0.6</v>
      </c>
      <c r="AA846" s="21">
        <v>0.9</v>
      </c>
      <c r="AB846" s="21">
        <v>2260</v>
      </c>
      <c r="AC846" s="21">
        <v>2067</v>
      </c>
      <c r="AD846" s="21">
        <v>1990</v>
      </c>
      <c r="AE846" s="21">
        <v>693</v>
      </c>
      <c r="AF846" s="21">
        <v>0.40289999999999998</v>
      </c>
      <c r="AG846" s="21">
        <v>153</v>
      </c>
      <c r="AH846" s="21">
        <v>8.8999999999999996E-2</v>
      </c>
      <c r="AI846" s="21">
        <v>0.44400000000000001</v>
      </c>
      <c r="AJ846" s="21">
        <v>0.51790000000000003</v>
      </c>
      <c r="AK846" s="21">
        <v>796</v>
      </c>
      <c r="AL846" s="21">
        <v>0.4204</v>
      </c>
      <c r="AM846" s="21">
        <v>537</v>
      </c>
      <c r="AN846" s="21">
        <v>0.28360000000000002</v>
      </c>
      <c r="AP846" s="21">
        <v>53</v>
      </c>
      <c r="AQ846" s="21">
        <v>53</v>
      </c>
      <c r="AR846" s="21">
        <v>37</v>
      </c>
      <c r="AS846" s="21">
        <v>16</v>
      </c>
      <c r="AT846" s="21">
        <v>0</v>
      </c>
      <c r="AU846" s="21">
        <v>10</v>
      </c>
      <c r="AV846" s="21">
        <v>178</v>
      </c>
    </row>
    <row r="847" spans="1:48" x14ac:dyDescent="0.15">
      <c r="A847" s="20" t="s">
        <v>0</v>
      </c>
      <c r="B847" s="20" t="s">
        <v>121</v>
      </c>
      <c r="C847" s="21">
        <v>134136</v>
      </c>
      <c r="D847" s="21">
        <v>58135</v>
      </c>
      <c r="E847" s="21">
        <v>-15</v>
      </c>
      <c r="F847" s="21">
        <v>192255</v>
      </c>
      <c r="G847" s="21">
        <v>17125</v>
      </c>
      <c r="H847" s="21">
        <v>61177</v>
      </c>
      <c r="I847" s="21">
        <v>19789</v>
      </c>
      <c r="J847" s="21">
        <v>25846</v>
      </c>
      <c r="K847" s="21">
        <v>66280</v>
      </c>
      <c r="L847" s="21">
        <v>3638</v>
      </c>
      <c r="M847" s="21">
        <v>0.76910000000000001</v>
      </c>
      <c r="N847" s="21">
        <v>0.58530000000000004</v>
      </c>
      <c r="O847" s="21">
        <v>0.66420000000000001</v>
      </c>
      <c r="P847" s="21">
        <v>16721</v>
      </c>
      <c r="Q847" s="21">
        <v>0.39910000000000001</v>
      </c>
      <c r="R847" s="21">
        <v>52</v>
      </c>
      <c r="S847" s="21">
        <v>11</v>
      </c>
      <c r="T847" s="21">
        <v>0.14460000000000001</v>
      </c>
      <c r="U847" s="21">
        <v>0.10730000000000001</v>
      </c>
      <c r="V847" s="21">
        <v>0.88480000000000003</v>
      </c>
      <c r="W847" s="21">
        <v>6071</v>
      </c>
      <c r="X847" s="21">
        <v>8237</v>
      </c>
      <c r="Y847" s="21">
        <v>9838</v>
      </c>
      <c r="Z847" s="21">
        <v>0.4</v>
      </c>
      <c r="AA847" s="21">
        <v>0.8</v>
      </c>
      <c r="AB847" s="21">
        <v>18906</v>
      </c>
      <c r="AC847" s="21">
        <v>18118</v>
      </c>
      <c r="AD847" s="21">
        <v>18548</v>
      </c>
      <c r="AE847" s="21">
        <v>3890</v>
      </c>
      <c r="AF847" s="21">
        <v>0.21390000000000001</v>
      </c>
      <c r="AG847" s="21">
        <v>3174</v>
      </c>
      <c r="AH847" s="21">
        <v>0.17449999999999999</v>
      </c>
      <c r="AI847" s="21">
        <v>0.34670000000000001</v>
      </c>
      <c r="AJ847" s="21">
        <v>0.52049999999999996</v>
      </c>
      <c r="AK847" s="21">
        <v>5629</v>
      </c>
      <c r="AL847" s="21">
        <v>0.31259999999999999</v>
      </c>
      <c r="AM847" s="21">
        <v>3632</v>
      </c>
      <c r="AN847" s="21">
        <v>0.20169999999999999</v>
      </c>
      <c r="AO847" s="21">
        <v>0.67830000000000001</v>
      </c>
      <c r="AP847" s="21">
        <v>3030</v>
      </c>
      <c r="AQ847" s="21">
        <v>3028</v>
      </c>
      <c r="AR847" s="21">
        <v>2660</v>
      </c>
      <c r="AS847" s="21">
        <v>304</v>
      </c>
      <c r="AT847" s="21">
        <v>63</v>
      </c>
      <c r="AU847" s="21">
        <v>13986</v>
      </c>
      <c r="AV847" s="21">
        <v>4414</v>
      </c>
    </row>
    <row r="848" spans="1:48" x14ac:dyDescent="0.15">
      <c r="A848" s="20" t="s">
        <v>54</v>
      </c>
      <c r="B848" s="20" t="s">
        <v>121</v>
      </c>
      <c r="C848" s="21">
        <v>7787</v>
      </c>
      <c r="D848" s="21">
        <v>5935</v>
      </c>
      <c r="E848" s="21">
        <v>-15</v>
      </c>
      <c r="F848" s="21">
        <v>13707</v>
      </c>
      <c r="G848" s="21">
        <v>913</v>
      </c>
      <c r="H848" s="21">
        <v>880</v>
      </c>
      <c r="I848" s="21">
        <v>1606</v>
      </c>
      <c r="J848" s="21">
        <v>3468</v>
      </c>
      <c r="K848" s="21">
        <v>6587</v>
      </c>
      <c r="L848" s="21">
        <v>282</v>
      </c>
      <c r="M848" s="21">
        <v>0.86229999999999996</v>
      </c>
      <c r="N848" s="21">
        <v>0.59670000000000001</v>
      </c>
      <c r="O848" s="21">
        <v>0.82299999999999995</v>
      </c>
      <c r="P848" s="21">
        <v>2208</v>
      </c>
      <c r="Q848" s="21">
        <v>0.38769999999999999</v>
      </c>
      <c r="R848" s="21">
        <v>48</v>
      </c>
      <c r="S848" s="21">
        <v>6</v>
      </c>
      <c r="T848" s="21">
        <v>0.15820000000000001</v>
      </c>
      <c r="U848" s="21">
        <v>2.9000000000000001E-2</v>
      </c>
      <c r="W848" s="21">
        <v>263</v>
      </c>
      <c r="X848" s="21">
        <v>280</v>
      </c>
      <c r="Y848" s="21">
        <v>425</v>
      </c>
      <c r="Z848" s="21">
        <v>0.4</v>
      </c>
      <c r="AA848" s="21">
        <v>0.7</v>
      </c>
      <c r="AB848" s="21">
        <v>694</v>
      </c>
      <c r="AC848" s="21">
        <v>694</v>
      </c>
      <c r="AD848" s="21">
        <v>706</v>
      </c>
      <c r="AE848" s="21">
        <v>53</v>
      </c>
      <c r="AF848" s="21">
        <v>7.3899999999999993E-2</v>
      </c>
      <c r="AG848" s="21">
        <v>76</v>
      </c>
      <c r="AH848" s="21">
        <v>0.106</v>
      </c>
      <c r="AI848" s="21">
        <v>0.2364</v>
      </c>
      <c r="AJ848" s="21">
        <v>0.44119999999999998</v>
      </c>
      <c r="AK848" s="21">
        <v>224</v>
      </c>
      <c r="AL848" s="21">
        <v>0.3175</v>
      </c>
      <c r="AM848" s="21">
        <v>125</v>
      </c>
      <c r="AN848" s="21">
        <v>0.1772</v>
      </c>
      <c r="AP848" s="21">
        <v>251</v>
      </c>
      <c r="AQ848" s="21">
        <v>251</v>
      </c>
      <c r="AR848" s="21">
        <v>202</v>
      </c>
      <c r="AS848" s="21">
        <v>34</v>
      </c>
      <c r="AT848" s="21">
        <v>15</v>
      </c>
      <c r="AU848" s="21">
        <v>30</v>
      </c>
      <c r="AV848" s="21">
        <v>0</v>
      </c>
    </row>
    <row r="849" spans="1:48" x14ac:dyDescent="0.15">
      <c r="A849" s="20" t="s">
        <v>55</v>
      </c>
      <c r="B849" s="20" t="s">
        <v>121</v>
      </c>
      <c r="C849" s="21">
        <v>2988</v>
      </c>
      <c r="D849" s="21">
        <v>634</v>
      </c>
      <c r="E849" s="21">
        <v>0</v>
      </c>
      <c r="F849" s="21">
        <v>3621</v>
      </c>
      <c r="G849" s="21">
        <v>577</v>
      </c>
      <c r="H849" s="21">
        <v>2042</v>
      </c>
      <c r="I849" s="21">
        <v>1003</v>
      </c>
      <c r="L849" s="21">
        <v>143</v>
      </c>
      <c r="M849" s="21">
        <v>0.70320000000000005</v>
      </c>
      <c r="N849" s="21">
        <v>0.56769999999999998</v>
      </c>
      <c r="O849" s="21">
        <v>0.5161</v>
      </c>
      <c r="P849" s="21">
        <v>600</v>
      </c>
      <c r="Q849" s="21">
        <v>0.34329999999999999</v>
      </c>
      <c r="R849" s="21">
        <v>25</v>
      </c>
      <c r="S849" s="21">
        <v>6</v>
      </c>
      <c r="T849" s="21">
        <v>0.20849999999999999</v>
      </c>
      <c r="U849" s="21">
        <v>1.8E-3</v>
      </c>
      <c r="W849" s="21">
        <v>85</v>
      </c>
      <c r="X849" s="21">
        <v>89</v>
      </c>
      <c r="Y849" s="21">
        <v>152</v>
      </c>
      <c r="Z849" s="21">
        <v>0.3</v>
      </c>
      <c r="AA849" s="21">
        <v>0.6</v>
      </c>
      <c r="AB849" s="21">
        <v>292</v>
      </c>
      <c r="AC849" s="21">
        <v>292</v>
      </c>
      <c r="AD849" s="21">
        <v>300</v>
      </c>
      <c r="AE849" s="21">
        <v>30</v>
      </c>
      <c r="AF849" s="21">
        <v>9.7100000000000006E-2</v>
      </c>
      <c r="AG849" s="21">
        <v>47</v>
      </c>
      <c r="AH849" s="21">
        <v>0.15210000000000001</v>
      </c>
      <c r="AI849" s="21">
        <v>0</v>
      </c>
      <c r="AJ849" s="21">
        <v>0</v>
      </c>
      <c r="AK849" s="21">
        <v>83</v>
      </c>
      <c r="AL849" s="21">
        <v>0.2762</v>
      </c>
      <c r="AM849" s="21">
        <v>25</v>
      </c>
      <c r="AN849" s="21">
        <v>8.3199999999999996E-2</v>
      </c>
      <c r="AP849" s="21">
        <v>43</v>
      </c>
      <c r="AQ849" s="21">
        <v>43</v>
      </c>
      <c r="AR849" s="21">
        <v>31</v>
      </c>
      <c r="AS849" s="21">
        <v>12</v>
      </c>
      <c r="AU849" s="21">
        <v>0</v>
      </c>
      <c r="AV849" s="21">
        <v>0</v>
      </c>
    </row>
    <row r="850" spans="1:48" x14ac:dyDescent="0.15">
      <c r="A850" s="20" t="s">
        <v>56</v>
      </c>
      <c r="B850" s="20" t="s">
        <v>121</v>
      </c>
      <c r="C850" s="21">
        <v>6451</v>
      </c>
      <c r="D850" s="21">
        <v>1264</v>
      </c>
      <c r="E850" s="21">
        <v>0</v>
      </c>
      <c r="F850" s="21">
        <v>7716</v>
      </c>
      <c r="G850" s="21">
        <v>0</v>
      </c>
      <c r="H850" s="21">
        <v>757</v>
      </c>
      <c r="J850" s="21">
        <v>3397</v>
      </c>
      <c r="K850" s="21">
        <v>3541</v>
      </c>
      <c r="L850" s="21">
        <v>141</v>
      </c>
      <c r="M850" s="21">
        <v>0.66039999999999999</v>
      </c>
      <c r="N850" s="21">
        <v>0.57230000000000003</v>
      </c>
      <c r="O850" s="21">
        <v>0.47170000000000001</v>
      </c>
      <c r="P850" s="21">
        <v>1514</v>
      </c>
      <c r="Q850" s="21">
        <v>0.16250000000000001</v>
      </c>
      <c r="R850" s="21">
        <v>51</v>
      </c>
      <c r="S850" s="21">
        <v>5</v>
      </c>
      <c r="T850" s="21">
        <v>9.9500000000000005E-2</v>
      </c>
      <c r="U850" s="21">
        <v>0.1201</v>
      </c>
      <c r="W850" s="21">
        <v>67</v>
      </c>
      <c r="X850" s="21">
        <v>70</v>
      </c>
      <c r="Y850" s="21">
        <v>89</v>
      </c>
      <c r="Z850" s="21">
        <v>0.4</v>
      </c>
      <c r="AA850" s="21">
        <v>0.8</v>
      </c>
      <c r="AB850" s="21">
        <v>170</v>
      </c>
      <c r="AC850" s="21">
        <v>170</v>
      </c>
      <c r="AD850" s="21">
        <v>180</v>
      </c>
      <c r="AE850" s="21">
        <v>5</v>
      </c>
      <c r="AF850" s="21">
        <v>2.6499999999999999E-2</v>
      </c>
      <c r="AG850" s="21">
        <v>24</v>
      </c>
      <c r="AH850" s="21">
        <v>0.127</v>
      </c>
      <c r="AI850" s="21">
        <v>0.33329999999999999</v>
      </c>
      <c r="AJ850" s="21">
        <v>1</v>
      </c>
      <c r="AK850" s="21">
        <v>39</v>
      </c>
      <c r="AL850" s="21">
        <v>0.21729999999999999</v>
      </c>
      <c r="AM850" s="21">
        <v>24</v>
      </c>
      <c r="AN850" s="21">
        <v>0.13370000000000001</v>
      </c>
      <c r="AO850" s="21">
        <v>0.67920000000000003</v>
      </c>
      <c r="AP850" s="21">
        <v>276</v>
      </c>
      <c r="AQ850" s="21">
        <v>274</v>
      </c>
      <c r="AR850" s="21">
        <v>262</v>
      </c>
      <c r="AS850" s="21">
        <v>11</v>
      </c>
      <c r="AT850" s="21">
        <v>0</v>
      </c>
      <c r="AU850" s="21">
        <v>122</v>
      </c>
      <c r="AV850" s="21">
        <v>24</v>
      </c>
    </row>
    <row r="851" spans="1:48" x14ac:dyDescent="0.15">
      <c r="A851" s="20" t="s">
        <v>57</v>
      </c>
      <c r="B851" s="20" t="s">
        <v>121</v>
      </c>
      <c r="C851" s="21">
        <v>3674</v>
      </c>
      <c r="D851" s="21">
        <v>7654</v>
      </c>
      <c r="E851" s="21">
        <v>0</v>
      </c>
      <c r="F851" s="21">
        <v>11328</v>
      </c>
      <c r="G851" s="21">
        <v>2478</v>
      </c>
      <c r="H851" s="21">
        <v>1482</v>
      </c>
      <c r="I851" s="21">
        <v>2338</v>
      </c>
      <c r="J851" s="21">
        <v>4429</v>
      </c>
      <c r="K851" s="21">
        <v>601</v>
      </c>
      <c r="L851" s="21">
        <v>287</v>
      </c>
      <c r="M851" s="21">
        <v>0.69899999999999995</v>
      </c>
      <c r="N851" s="21">
        <v>0.21740000000000001</v>
      </c>
      <c r="O851" s="21">
        <v>0.6522</v>
      </c>
      <c r="P851" s="21">
        <v>666</v>
      </c>
      <c r="Q851" s="21">
        <v>0.39040000000000002</v>
      </c>
      <c r="R851" s="21">
        <v>39</v>
      </c>
      <c r="S851" s="21">
        <v>17</v>
      </c>
      <c r="T851" s="21">
        <v>0.16220000000000001</v>
      </c>
      <c r="U851" s="21">
        <v>7.7899999999999997E-2</v>
      </c>
      <c r="V851" s="21">
        <v>0.88690000000000002</v>
      </c>
      <c r="W851" s="21">
        <v>342</v>
      </c>
      <c r="X851" s="21">
        <v>476</v>
      </c>
      <c r="Y851" s="21">
        <v>494</v>
      </c>
      <c r="Z851" s="21">
        <v>0.5</v>
      </c>
      <c r="AA851" s="21">
        <v>1</v>
      </c>
      <c r="AB851" s="21">
        <v>1138</v>
      </c>
      <c r="AC851" s="21">
        <v>982</v>
      </c>
      <c r="AD851" s="21">
        <v>1038</v>
      </c>
      <c r="AE851" s="21">
        <v>285</v>
      </c>
      <c r="AF851" s="21">
        <v>0.30349999999999999</v>
      </c>
      <c r="AG851" s="21">
        <v>86</v>
      </c>
      <c r="AH851" s="21">
        <v>9.1600000000000001E-2</v>
      </c>
      <c r="AI851" s="21">
        <v>0.2291</v>
      </c>
      <c r="AJ851" s="21">
        <v>0.2979</v>
      </c>
      <c r="AK851" s="21">
        <v>278</v>
      </c>
      <c r="AL851" s="21">
        <v>0.28939999999999999</v>
      </c>
      <c r="AM851" s="21">
        <v>187</v>
      </c>
      <c r="AN851" s="21">
        <v>0.19470000000000001</v>
      </c>
      <c r="AO851" s="21">
        <v>0.89270000000000005</v>
      </c>
      <c r="AP851" s="21">
        <v>521</v>
      </c>
      <c r="AQ851" s="21">
        <v>521</v>
      </c>
      <c r="AR851" s="21">
        <v>393</v>
      </c>
      <c r="AS851" s="21">
        <v>128</v>
      </c>
      <c r="AT851" s="21">
        <v>0</v>
      </c>
      <c r="AU851" s="21">
        <v>4951</v>
      </c>
      <c r="AV851" s="21">
        <v>169</v>
      </c>
    </row>
    <row r="852" spans="1:48" x14ac:dyDescent="0.15">
      <c r="A852" s="20" t="s">
        <v>58</v>
      </c>
      <c r="B852" s="20" t="s">
        <v>121</v>
      </c>
      <c r="C852" s="21">
        <v>34068</v>
      </c>
      <c r="D852" s="21">
        <v>5179</v>
      </c>
      <c r="E852" s="21">
        <v>0</v>
      </c>
      <c r="F852" s="21">
        <v>39248</v>
      </c>
      <c r="G852" s="21">
        <v>5682</v>
      </c>
      <c r="H852" s="21">
        <v>6965</v>
      </c>
      <c r="J852" s="21">
        <v>2546</v>
      </c>
      <c r="K852" s="21">
        <v>24054</v>
      </c>
      <c r="L852" s="21">
        <v>355</v>
      </c>
      <c r="M852" s="21">
        <v>0.84930000000000005</v>
      </c>
      <c r="N852" s="21">
        <v>0.77259999999999995</v>
      </c>
      <c r="O852" s="21">
        <v>0.75619999999999998</v>
      </c>
      <c r="P852" s="21">
        <v>2292</v>
      </c>
      <c r="Q852" s="21">
        <v>0.6401</v>
      </c>
      <c r="R852" s="21">
        <v>113</v>
      </c>
      <c r="S852" s="21">
        <v>17</v>
      </c>
      <c r="T852" s="21">
        <v>0.15770000000000001</v>
      </c>
      <c r="U852" s="21">
        <v>8.0699999999999994E-2</v>
      </c>
      <c r="V852" s="21">
        <v>0.94969999999999999</v>
      </c>
      <c r="W852" s="21">
        <v>921</v>
      </c>
      <c r="X852" s="21">
        <v>1290</v>
      </c>
      <c r="Y852" s="21">
        <v>1439</v>
      </c>
      <c r="Z852" s="21">
        <v>0.5</v>
      </c>
      <c r="AA852" s="21">
        <v>0.9</v>
      </c>
      <c r="AB852" s="21">
        <v>2304</v>
      </c>
      <c r="AC852" s="21">
        <v>2304</v>
      </c>
      <c r="AD852" s="21">
        <v>2534</v>
      </c>
      <c r="AE852" s="21">
        <v>268</v>
      </c>
      <c r="AF852" s="21">
        <v>9.69E-2</v>
      </c>
      <c r="AG852" s="21">
        <v>729</v>
      </c>
      <c r="AH852" s="21">
        <v>0.26369999999999999</v>
      </c>
      <c r="AI852" s="21">
        <v>0.24890000000000001</v>
      </c>
      <c r="AJ852" s="21">
        <v>0.41289999999999999</v>
      </c>
      <c r="AK852" s="21">
        <v>775</v>
      </c>
      <c r="AL852" s="21">
        <v>0.30580000000000002</v>
      </c>
      <c r="AM852" s="21">
        <v>574</v>
      </c>
      <c r="AN852" s="21">
        <v>0.22650000000000001</v>
      </c>
      <c r="AO852" s="21">
        <v>0.74839999999999995</v>
      </c>
      <c r="AP852" s="21">
        <v>243</v>
      </c>
      <c r="AQ852" s="21">
        <v>243</v>
      </c>
      <c r="AR852" s="21">
        <v>219</v>
      </c>
      <c r="AS852" s="21">
        <v>20</v>
      </c>
      <c r="AT852" s="21">
        <v>3</v>
      </c>
      <c r="AU852" s="21">
        <v>612</v>
      </c>
      <c r="AV852" s="21">
        <v>459</v>
      </c>
    </row>
    <row r="853" spans="1:48" x14ac:dyDescent="0.15">
      <c r="A853" s="20" t="s">
        <v>59</v>
      </c>
      <c r="B853" s="20" t="s">
        <v>121</v>
      </c>
      <c r="C853" s="21">
        <v>10338</v>
      </c>
      <c r="D853" s="21">
        <v>1220</v>
      </c>
      <c r="E853" s="21">
        <v>0</v>
      </c>
      <c r="F853" s="21">
        <v>11558</v>
      </c>
      <c r="G853" s="21">
        <v>498</v>
      </c>
      <c r="H853" s="21">
        <v>0</v>
      </c>
      <c r="I853" s="21">
        <v>243</v>
      </c>
      <c r="J853" s="21">
        <v>576</v>
      </c>
      <c r="K853" s="21">
        <v>10242</v>
      </c>
      <c r="L853" s="21">
        <v>103</v>
      </c>
      <c r="M853" s="21">
        <v>0.71930000000000005</v>
      </c>
      <c r="N853" s="21">
        <v>0.52629999999999999</v>
      </c>
      <c r="O853" s="21">
        <v>0.60529999999999995</v>
      </c>
      <c r="P853" s="21">
        <v>1123</v>
      </c>
      <c r="Q853" s="21">
        <v>0.1986</v>
      </c>
      <c r="R853" s="21">
        <v>107</v>
      </c>
      <c r="S853" s="21">
        <v>10</v>
      </c>
      <c r="T853" s="21">
        <v>7.5399999999999995E-2</v>
      </c>
      <c r="U853" s="21">
        <v>8.8000000000000005E-3</v>
      </c>
      <c r="W853" s="21">
        <v>64</v>
      </c>
      <c r="X853" s="21">
        <v>73</v>
      </c>
      <c r="Y853" s="21">
        <v>106</v>
      </c>
      <c r="Z853" s="21">
        <v>0.2</v>
      </c>
      <c r="AA853" s="21">
        <v>0.7</v>
      </c>
      <c r="AB853" s="21">
        <v>303</v>
      </c>
      <c r="AC853" s="21">
        <v>251</v>
      </c>
      <c r="AD853" s="21">
        <v>324</v>
      </c>
      <c r="AE853" s="21">
        <v>89</v>
      </c>
      <c r="AF853" s="21">
        <v>0.25869999999999999</v>
      </c>
      <c r="AG853" s="21">
        <v>130</v>
      </c>
      <c r="AH853" s="21">
        <v>0.37790000000000001</v>
      </c>
      <c r="AI853" s="21">
        <v>0</v>
      </c>
      <c r="AJ853" s="21">
        <v>0</v>
      </c>
      <c r="AK853" s="21">
        <v>67</v>
      </c>
      <c r="AL853" s="21">
        <v>0.22520000000000001</v>
      </c>
      <c r="AM853" s="21">
        <v>31</v>
      </c>
      <c r="AN853" s="21">
        <v>0.1042</v>
      </c>
      <c r="AP853" s="21">
        <v>131</v>
      </c>
      <c r="AQ853" s="21">
        <v>131</v>
      </c>
      <c r="AR853" s="21">
        <v>122</v>
      </c>
      <c r="AS853" s="21">
        <v>9</v>
      </c>
      <c r="AT853" s="21">
        <v>0</v>
      </c>
      <c r="AU853" s="21">
        <v>0</v>
      </c>
      <c r="AV853" s="21">
        <v>0</v>
      </c>
    </row>
    <row r="854" spans="1:48" x14ac:dyDescent="0.15">
      <c r="A854" s="20" t="s">
        <v>60</v>
      </c>
      <c r="B854" s="20" t="s">
        <v>121</v>
      </c>
      <c r="C854" s="21">
        <v>4467</v>
      </c>
      <c r="D854" s="21">
        <v>2964</v>
      </c>
      <c r="E854" s="21">
        <v>0</v>
      </c>
      <c r="F854" s="21">
        <v>7431</v>
      </c>
      <c r="G854" s="21">
        <v>435</v>
      </c>
      <c r="H854" s="21">
        <v>2484</v>
      </c>
      <c r="I854" s="21">
        <v>3031</v>
      </c>
      <c r="J854" s="21">
        <v>712</v>
      </c>
      <c r="K854" s="21">
        <v>769</v>
      </c>
      <c r="L854" s="21">
        <v>156</v>
      </c>
      <c r="M854" s="21">
        <v>0.70550000000000002</v>
      </c>
      <c r="N854" s="21">
        <v>0.60119999999999996</v>
      </c>
      <c r="O854" s="21">
        <v>0.55830000000000002</v>
      </c>
      <c r="P854" s="21">
        <v>315</v>
      </c>
      <c r="Q854" s="21">
        <v>0.57779999999999998</v>
      </c>
      <c r="R854" s="21">
        <v>47</v>
      </c>
      <c r="S854" s="21">
        <v>24</v>
      </c>
      <c r="T854" s="21">
        <v>0.1011</v>
      </c>
      <c r="U854" s="21">
        <v>8.9200000000000002E-2</v>
      </c>
      <c r="V854" s="21">
        <v>0.97340000000000004</v>
      </c>
      <c r="W854" s="21">
        <v>344</v>
      </c>
      <c r="X854" s="21">
        <v>464</v>
      </c>
      <c r="Y854" s="21">
        <v>534</v>
      </c>
      <c r="Z854" s="21">
        <v>0.5</v>
      </c>
      <c r="AA854" s="21">
        <v>0.9</v>
      </c>
      <c r="AB854" s="21">
        <v>1010</v>
      </c>
      <c r="AC854" s="21">
        <v>1010</v>
      </c>
      <c r="AD854" s="21">
        <v>885</v>
      </c>
      <c r="AE854" s="21">
        <v>311</v>
      </c>
      <c r="AF854" s="21">
        <v>0.40920000000000001</v>
      </c>
      <c r="AG854" s="21">
        <v>61</v>
      </c>
      <c r="AH854" s="21">
        <v>8.0299999999999996E-2</v>
      </c>
      <c r="AI854" s="21">
        <v>0.36899999999999999</v>
      </c>
      <c r="AJ854" s="21">
        <v>0.1429</v>
      </c>
      <c r="AK854" s="21">
        <v>286</v>
      </c>
      <c r="AL854" s="21">
        <v>0.36070000000000002</v>
      </c>
      <c r="AM854" s="21">
        <v>171</v>
      </c>
      <c r="AN854" s="21">
        <v>0.21560000000000001</v>
      </c>
      <c r="AO854" s="21">
        <v>0.66159999999999997</v>
      </c>
      <c r="AP854" s="21">
        <v>58</v>
      </c>
      <c r="AQ854" s="21">
        <v>58</v>
      </c>
      <c r="AR854" s="21">
        <v>37</v>
      </c>
      <c r="AS854" s="21">
        <v>9</v>
      </c>
      <c r="AT854" s="21">
        <v>12</v>
      </c>
      <c r="AU854" s="21">
        <v>1441</v>
      </c>
      <c r="AV854" s="21">
        <v>611</v>
      </c>
    </row>
    <row r="855" spans="1:48" x14ac:dyDescent="0.15">
      <c r="A855" s="20" t="s">
        <v>61</v>
      </c>
      <c r="B855" s="20" t="s">
        <v>121</v>
      </c>
      <c r="C855" s="21">
        <v>5125</v>
      </c>
      <c r="D855" s="21">
        <v>1436</v>
      </c>
      <c r="E855" s="21">
        <v>0</v>
      </c>
      <c r="F855" s="21">
        <v>6562</v>
      </c>
      <c r="G855" s="21">
        <v>1485</v>
      </c>
      <c r="H855" s="21">
        <v>1746</v>
      </c>
      <c r="I855" s="21">
        <v>1508</v>
      </c>
      <c r="J855" s="21">
        <v>1213</v>
      </c>
      <c r="K855" s="21">
        <v>399</v>
      </c>
      <c r="L855" s="21">
        <v>98</v>
      </c>
      <c r="M855" s="21">
        <v>0.75760000000000005</v>
      </c>
      <c r="N855" s="21">
        <v>0.70709999999999995</v>
      </c>
      <c r="O855" s="21">
        <v>0.61619999999999997</v>
      </c>
      <c r="P855" s="21">
        <v>216</v>
      </c>
      <c r="Q855" s="21">
        <v>0.72219999999999995</v>
      </c>
      <c r="R855" s="21">
        <v>67</v>
      </c>
      <c r="S855" s="21">
        <v>30</v>
      </c>
      <c r="T855" s="21">
        <v>0.17510000000000001</v>
      </c>
      <c r="U855" s="21">
        <v>7.85E-2</v>
      </c>
      <c r="V855" s="21">
        <v>0.65229999999999999</v>
      </c>
      <c r="W855" s="21">
        <v>187</v>
      </c>
      <c r="X855" s="21">
        <v>273</v>
      </c>
      <c r="Y855" s="21">
        <v>308</v>
      </c>
      <c r="Z855" s="21">
        <v>0.9</v>
      </c>
      <c r="AA855" s="21">
        <v>0.9</v>
      </c>
      <c r="AB855" s="21">
        <v>329</v>
      </c>
      <c r="AC855" s="21">
        <v>329</v>
      </c>
      <c r="AD855" s="21">
        <v>299</v>
      </c>
      <c r="AE855" s="21">
        <v>78</v>
      </c>
      <c r="AF855" s="21">
        <v>0.28999999999999998</v>
      </c>
      <c r="AG855" s="21">
        <v>18</v>
      </c>
      <c r="AH855" s="21">
        <v>6.6900000000000001E-2</v>
      </c>
      <c r="AI855" s="21">
        <v>0.37330000000000002</v>
      </c>
      <c r="AJ855" s="21">
        <v>0.47060000000000002</v>
      </c>
      <c r="AK855" s="21">
        <v>128</v>
      </c>
      <c r="AL855" s="21">
        <v>0.42809999999999998</v>
      </c>
      <c r="AM855" s="21">
        <v>76</v>
      </c>
      <c r="AN855" s="21">
        <v>0.25419999999999998</v>
      </c>
      <c r="AO855" s="21">
        <v>0.30709999999999998</v>
      </c>
      <c r="AP855" s="21">
        <v>36</v>
      </c>
      <c r="AQ855" s="21">
        <v>36</v>
      </c>
      <c r="AR855" s="21">
        <v>9</v>
      </c>
      <c r="AS855" s="21">
        <v>17</v>
      </c>
      <c r="AT855" s="21">
        <v>10</v>
      </c>
      <c r="AU855" s="21">
        <v>644</v>
      </c>
      <c r="AV855" s="21">
        <v>30</v>
      </c>
    </row>
    <row r="856" spans="1:48" x14ac:dyDescent="0.15">
      <c r="A856" s="20" t="s">
        <v>48</v>
      </c>
      <c r="B856" s="20" t="s">
        <v>122</v>
      </c>
      <c r="C856" s="21">
        <v>6181</v>
      </c>
      <c r="D856" s="21">
        <v>2724</v>
      </c>
      <c r="E856" s="21">
        <v>0</v>
      </c>
      <c r="F856" s="21">
        <v>8905</v>
      </c>
      <c r="G856" s="21">
        <v>438</v>
      </c>
      <c r="H856" s="21">
        <v>3627</v>
      </c>
      <c r="I856" s="21">
        <v>1253</v>
      </c>
      <c r="J856" s="21">
        <v>274</v>
      </c>
      <c r="K856" s="21">
        <v>1490</v>
      </c>
      <c r="L856" s="21">
        <v>150</v>
      </c>
      <c r="M856" s="21">
        <v>0.6522</v>
      </c>
      <c r="N856" s="21">
        <v>0.55900000000000005</v>
      </c>
      <c r="O856" s="21">
        <v>0.49690000000000001</v>
      </c>
      <c r="P856" s="21">
        <v>969</v>
      </c>
      <c r="Q856" s="21">
        <v>0.26319999999999999</v>
      </c>
      <c r="R856" s="21">
        <v>57</v>
      </c>
      <c r="S856" s="21">
        <v>9</v>
      </c>
      <c r="T856" s="21">
        <v>7.9699999999999993E-2</v>
      </c>
      <c r="U856" s="21">
        <v>0.1154</v>
      </c>
      <c r="V856" s="21">
        <v>0.96809999999999996</v>
      </c>
      <c r="W856" s="21">
        <v>38</v>
      </c>
      <c r="X856" s="21">
        <v>46</v>
      </c>
      <c r="Y856" s="21">
        <v>39</v>
      </c>
      <c r="Z856" s="21">
        <v>0.2</v>
      </c>
      <c r="AA856" s="21">
        <v>1.2</v>
      </c>
      <c r="AB856" s="21">
        <v>265</v>
      </c>
      <c r="AC856" s="21">
        <v>207</v>
      </c>
      <c r="AD856" s="21">
        <v>262</v>
      </c>
      <c r="AE856" s="21">
        <v>62</v>
      </c>
      <c r="AF856" s="21">
        <v>0.24030000000000001</v>
      </c>
      <c r="AG856" s="21">
        <v>55</v>
      </c>
      <c r="AH856" s="21">
        <v>0.2132</v>
      </c>
      <c r="AI856" s="21">
        <v>0.18179999999999999</v>
      </c>
      <c r="AJ856" s="21">
        <v>0.5</v>
      </c>
      <c r="AK856" s="21">
        <v>29</v>
      </c>
      <c r="AL856" s="21">
        <v>0.12470000000000001</v>
      </c>
      <c r="AM856" s="21">
        <v>19</v>
      </c>
      <c r="AN856" s="21">
        <v>8.1699999999999995E-2</v>
      </c>
      <c r="AO856" s="21">
        <v>0.78100000000000003</v>
      </c>
      <c r="AP856" s="21">
        <v>154</v>
      </c>
      <c r="AQ856" s="21">
        <v>146</v>
      </c>
      <c r="AR856" s="21">
        <v>128</v>
      </c>
      <c r="AS856" s="21">
        <v>18</v>
      </c>
      <c r="AT856" s="21">
        <v>1</v>
      </c>
      <c r="AU856" s="21">
        <v>1565</v>
      </c>
      <c r="AV856" s="21">
        <v>256</v>
      </c>
    </row>
    <row r="857" spans="1:48" x14ac:dyDescent="0.15">
      <c r="A857" s="20" t="s">
        <v>50</v>
      </c>
      <c r="B857" s="20" t="s">
        <v>122</v>
      </c>
      <c r="C857" s="21">
        <v>8079</v>
      </c>
      <c r="D857" s="21">
        <v>4866</v>
      </c>
      <c r="E857" s="21">
        <v>0</v>
      </c>
      <c r="F857" s="21">
        <v>12945</v>
      </c>
      <c r="G857" s="21">
        <v>246</v>
      </c>
      <c r="H857" s="21">
        <v>11098</v>
      </c>
      <c r="I857" s="21">
        <v>0</v>
      </c>
      <c r="J857" s="21">
        <v>967</v>
      </c>
      <c r="K857" s="21">
        <v>634</v>
      </c>
      <c r="L857" s="21">
        <v>253</v>
      </c>
      <c r="M857" s="21">
        <v>0.81410000000000005</v>
      </c>
      <c r="N857" s="21">
        <v>0.69140000000000001</v>
      </c>
      <c r="O857" s="21">
        <v>0.66539999999999999</v>
      </c>
      <c r="P857" s="21">
        <v>604</v>
      </c>
      <c r="Q857" s="21">
        <v>0.56130000000000002</v>
      </c>
      <c r="R857" s="21">
        <v>50</v>
      </c>
      <c r="S857" s="21">
        <v>21</v>
      </c>
      <c r="T857" s="21">
        <v>8.1199999999999994E-2</v>
      </c>
      <c r="U857" s="21">
        <v>0.1023</v>
      </c>
      <c r="V857" s="21">
        <v>0.98729999999999996</v>
      </c>
      <c r="W857" s="21">
        <v>93</v>
      </c>
      <c r="X857" s="21">
        <v>133</v>
      </c>
      <c r="Y857" s="21">
        <v>152</v>
      </c>
      <c r="Z857" s="21">
        <v>0.2</v>
      </c>
      <c r="AA857" s="21">
        <v>0.9</v>
      </c>
      <c r="AB857" s="21">
        <v>739</v>
      </c>
      <c r="AC857" s="21">
        <v>739</v>
      </c>
      <c r="AD857" s="21">
        <v>754</v>
      </c>
      <c r="AE857" s="21">
        <v>35</v>
      </c>
      <c r="AF857" s="21">
        <v>4.5499999999999999E-2</v>
      </c>
      <c r="AG857" s="21">
        <v>65</v>
      </c>
      <c r="AH857" s="21">
        <v>8.4500000000000006E-2</v>
      </c>
      <c r="AI857" s="21">
        <v>0.60709999999999997</v>
      </c>
      <c r="AJ857" s="21">
        <v>0.5181</v>
      </c>
      <c r="AK857" s="21">
        <v>136</v>
      </c>
      <c r="AL857" s="21">
        <v>0.18049999999999999</v>
      </c>
      <c r="AM857" s="21">
        <v>98</v>
      </c>
      <c r="AN857" s="21">
        <v>0.13009999999999999</v>
      </c>
      <c r="AO857" s="21">
        <v>0.79400000000000004</v>
      </c>
      <c r="AP857" s="21">
        <v>105</v>
      </c>
      <c r="AQ857" s="21">
        <v>105</v>
      </c>
      <c r="AR857" s="21">
        <v>82</v>
      </c>
      <c r="AS857" s="21">
        <v>7</v>
      </c>
      <c r="AT857" s="21">
        <v>16</v>
      </c>
      <c r="AU857" s="21">
        <v>538</v>
      </c>
      <c r="AV857" s="21">
        <v>338</v>
      </c>
    </row>
    <row r="858" spans="1:48" x14ac:dyDescent="0.15">
      <c r="A858" s="20" t="s">
        <v>51</v>
      </c>
      <c r="B858" s="20" t="s">
        <v>122</v>
      </c>
      <c r="C858" s="21">
        <v>29664</v>
      </c>
      <c r="D858" s="21">
        <v>8846</v>
      </c>
      <c r="E858" s="21">
        <v>0</v>
      </c>
      <c r="F858" s="21">
        <v>38510</v>
      </c>
      <c r="G858" s="21">
        <v>1905</v>
      </c>
      <c r="H858" s="21">
        <v>12234</v>
      </c>
      <c r="I858" s="21">
        <v>4815</v>
      </c>
      <c r="J858" s="21">
        <v>3382</v>
      </c>
      <c r="K858" s="21">
        <v>15975</v>
      </c>
      <c r="L858" s="21">
        <v>1040</v>
      </c>
      <c r="M858" s="21">
        <v>0.74929999999999997</v>
      </c>
      <c r="N858" s="21">
        <v>0.61370000000000002</v>
      </c>
      <c r="O858" s="21">
        <v>0.63049999999999995</v>
      </c>
      <c r="P858" s="21">
        <v>3403</v>
      </c>
      <c r="Q858" s="21">
        <v>0.52370000000000005</v>
      </c>
      <c r="R858" s="21">
        <v>36</v>
      </c>
      <c r="S858" s="21">
        <v>11</v>
      </c>
      <c r="T858" s="21">
        <v>0.1545</v>
      </c>
      <c r="U858" s="21">
        <v>0.15390000000000001</v>
      </c>
      <c r="V858" s="21">
        <v>0.96540000000000004</v>
      </c>
      <c r="W858" s="21">
        <v>1180</v>
      </c>
      <c r="X858" s="21">
        <v>1654</v>
      </c>
      <c r="Y858" s="21">
        <v>2140</v>
      </c>
      <c r="Z858" s="21">
        <v>0.2</v>
      </c>
      <c r="AA858" s="21">
        <v>0.8</v>
      </c>
      <c r="AB858" s="21">
        <v>9282</v>
      </c>
      <c r="AC858" s="21">
        <v>9282</v>
      </c>
      <c r="AD858" s="21">
        <v>9092</v>
      </c>
      <c r="AE858" s="21">
        <v>1042</v>
      </c>
      <c r="AF858" s="21">
        <v>0.11700000000000001</v>
      </c>
      <c r="AG858" s="21">
        <v>663</v>
      </c>
      <c r="AH858" s="21">
        <v>7.4499999999999997E-2</v>
      </c>
      <c r="AI858" s="21">
        <v>0.19689999999999999</v>
      </c>
      <c r="AJ858" s="21">
        <v>0.63290000000000002</v>
      </c>
      <c r="AK858" s="21">
        <v>1505</v>
      </c>
      <c r="AL858" s="21">
        <v>0.16639999999999999</v>
      </c>
      <c r="AM858" s="21">
        <v>1101</v>
      </c>
      <c r="AN858" s="21">
        <v>0.1217</v>
      </c>
      <c r="AO858" s="21">
        <v>0.74050000000000005</v>
      </c>
      <c r="AP858" s="21">
        <v>147</v>
      </c>
      <c r="AQ858" s="21">
        <v>147</v>
      </c>
      <c r="AR858" s="21">
        <v>134</v>
      </c>
      <c r="AS858" s="21">
        <v>12</v>
      </c>
      <c r="AT858" s="21">
        <v>1</v>
      </c>
      <c r="AU858" s="21">
        <v>3855</v>
      </c>
      <c r="AV858" s="21">
        <v>1915</v>
      </c>
    </row>
    <row r="859" spans="1:48" x14ac:dyDescent="0.15">
      <c r="A859" s="20" t="s">
        <v>52</v>
      </c>
      <c r="B859" s="20" t="s">
        <v>122</v>
      </c>
      <c r="C859" s="21">
        <v>6134</v>
      </c>
      <c r="D859" s="21">
        <v>5892</v>
      </c>
      <c r="E859" s="21">
        <v>0</v>
      </c>
      <c r="F859" s="21">
        <v>12026</v>
      </c>
      <c r="G859" s="21">
        <v>2498</v>
      </c>
      <c r="H859" s="21">
        <v>5242</v>
      </c>
      <c r="I859" s="21">
        <v>1297</v>
      </c>
      <c r="J859" s="21">
        <v>1761</v>
      </c>
      <c r="K859" s="21">
        <v>1228</v>
      </c>
      <c r="L859" s="21">
        <v>285</v>
      </c>
      <c r="M859" s="21">
        <v>0.75170000000000003</v>
      </c>
      <c r="N859" s="21">
        <v>0.48599999999999999</v>
      </c>
      <c r="O859" s="21">
        <v>0.64690000000000003</v>
      </c>
      <c r="P859" s="21">
        <v>953</v>
      </c>
      <c r="Q859" s="21">
        <v>0.37990000000000002</v>
      </c>
      <c r="R859" s="21">
        <v>42</v>
      </c>
      <c r="S859" s="21">
        <v>13</v>
      </c>
      <c r="T859" s="21">
        <v>0.1188</v>
      </c>
      <c r="U859" s="21">
        <v>0.1084</v>
      </c>
      <c r="V859" s="21">
        <v>0.96089999999999998</v>
      </c>
      <c r="W859" s="21">
        <v>106</v>
      </c>
      <c r="X859" s="21">
        <v>102</v>
      </c>
      <c r="Y859" s="21">
        <v>157</v>
      </c>
      <c r="Z859" s="21">
        <v>0.2</v>
      </c>
      <c r="AA859" s="21">
        <v>0.6</v>
      </c>
      <c r="AB859" s="21">
        <v>418</v>
      </c>
      <c r="AC859" s="21">
        <v>418</v>
      </c>
      <c r="AD859" s="21">
        <v>447</v>
      </c>
      <c r="AE859" s="21">
        <v>22</v>
      </c>
      <c r="AF859" s="21">
        <v>4.6199999999999998E-2</v>
      </c>
      <c r="AG859" s="21">
        <v>80</v>
      </c>
      <c r="AH859" s="21">
        <v>0.1681</v>
      </c>
      <c r="AI859" s="21">
        <v>0</v>
      </c>
      <c r="AJ859" s="21">
        <v>0.75</v>
      </c>
      <c r="AK859" s="21">
        <v>102</v>
      </c>
      <c r="AL859" s="21">
        <v>0.22819999999999999</v>
      </c>
      <c r="AM859" s="21">
        <v>65</v>
      </c>
      <c r="AN859" s="21">
        <v>0.1454</v>
      </c>
      <c r="AO859" s="21">
        <v>0.95940000000000003</v>
      </c>
      <c r="AP859" s="21">
        <v>30</v>
      </c>
      <c r="AQ859" s="21">
        <v>30</v>
      </c>
      <c r="AR859" s="21">
        <v>28</v>
      </c>
      <c r="AS859" s="21">
        <v>3</v>
      </c>
      <c r="AT859" s="21">
        <v>0</v>
      </c>
      <c r="AU859" s="21">
        <v>619</v>
      </c>
      <c r="AV859" s="21">
        <v>885</v>
      </c>
    </row>
    <row r="860" spans="1:48" x14ac:dyDescent="0.15">
      <c r="A860" s="20" t="s">
        <v>53</v>
      </c>
      <c r="B860" s="20" t="s">
        <v>122</v>
      </c>
      <c r="C860" s="21">
        <v>1973</v>
      </c>
      <c r="D860" s="21">
        <v>814</v>
      </c>
      <c r="E860" s="21">
        <v>0</v>
      </c>
      <c r="F860" s="21">
        <v>2788</v>
      </c>
      <c r="H860" s="21">
        <v>1029</v>
      </c>
      <c r="I860" s="21">
        <v>236</v>
      </c>
      <c r="J860" s="21">
        <v>1522</v>
      </c>
      <c r="K860" s="21">
        <v>0</v>
      </c>
      <c r="L860" s="21">
        <v>161</v>
      </c>
      <c r="M860" s="21">
        <v>0.83560000000000001</v>
      </c>
      <c r="N860" s="21">
        <v>0.44440000000000002</v>
      </c>
      <c r="O860" s="21">
        <v>0.63560000000000005</v>
      </c>
      <c r="P860" s="21">
        <v>1863</v>
      </c>
      <c r="Q860" s="21">
        <v>0.13739999999999999</v>
      </c>
      <c r="R860" s="21">
        <v>14</v>
      </c>
      <c r="S860" s="21">
        <v>1</v>
      </c>
      <c r="T860" s="21">
        <v>0.19040000000000001</v>
      </c>
      <c r="U860" s="21">
        <v>2.1700000000000001E-2</v>
      </c>
      <c r="W860" s="21">
        <v>479</v>
      </c>
      <c r="X860" s="21">
        <v>676</v>
      </c>
      <c r="Y860" s="21">
        <v>766</v>
      </c>
      <c r="Z860" s="21">
        <v>0.3</v>
      </c>
      <c r="AA860" s="21">
        <v>0.9</v>
      </c>
      <c r="AB860" s="21">
        <v>2530</v>
      </c>
      <c r="AC860" s="21">
        <v>2200</v>
      </c>
      <c r="AD860" s="21">
        <v>2395</v>
      </c>
      <c r="AE860" s="21">
        <v>577</v>
      </c>
      <c r="AF860" s="21">
        <v>0.25530000000000003</v>
      </c>
      <c r="AG860" s="21">
        <v>307</v>
      </c>
      <c r="AH860" s="21">
        <v>0.1358</v>
      </c>
      <c r="AI860" s="21">
        <v>0.28570000000000001</v>
      </c>
      <c r="AJ860" s="21">
        <v>0.48680000000000001</v>
      </c>
      <c r="AK860" s="21">
        <v>621</v>
      </c>
      <c r="AL860" s="21">
        <v>0.27850000000000003</v>
      </c>
      <c r="AM860" s="21">
        <v>440</v>
      </c>
      <c r="AN860" s="21">
        <v>0.1973</v>
      </c>
      <c r="AP860" s="21">
        <v>51</v>
      </c>
      <c r="AQ860" s="21">
        <v>51</v>
      </c>
      <c r="AR860" s="21">
        <v>29</v>
      </c>
      <c r="AS860" s="21">
        <v>23</v>
      </c>
      <c r="AT860" s="21">
        <v>0</v>
      </c>
      <c r="AU860" s="21">
        <v>6</v>
      </c>
      <c r="AV860" s="21">
        <v>334</v>
      </c>
    </row>
    <row r="861" spans="1:48" x14ac:dyDescent="0.15">
      <c r="A861" s="20" t="s">
        <v>0</v>
      </c>
      <c r="B861" s="20" t="s">
        <v>122</v>
      </c>
      <c r="C861" s="21">
        <v>153070</v>
      </c>
      <c r="D861" s="21">
        <v>51306</v>
      </c>
      <c r="E861" s="21">
        <v>0</v>
      </c>
      <c r="F861" s="21">
        <v>204376</v>
      </c>
      <c r="G861" s="21">
        <v>17715</v>
      </c>
      <c r="H861" s="21">
        <v>52437</v>
      </c>
      <c r="I861" s="21">
        <v>16214</v>
      </c>
      <c r="J861" s="21">
        <v>24378</v>
      </c>
      <c r="K861" s="21">
        <v>91613</v>
      </c>
      <c r="L861" s="21">
        <v>3337</v>
      </c>
      <c r="M861" s="21">
        <v>0.75319999999999998</v>
      </c>
      <c r="N861" s="21">
        <v>0.58540000000000003</v>
      </c>
      <c r="O861" s="21">
        <v>0.63170000000000004</v>
      </c>
      <c r="P861" s="21">
        <v>16291</v>
      </c>
      <c r="Q861" s="21">
        <v>0.43219999999999997</v>
      </c>
      <c r="R861" s="21">
        <v>59</v>
      </c>
      <c r="S861" s="21">
        <v>13</v>
      </c>
      <c r="T861" s="21">
        <v>0.12379999999999999</v>
      </c>
      <c r="U861" s="21">
        <v>9.98E-2</v>
      </c>
      <c r="V861" s="21">
        <v>0.94259999999999999</v>
      </c>
      <c r="W861" s="21">
        <v>2958</v>
      </c>
      <c r="X861" s="21">
        <v>3866</v>
      </c>
      <c r="Y861" s="21">
        <v>5015</v>
      </c>
      <c r="Z861" s="21">
        <v>0.2</v>
      </c>
      <c r="AA861" s="21">
        <v>0.8</v>
      </c>
      <c r="AB861" s="21">
        <v>19496</v>
      </c>
      <c r="AC861" s="21">
        <v>19040</v>
      </c>
      <c r="AD861" s="21">
        <v>19201</v>
      </c>
      <c r="AE861" s="21">
        <v>2505</v>
      </c>
      <c r="AF861" s="21">
        <v>0.13250000000000001</v>
      </c>
      <c r="AG861" s="21">
        <v>1915</v>
      </c>
      <c r="AH861" s="21">
        <v>0.1013</v>
      </c>
      <c r="AI861" s="21">
        <v>0.2278</v>
      </c>
      <c r="AJ861" s="21">
        <v>0.58209999999999995</v>
      </c>
      <c r="AK861" s="21">
        <v>3543</v>
      </c>
      <c r="AL861" s="21">
        <v>0.18809999999999999</v>
      </c>
      <c r="AM861" s="21">
        <v>2589</v>
      </c>
      <c r="AN861" s="21">
        <v>0.13750000000000001</v>
      </c>
      <c r="AO861" s="21">
        <v>0.79749999999999999</v>
      </c>
      <c r="AP861" s="21">
        <v>1839</v>
      </c>
      <c r="AQ861" s="21">
        <v>1687</v>
      </c>
      <c r="AR861" s="21">
        <v>1444</v>
      </c>
      <c r="AS861" s="21">
        <v>121</v>
      </c>
      <c r="AT861" s="21">
        <v>122</v>
      </c>
      <c r="AU861" s="21">
        <v>13537</v>
      </c>
      <c r="AV861" s="21">
        <v>6013</v>
      </c>
    </row>
    <row r="862" spans="1:48" x14ac:dyDescent="0.15">
      <c r="A862" s="20" t="s">
        <v>54</v>
      </c>
      <c r="B862" s="20" t="s">
        <v>122</v>
      </c>
      <c r="C862" s="21">
        <v>36827</v>
      </c>
      <c r="D862" s="21">
        <v>5014</v>
      </c>
      <c r="E862" s="21">
        <v>0</v>
      </c>
      <c r="F862" s="21">
        <v>41841</v>
      </c>
      <c r="G862" s="21">
        <v>1024</v>
      </c>
      <c r="H862" s="21">
        <v>1391</v>
      </c>
      <c r="I862" s="21">
        <v>2220</v>
      </c>
      <c r="J862" s="21">
        <v>4260</v>
      </c>
      <c r="K862" s="21">
        <v>32890</v>
      </c>
      <c r="L862" s="21">
        <v>257</v>
      </c>
      <c r="M862" s="21">
        <v>0.89239999999999997</v>
      </c>
      <c r="N862" s="21">
        <v>0.87150000000000005</v>
      </c>
      <c r="O862" s="21">
        <v>0.71879999999999999</v>
      </c>
      <c r="P862" s="21">
        <v>1656</v>
      </c>
      <c r="Q862" s="21">
        <v>0.78990000000000005</v>
      </c>
      <c r="R862" s="21">
        <v>154</v>
      </c>
      <c r="S862" s="21">
        <v>25</v>
      </c>
      <c r="T862" s="21">
        <v>7.1999999999999995E-2</v>
      </c>
      <c r="U862" s="21">
        <v>2.63E-2</v>
      </c>
      <c r="V862" s="21">
        <v>1</v>
      </c>
      <c r="W862" s="21">
        <v>108</v>
      </c>
      <c r="X862" s="21">
        <v>112</v>
      </c>
      <c r="Y862" s="21">
        <v>202</v>
      </c>
      <c r="Z862" s="21">
        <v>0.2</v>
      </c>
      <c r="AA862" s="21">
        <v>0.6</v>
      </c>
      <c r="AB862" s="21">
        <v>545</v>
      </c>
      <c r="AC862" s="21">
        <v>545</v>
      </c>
      <c r="AD862" s="21">
        <v>620</v>
      </c>
      <c r="AE862" s="21">
        <v>29</v>
      </c>
      <c r="AF862" s="21">
        <v>4.1799999999999997E-2</v>
      </c>
      <c r="AG862" s="21">
        <v>178</v>
      </c>
      <c r="AH862" s="21">
        <v>0.25650000000000001</v>
      </c>
      <c r="AI862" s="21">
        <v>0.25</v>
      </c>
      <c r="AJ862" s="21">
        <v>0.45100000000000001</v>
      </c>
      <c r="AK862" s="21">
        <v>131</v>
      </c>
      <c r="AL862" s="21">
        <v>0.21149999999999999</v>
      </c>
      <c r="AM862" s="21">
        <v>109</v>
      </c>
      <c r="AN862" s="21">
        <v>0.1759</v>
      </c>
      <c r="AP862" s="21">
        <v>211</v>
      </c>
      <c r="AQ862" s="21">
        <v>211</v>
      </c>
      <c r="AR862" s="21">
        <v>197</v>
      </c>
      <c r="AS862" s="21">
        <v>6</v>
      </c>
      <c r="AT862" s="21">
        <v>9</v>
      </c>
      <c r="AU862" s="21">
        <v>12</v>
      </c>
      <c r="AV862" s="21">
        <v>0</v>
      </c>
    </row>
    <row r="863" spans="1:48" x14ac:dyDescent="0.15">
      <c r="A863" s="20" t="s">
        <v>55</v>
      </c>
      <c r="B863" s="20" t="s">
        <v>122</v>
      </c>
      <c r="C863" s="21">
        <v>2433</v>
      </c>
      <c r="D863" s="21">
        <v>430</v>
      </c>
      <c r="E863" s="21">
        <v>0</v>
      </c>
      <c r="F863" s="21">
        <v>2862</v>
      </c>
      <c r="G863" s="21">
        <v>637</v>
      </c>
      <c r="H863" s="21">
        <v>1687</v>
      </c>
      <c r="I863" s="21">
        <v>538</v>
      </c>
      <c r="L863" s="21">
        <v>90</v>
      </c>
      <c r="M863" s="21">
        <v>0.44</v>
      </c>
      <c r="N863" s="21">
        <v>0.36670000000000003</v>
      </c>
      <c r="O863" s="21">
        <v>0.36</v>
      </c>
      <c r="P863" s="21">
        <v>674</v>
      </c>
      <c r="Q863" s="21">
        <v>0.2122</v>
      </c>
      <c r="R863" s="21">
        <v>25</v>
      </c>
      <c r="S863" s="21">
        <v>4</v>
      </c>
      <c r="T863" s="21">
        <v>0.22239999999999999</v>
      </c>
      <c r="U863" s="21">
        <v>2.3E-3</v>
      </c>
      <c r="W863" s="21">
        <v>86</v>
      </c>
      <c r="X863" s="21">
        <v>98</v>
      </c>
      <c r="Y863" s="21">
        <v>161</v>
      </c>
      <c r="Z863" s="21">
        <v>0.3</v>
      </c>
      <c r="AA863" s="21">
        <v>0.6</v>
      </c>
      <c r="AB863" s="21">
        <v>270</v>
      </c>
      <c r="AC863" s="21">
        <v>270</v>
      </c>
      <c r="AD863" s="21">
        <v>281</v>
      </c>
      <c r="AE863" s="21">
        <v>14</v>
      </c>
      <c r="AF863" s="21">
        <v>4.7899999999999998E-2</v>
      </c>
      <c r="AG863" s="21">
        <v>36</v>
      </c>
      <c r="AH863" s="21">
        <v>0.12330000000000001</v>
      </c>
      <c r="AI863" s="21">
        <v>0</v>
      </c>
      <c r="AJ863" s="21">
        <v>0</v>
      </c>
      <c r="AK863" s="21">
        <v>75</v>
      </c>
      <c r="AL863" s="21">
        <v>0.26690000000000003</v>
      </c>
      <c r="AM863" s="21">
        <v>61</v>
      </c>
      <c r="AN863" s="21">
        <v>0.21709999999999999</v>
      </c>
      <c r="AP863" s="21">
        <v>31</v>
      </c>
      <c r="AQ863" s="21">
        <v>31</v>
      </c>
      <c r="AR863" s="21">
        <v>27</v>
      </c>
      <c r="AS863" s="21">
        <v>0</v>
      </c>
      <c r="AT863" s="21">
        <v>3</v>
      </c>
      <c r="AU863" s="21">
        <v>0</v>
      </c>
      <c r="AV863" s="21">
        <v>0</v>
      </c>
    </row>
    <row r="864" spans="1:48" x14ac:dyDescent="0.15">
      <c r="A864" s="20" t="s">
        <v>56</v>
      </c>
      <c r="B864" s="20" t="s">
        <v>122</v>
      </c>
      <c r="C864" s="21">
        <v>4745</v>
      </c>
      <c r="D864" s="21">
        <v>2077</v>
      </c>
      <c r="E864" s="21">
        <v>0</v>
      </c>
      <c r="F864" s="21">
        <v>6822</v>
      </c>
      <c r="G864" s="21">
        <v>0</v>
      </c>
      <c r="H864" s="21">
        <v>805</v>
      </c>
      <c r="J864" s="21">
        <v>1911</v>
      </c>
      <c r="K864" s="21">
        <v>4109</v>
      </c>
      <c r="L864" s="21">
        <v>131</v>
      </c>
      <c r="M864" s="21">
        <v>0.69720000000000004</v>
      </c>
      <c r="N864" s="21">
        <v>0.63380000000000003</v>
      </c>
      <c r="O864" s="21">
        <v>0.49299999999999999</v>
      </c>
      <c r="P864" s="21">
        <v>1514</v>
      </c>
      <c r="Q864" s="21">
        <v>0.18029999999999999</v>
      </c>
      <c r="R864" s="21">
        <v>50</v>
      </c>
      <c r="S864" s="21">
        <v>5</v>
      </c>
      <c r="T864" s="21">
        <v>6.9099999999999995E-2</v>
      </c>
      <c r="U864" s="21">
        <v>0.1061</v>
      </c>
      <c r="V864" s="21">
        <v>0.70340000000000003</v>
      </c>
      <c r="W864" s="21">
        <v>42</v>
      </c>
      <c r="X864" s="21">
        <v>44</v>
      </c>
      <c r="Y864" s="21">
        <v>63</v>
      </c>
      <c r="Z864" s="21">
        <v>0.3</v>
      </c>
      <c r="AA864" s="21">
        <v>0.7</v>
      </c>
      <c r="AB864" s="21">
        <v>162</v>
      </c>
      <c r="AC864" s="21">
        <v>162</v>
      </c>
      <c r="AD864" s="21">
        <v>166</v>
      </c>
      <c r="AE864" s="21">
        <v>4</v>
      </c>
      <c r="AF864" s="21">
        <v>2.35E-2</v>
      </c>
      <c r="AG864" s="21">
        <v>12</v>
      </c>
      <c r="AH864" s="21">
        <v>7.0599999999999996E-2</v>
      </c>
      <c r="AI864" s="21">
        <v>0.25</v>
      </c>
      <c r="AJ864" s="21">
        <v>0.33329999999999999</v>
      </c>
      <c r="AK864" s="21">
        <v>35</v>
      </c>
      <c r="AL864" s="21">
        <v>0.21079999999999999</v>
      </c>
      <c r="AM864" s="21">
        <v>32</v>
      </c>
      <c r="AN864" s="21">
        <v>0.1928</v>
      </c>
      <c r="AO864" s="21">
        <v>0.98819999999999997</v>
      </c>
      <c r="AP864" s="21">
        <v>387</v>
      </c>
      <c r="AQ864" s="21">
        <v>376</v>
      </c>
      <c r="AR864" s="21">
        <v>345</v>
      </c>
      <c r="AS864" s="21">
        <v>31</v>
      </c>
      <c r="AT864" s="21">
        <v>0</v>
      </c>
      <c r="AU864" s="21">
        <v>66</v>
      </c>
      <c r="AV864" s="21">
        <v>271</v>
      </c>
    </row>
    <row r="865" spans="1:48" x14ac:dyDescent="0.15">
      <c r="A865" s="20" t="s">
        <v>57</v>
      </c>
      <c r="B865" s="20" t="s">
        <v>122</v>
      </c>
      <c r="C865" s="21">
        <v>2327</v>
      </c>
      <c r="D865" s="21">
        <v>9285</v>
      </c>
      <c r="E865" s="21">
        <v>0</v>
      </c>
      <c r="F865" s="21">
        <v>11612</v>
      </c>
      <c r="G865" s="21">
        <v>3010</v>
      </c>
      <c r="H865" s="21">
        <v>2021</v>
      </c>
      <c r="I865" s="21">
        <v>1596</v>
      </c>
      <c r="J865" s="21">
        <v>4248</v>
      </c>
      <c r="K865" s="21">
        <v>736</v>
      </c>
      <c r="L865" s="21">
        <v>286</v>
      </c>
      <c r="M865" s="21">
        <v>0.66080000000000005</v>
      </c>
      <c r="N865" s="21">
        <v>0.25519999999999998</v>
      </c>
      <c r="O865" s="21">
        <v>0.64339999999999997</v>
      </c>
      <c r="P865" s="21">
        <v>668</v>
      </c>
      <c r="Q865" s="21">
        <v>0.37430000000000002</v>
      </c>
      <c r="R865" s="21">
        <v>41</v>
      </c>
      <c r="S865" s="21">
        <v>17</v>
      </c>
      <c r="T865" s="21">
        <v>0.17660000000000001</v>
      </c>
      <c r="U865" s="21">
        <v>7.2400000000000006E-2</v>
      </c>
      <c r="V865" s="21">
        <v>0.89649999999999996</v>
      </c>
      <c r="W865" s="21">
        <v>241</v>
      </c>
      <c r="X865" s="21">
        <v>342</v>
      </c>
      <c r="Y865" s="21">
        <v>319</v>
      </c>
      <c r="Z865" s="21">
        <v>0.3</v>
      </c>
      <c r="AA865" s="21">
        <v>1.1000000000000001</v>
      </c>
      <c r="AB865" s="21">
        <v>1115</v>
      </c>
      <c r="AC865" s="21">
        <v>1115</v>
      </c>
      <c r="AD865" s="21">
        <v>1126</v>
      </c>
      <c r="AE865" s="21">
        <v>143</v>
      </c>
      <c r="AF865" s="21">
        <v>0.12570000000000001</v>
      </c>
      <c r="AG865" s="21">
        <v>166</v>
      </c>
      <c r="AH865" s="21">
        <v>0.1459</v>
      </c>
      <c r="AI865" s="21">
        <v>0.2424</v>
      </c>
      <c r="AJ865" s="21">
        <v>0.63639999999999997</v>
      </c>
      <c r="AK865" s="21">
        <v>204</v>
      </c>
      <c r="AL865" s="21">
        <v>0.18110000000000001</v>
      </c>
      <c r="AM865" s="21">
        <v>163</v>
      </c>
      <c r="AN865" s="21">
        <v>0.1447</v>
      </c>
      <c r="AO865" s="21">
        <v>0.80479999999999996</v>
      </c>
      <c r="AP865" s="21">
        <v>387</v>
      </c>
      <c r="AQ865" s="21">
        <v>255</v>
      </c>
      <c r="AR865" s="21">
        <v>179</v>
      </c>
      <c r="AS865" s="21">
        <v>10</v>
      </c>
      <c r="AT865" s="21">
        <v>66</v>
      </c>
      <c r="AU865" s="21">
        <v>4402</v>
      </c>
      <c r="AV865" s="21">
        <v>457</v>
      </c>
    </row>
    <row r="866" spans="1:48" x14ac:dyDescent="0.15">
      <c r="A866" s="20" t="s">
        <v>58</v>
      </c>
      <c r="B866" s="20" t="s">
        <v>122</v>
      </c>
      <c r="C866" s="21">
        <v>37234</v>
      </c>
      <c r="D866" s="21">
        <v>4231</v>
      </c>
      <c r="E866" s="21">
        <v>0</v>
      </c>
      <c r="F866" s="21">
        <v>41465</v>
      </c>
      <c r="G866" s="21">
        <v>5089</v>
      </c>
      <c r="H866" s="21">
        <v>8974</v>
      </c>
      <c r="J866" s="21">
        <v>3504</v>
      </c>
      <c r="K866" s="21">
        <v>23898</v>
      </c>
      <c r="L866" s="21">
        <v>343</v>
      </c>
      <c r="M866" s="21">
        <v>0.82740000000000002</v>
      </c>
      <c r="N866" s="21">
        <v>0.75619999999999998</v>
      </c>
      <c r="O866" s="21">
        <v>0.70140000000000002</v>
      </c>
      <c r="P866" s="21">
        <v>2333</v>
      </c>
      <c r="Q866" s="21">
        <v>0.63049999999999995</v>
      </c>
      <c r="R866" s="21">
        <v>119</v>
      </c>
      <c r="S866" s="21">
        <v>18</v>
      </c>
      <c r="T866" s="21">
        <v>0.15310000000000001</v>
      </c>
      <c r="U866" s="21">
        <v>7.7600000000000002E-2</v>
      </c>
      <c r="V866" s="21">
        <v>0.96340000000000003</v>
      </c>
      <c r="W866" s="21">
        <v>409</v>
      </c>
      <c r="X866" s="21">
        <v>480</v>
      </c>
      <c r="Y866" s="21">
        <v>755</v>
      </c>
      <c r="Z866" s="21">
        <v>0.2</v>
      </c>
      <c r="AA866" s="21">
        <v>0.6</v>
      </c>
      <c r="AB866" s="21">
        <v>2586</v>
      </c>
      <c r="AC866" s="21">
        <v>2518</v>
      </c>
      <c r="AD866" s="21">
        <v>2445</v>
      </c>
      <c r="AE866" s="21">
        <v>469</v>
      </c>
      <c r="AF866" s="21">
        <v>0.2036</v>
      </c>
      <c r="AG866" s="21">
        <v>187</v>
      </c>
      <c r="AH866" s="21">
        <v>8.1199999999999994E-2</v>
      </c>
      <c r="AI866" s="21">
        <v>0.2349</v>
      </c>
      <c r="AJ866" s="21">
        <v>0.51500000000000001</v>
      </c>
      <c r="AK866" s="21">
        <v>524</v>
      </c>
      <c r="AL866" s="21">
        <v>0.21729999999999999</v>
      </c>
      <c r="AM866" s="21">
        <v>377</v>
      </c>
      <c r="AN866" s="21">
        <v>0.15640000000000001</v>
      </c>
      <c r="AO866" s="21">
        <v>0.83799999999999997</v>
      </c>
      <c r="AP866" s="21">
        <v>169</v>
      </c>
      <c r="AQ866" s="21">
        <v>169</v>
      </c>
      <c r="AR866" s="21">
        <v>166</v>
      </c>
      <c r="AS866" s="21">
        <v>3</v>
      </c>
      <c r="AT866" s="21">
        <v>0</v>
      </c>
      <c r="AU866" s="21">
        <v>502</v>
      </c>
      <c r="AV866" s="21">
        <v>535</v>
      </c>
    </row>
    <row r="867" spans="1:48" x14ac:dyDescent="0.15">
      <c r="A867" s="20" t="s">
        <v>59</v>
      </c>
      <c r="B867" s="20" t="s">
        <v>122</v>
      </c>
      <c r="C867" s="21">
        <v>8715</v>
      </c>
      <c r="D867" s="21">
        <v>2022</v>
      </c>
      <c r="E867" s="21">
        <v>0</v>
      </c>
      <c r="F867" s="21">
        <v>10737</v>
      </c>
      <c r="G867" s="21">
        <v>627</v>
      </c>
      <c r="H867" s="21">
        <v>0</v>
      </c>
      <c r="I867" s="21">
        <v>146</v>
      </c>
      <c r="J867" s="21">
        <v>592</v>
      </c>
      <c r="K867" s="21">
        <v>9372</v>
      </c>
      <c r="L867" s="21">
        <v>98</v>
      </c>
      <c r="M867" s="21">
        <v>0.78100000000000003</v>
      </c>
      <c r="N867" s="21">
        <v>0.47620000000000001</v>
      </c>
      <c r="O867" s="21">
        <v>0.68569999999999998</v>
      </c>
      <c r="P867" s="21">
        <v>1123</v>
      </c>
      <c r="Q867" s="21">
        <v>0.2404</v>
      </c>
      <c r="R867" s="21">
        <v>106</v>
      </c>
      <c r="S867" s="21">
        <v>10</v>
      </c>
      <c r="T867" s="21">
        <v>0.1338</v>
      </c>
      <c r="U867" s="21">
        <v>0.01</v>
      </c>
      <c r="W867" s="21">
        <v>42</v>
      </c>
      <c r="X867" s="21">
        <v>40</v>
      </c>
      <c r="Y867" s="21">
        <v>53</v>
      </c>
      <c r="Z867" s="21">
        <v>0.1</v>
      </c>
      <c r="AA867" s="21">
        <v>0.7</v>
      </c>
      <c r="AB867" s="21">
        <v>270</v>
      </c>
      <c r="AC867" s="21">
        <v>270</v>
      </c>
      <c r="AD867" s="21">
        <v>286</v>
      </c>
      <c r="AE867" s="21">
        <v>25</v>
      </c>
      <c r="AF867" s="21">
        <v>8.2500000000000004E-2</v>
      </c>
      <c r="AG867" s="21">
        <v>58</v>
      </c>
      <c r="AH867" s="21">
        <v>0.19139999999999999</v>
      </c>
      <c r="AI867" s="21">
        <v>0</v>
      </c>
      <c r="AJ867" s="21">
        <v>0</v>
      </c>
      <c r="AK867" s="21">
        <v>40</v>
      </c>
      <c r="AL867" s="21">
        <v>0.1396</v>
      </c>
      <c r="AM867" s="21">
        <v>19</v>
      </c>
      <c r="AN867" s="21">
        <v>6.6299999999999998E-2</v>
      </c>
      <c r="AP867" s="21">
        <v>78</v>
      </c>
      <c r="AQ867" s="21">
        <v>78</v>
      </c>
      <c r="AR867" s="21">
        <v>73</v>
      </c>
      <c r="AS867" s="21">
        <v>2</v>
      </c>
      <c r="AT867" s="21">
        <v>3</v>
      </c>
      <c r="AU867" s="21">
        <v>14</v>
      </c>
      <c r="AV867" s="21">
        <v>0</v>
      </c>
    </row>
    <row r="868" spans="1:48" x14ac:dyDescent="0.15">
      <c r="A868" s="20" t="s">
        <v>60</v>
      </c>
      <c r="B868" s="20" t="s">
        <v>122</v>
      </c>
      <c r="C868" s="21">
        <v>4690</v>
      </c>
      <c r="D868" s="21">
        <v>3173</v>
      </c>
      <c r="E868" s="21">
        <v>0</v>
      </c>
      <c r="F868" s="21">
        <v>7863</v>
      </c>
      <c r="G868" s="21">
        <v>576</v>
      </c>
      <c r="H868" s="21">
        <v>2995</v>
      </c>
      <c r="I868" s="21">
        <v>2952</v>
      </c>
      <c r="J868" s="21">
        <v>488</v>
      </c>
      <c r="K868" s="21">
        <v>852</v>
      </c>
      <c r="L868" s="21">
        <v>148</v>
      </c>
      <c r="M868" s="21">
        <v>0.74839999999999995</v>
      </c>
      <c r="N868" s="21">
        <v>0.5161</v>
      </c>
      <c r="O868" s="21">
        <v>0.65810000000000002</v>
      </c>
      <c r="P868" s="21">
        <v>315</v>
      </c>
      <c r="Q868" s="21">
        <v>0.6</v>
      </c>
      <c r="R868" s="21">
        <v>52</v>
      </c>
      <c r="S868" s="21">
        <v>25</v>
      </c>
      <c r="T868" s="21">
        <v>7.4200000000000002E-2</v>
      </c>
      <c r="U868" s="21">
        <v>8.2600000000000007E-2</v>
      </c>
      <c r="V868" s="21">
        <v>0.96660000000000001</v>
      </c>
      <c r="W868" s="21">
        <v>115</v>
      </c>
      <c r="X868" s="21">
        <v>120</v>
      </c>
      <c r="Y868" s="21">
        <v>177</v>
      </c>
      <c r="Z868" s="21">
        <v>0.1</v>
      </c>
      <c r="AA868" s="21">
        <v>0.7</v>
      </c>
      <c r="AB868" s="21">
        <v>1020</v>
      </c>
      <c r="AC868" s="21">
        <v>1020</v>
      </c>
      <c r="AD868" s="21">
        <v>1015</v>
      </c>
      <c r="AE868" s="21">
        <v>67</v>
      </c>
      <c r="AF868" s="21">
        <v>6.6299999999999998E-2</v>
      </c>
      <c r="AG868" s="21">
        <v>57</v>
      </c>
      <c r="AH868" s="21">
        <v>5.6399999999999999E-2</v>
      </c>
      <c r="AI868" s="21">
        <v>0.1111</v>
      </c>
      <c r="AJ868" s="21">
        <v>0.48720000000000002</v>
      </c>
      <c r="AK868" s="21">
        <v>120</v>
      </c>
      <c r="AL868" s="21">
        <v>0.13039999999999999</v>
      </c>
      <c r="AM868" s="21">
        <v>94</v>
      </c>
      <c r="AN868" s="21">
        <v>0.1021</v>
      </c>
      <c r="AO868" s="21">
        <v>0.87949999999999995</v>
      </c>
      <c r="AP868" s="21">
        <v>49</v>
      </c>
      <c r="AQ868" s="21">
        <v>49</v>
      </c>
      <c r="AR868" s="21">
        <v>42</v>
      </c>
      <c r="AS868" s="21">
        <v>2</v>
      </c>
      <c r="AT868" s="21">
        <v>5</v>
      </c>
      <c r="AU868" s="21">
        <v>1403</v>
      </c>
      <c r="AV868" s="21">
        <v>917</v>
      </c>
    </row>
    <row r="869" spans="1:48" x14ac:dyDescent="0.15">
      <c r="A869" s="20" t="s">
        <v>61</v>
      </c>
      <c r="B869" s="20" t="s">
        <v>122</v>
      </c>
      <c r="C869" s="21">
        <v>4068</v>
      </c>
      <c r="D869" s="21">
        <v>1932</v>
      </c>
      <c r="E869" s="21">
        <v>0</v>
      </c>
      <c r="F869" s="21">
        <v>6001</v>
      </c>
      <c r="G869" s="21">
        <v>1666</v>
      </c>
      <c r="H869" s="21">
        <v>1334</v>
      </c>
      <c r="I869" s="21">
        <v>1159</v>
      </c>
      <c r="J869" s="21">
        <v>1468</v>
      </c>
      <c r="K869" s="21">
        <v>429</v>
      </c>
      <c r="L869" s="21">
        <v>95</v>
      </c>
      <c r="M869" s="21">
        <v>0.73199999999999998</v>
      </c>
      <c r="N869" s="21">
        <v>0.61860000000000004</v>
      </c>
      <c r="O869" s="21">
        <v>0.69069999999999998</v>
      </c>
      <c r="P869" s="21">
        <v>216</v>
      </c>
      <c r="Q869" s="21">
        <v>0.66200000000000003</v>
      </c>
      <c r="R869" s="21">
        <v>63</v>
      </c>
      <c r="S869" s="21">
        <v>28</v>
      </c>
      <c r="T869" s="21">
        <v>0.1167</v>
      </c>
      <c r="U869" s="21">
        <v>7.4700000000000003E-2</v>
      </c>
      <c r="V869" s="21">
        <v>0.85260000000000002</v>
      </c>
      <c r="W869" s="21">
        <v>18</v>
      </c>
      <c r="X869" s="21">
        <v>20</v>
      </c>
      <c r="Y869" s="21">
        <v>31</v>
      </c>
      <c r="Z869" s="21">
        <v>0.1</v>
      </c>
      <c r="AA869" s="21">
        <v>0.7</v>
      </c>
      <c r="AB869" s="21">
        <v>294</v>
      </c>
      <c r="AC869" s="21">
        <v>294</v>
      </c>
      <c r="AD869" s="21">
        <v>312</v>
      </c>
      <c r="AE869" s="21">
        <v>16</v>
      </c>
      <c r="AF869" s="21">
        <v>4.8599999999999997E-2</v>
      </c>
      <c r="AG869" s="21">
        <v>51</v>
      </c>
      <c r="AH869" s="21">
        <v>0.155</v>
      </c>
      <c r="AI869" s="21">
        <v>0</v>
      </c>
      <c r="AJ869" s="21">
        <v>0</v>
      </c>
      <c r="AK869" s="21">
        <v>21</v>
      </c>
      <c r="AL869" s="21">
        <v>6.7400000000000002E-2</v>
      </c>
      <c r="AM869" s="21">
        <v>11</v>
      </c>
      <c r="AN869" s="21">
        <v>3.5299999999999998E-2</v>
      </c>
      <c r="AO869" s="21">
        <v>0.75180000000000002</v>
      </c>
      <c r="AP869" s="21">
        <v>39</v>
      </c>
      <c r="AQ869" s="21">
        <v>39</v>
      </c>
      <c r="AR869" s="21">
        <v>15</v>
      </c>
      <c r="AS869" s="21">
        <v>6</v>
      </c>
      <c r="AT869" s="21">
        <v>18</v>
      </c>
      <c r="AU869" s="21">
        <v>556</v>
      </c>
      <c r="AV869" s="21">
        <v>105</v>
      </c>
    </row>
    <row r="870" spans="1:48" x14ac:dyDescent="0.15">
      <c r="A870" s="20" t="s">
        <v>48</v>
      </c>
      <c r="B870" s="20" t="s">
        <v>123</v>
      </c>
      <c r="C870" s="21">
        <v>5906</v>
      </c>
      <c r="D870" s="21">
        <v>5025</v>
      </c>
      <c r="E870" s="21">
        <v>0</v>
      </c>
      <c r="F870" s="21">
        <v>10931</v>
      </c>
      <c r="G870" s="21">
        <v>596</v>
      </c>
      <c r="H870" s="21">
        <v>3766</v>
      </c>
      <c r="I870" s="21">
        <v>2692</v>
      </c>
      <c r="J870" s="21">
        <v>475</v>
      </c>
      <c r="K870" s="21">
        <v>1660</v>
      </c>
      <c r="L870" s="21">
        <v>143</v>
      </c>
      <c r="M870" s="21">
        <v>0.7823</v>
      </c>
      <c r="N870" s="21">
        <v>0.58499999999999996</v>
      </c>
      <c r="O870" s="21">
        <v>0.64629999999999999</v>
      </c>
      <c r="P870" s="21">
        <v>970</v>
      </c>
      <c r="Q870" s="21">
        <v>0.3165</v>
      </c>
      <c r="R870" s="21">
        <v>76</v>
      </c>
      <c r="S870" s="21">
        <v>11</v>
      </c>
      <c r="T870" s="21">
        <v>0.1023</v>
      </c>
      <c r="U870" s="21">
        <v>0.10589999999999999</v>
      </c>
      <c r="V870" s="21">
        <v>0.9798</v>
      </c>
      <c r="W870" s="21">
        <v>46</v>
      </c>
      <c r="X870" s="21">
        <v>52</v>
      </c>
      <c r="Y870" s="21">
        <v>79</v>
      </c>
      <c r="Z870" s="21">
        <v>0.2</v>
      </c>
      <c r="AA870" s="21">
        <v>0.7</v>
      </c>
      <c r="AB870" s="21">
        <v>268</v>
      </c>
      <c r="AC870" s="21">
        <v>268</v>
      </c>
      <c r="AD870" s="21">
        <v>266</v>
      </c>
      <c r="AE870" s="21">
        <v>24</v>
      </c>
      <c r="AF870" s="21">
        <v>9.06E-2</v>
      </c>
      <c r="AG870" s="21">
        <v>21</v>
      </c>
      <c r="AH870" s="21">
        <v>7.9200000000000007E-2</v>
      </c>
      <c r="AI870" s="21">
        <v>0.25</v>
      </c>
      <c r="AJ870" s="21">
        <v>0.4</v>
      </c>
      <c r="AK870" s="21">
        <v>55</v>
      </c>
      <c r="AL870" s="21">
        <v>0.2064</v>
      </c>
      <c r="AM870" s="21">
        <v>33</v>
      </c>
      <c r="AN870" s="21">
        <v>0.12379999999999999</v>
      </c>
      <c r="AO870" s="21">
        <v>0.4</v>
      </c>
      <c r="AP870" s="21">
        <v>136</v>
      </c>
      <c r="AQ870" s="21">
        <v>136</v>
      </c>
      <c r="AR870" s="21">
        <v>133</v>
      </c>
      <c r="AS870" s="21">
        <v>1</v>
      </c>
      <c r="AT870" s="21">
        <v>2</v>
      </c>
      <c r="AU870" s="21">
        <v>1627</v>
      </c>
      <c r="AV870" s="21">
        <v>90</v>
      </c>
    </row>
    <row r="871" spans="1:48" x14ac:dyDescent="0.15">
      <c r="A871" s="20" t="s">
        <v>50</v>
      </c>
      <c r="B871" s="20" t="s">
        <v>123</v>
      </c>
      <c r="C871" s="21">
        <v>7970</v>
      </c>
      <c r="D871" s="21">
        <v>4496</v>
      </c>
      <c r="E871" s="21">
        <v>0</v>
      </c>
      <c r="F871" s="21">
        <v>12467</v>
      </c>
      <c r="G871" s="21">
        <v>284</v>
      </c>
      <c r="H871" s="21">
        <v>9558</v>
      </c>
      <c r="I871" s="21">
        <v>0</v>
      </c>
      <c r="J871" s="21">
        <v>1913</v>
      </c>
      <c r="K871" s="21">
        <v>711</v>
      </c>
      <c r="L871" s="21">
        <v>236</v>
      </c>
      <c r="M871" s="21">
        <v>0.85770000000000002</v>
      </c>
      <c r="N871" s="21">
        <v>0.69169999999999998</v>
      </c>
      <c r="O871" s="21">
        <v>0.75890000000000002</v>
      </c>
      <c r="P871" s="21">
        <v>580</v>
      </c>
      <c r="Q871" s="21">
        <v>0.60170000000000001</v>
      </c>
      <c r="R871" s="21">
        <v>51</v>
      </c>
      <c r="S871" s="21">
        <v>21</v>
      </c>
      <c r="T871" s="21">
        <v>0.14560000000000001</v>
      </c>
      <c r="U871" s="21">
        <v>9.4600000000000004E-2</v>
      </c>
      <c r="V871" s="21">
        <v>0.94489999999999996</v>
      </c>
      <c r="W871" s="21">
        <v>95</v>
      </c>
      <c r="X871" s="21">
        <v>124</v>
      </c>
      <c r="Y871" s="21">
        <v>156</v>
      </c>
      <c r="Z871" s="21">
        <v>0.2</v>
      </c>
      <c r="AA871" s="21">
        <v>0.8</v>
      </c>
      <c r="AB871" s="21">
        <v>729</v>
      </c>
      <c r="AC871" s="21">
        <v>729</v>
      </c>
      <c r="AD871" s="21">
        <v>734</v>
      </c>
      <c r="AE871" s="21">
        <v>34</v>
      </c>
      <c r="AF871" s="21">
        <v>4.5999999999999999E-2</v>
      </c>
      <c r="AG871" s="21">
        <v>44</v>
      </c>
      <c r="AH871" s="21">
        <v>5.9499999999999997E-2</v>
      </c>
      <c r="AI871" s="21">
        <v>9.0899999999999995E-2</v>
      </c>
      <c r="AJ871" s="21">
        <v>0.75360000000000005</v>
      </c>
      <c r="AK871" s="21">
        <v>128</v>
      </c>
      <c r="AL871" s="21">
        <v>0.1744</v>
      </c>
      <c r="AM871" s="21">
        <v>79</v>
      </c>
      <c r="AN871" s="21">
        <v>0.1076</v>
      </c>
      <c r="AO871" s="21">
        <v>0.63060000000000005</v>
      </c>
      <c r="AP871" s="21">
        <v>131</v>
      </c>
      <c r="AQ871" s="21">
        <v>131</v>
      </c>
      <c r="AR871" s="21">
        <v>96</v>
      </c>
      <c r="AS871" s="21">
        <v>26</v>
      </c>
      <c r="AT871" s="21">
        <v>9</v>
      </c>
      <c r="AU871" s="21">
        <v>442</v>
      </c>
      <c r="AV871" s="21">
        <v>137</v>
      </c>
    </row>
    <row r="872" spans="1:48" x14ac:dyDescent="0.15">
      <c r="A872" s="20" t="s">
        <v>51</v>
      </c>
      <c r="B872" s="20" t="s">
        <v>123</v>
      </c>
      <c r="C872" s="21">
        <v>38111</v>
      </c>
      <c r="D872" s="21">
        <v>12853</v>
      </c>
      <c r="E872" s="21">
        <v>0</v>
      </c>
      <c r="F872" s="21">
        <v>50964</v>
      </c>
      <c r="G872" s="21">
        <v>2482</v>
      </c>
      <c r="H872" s="21">
        <v>15368</v>
      </c>
      <c r="I872" s="21">
        <v>6265</v>
      </c>
      <c r="J872" s="21">
        <v>5377</v>
      </c>
      <c r="K872" s="21">
        <v>21236</v>
      </c>
      <c r="L872" s="21">
        <v>1009</v>
      </c>
      <c r="M872" s="21">
        <v>0.78259999999999996</v>
      </c>
      <c r="N872" s="21">
        <v>0.66379999999999995</v>
      </c>
      <c r="O872" s="21">
        <v>0.67830000000000001</v>
      </c>
      <c r="P872" s="21">
        <v>3386</v>
      </c>
      <c r="Q872" s="21">
        <v>0.55379999999999996</v>
      </c>
      <c r="R872" s="21">
        <v>50</v>
      </c>
      <c r="S872" s="21">
        <v>15</v>
      </c>
      <c r="T872" s="21">
        <v>9.9400000000000002E-2</v>
      </c>
      <c r="U872" s="21">
        <v>0.14230000000000001</v>
      </c>
      <c r="V872" s="21">
        <v>0.95750000000000002</v>
      </c>
      <c r="W872" s="21">
        <v>1172</v>
      </c>
      <c r="X872" s="21">
        <v>1576</v>
      </c>
      <c r="Y872" s="21">
        <v>2141</v>
      </c>
      <c r="Z872" s="21">
        <v>0.2</v>
      </c>
      <c r="AA872" s="21">
        <v>0.7</v>
      </c>
      <c r="AB872" s="21">
        <v>9349</v>
      </c>
      <c r="AC872" s="21">
        <v>9161</v>
      </c>
      <c r="AD872" s="21">
        <v>9316</v>
      </c>
      <c r="AE872" s="21">
        <v>958</v>
      </c>
      <c r="AF872" s="21">
        <v>0.1032</v>
      </c>
      <c r="AG872" s="21">
        <v>891</v>
      </c>
      <c r="AH872" s="21">
        <v>9.6000000000000002E-2</v>
      </c>
      <c r="AI872" s="21">
        <v>0.13650000000000001</v>
      </c>
      <c r="AJ872" s="21">
        <v>0.69079999999999997</v>
      </c>
      <c r="AK872" s="21">
        <v>1490</v>
      </c>
      <c r="AL872" s="21">
        <v>0.16220000000000001</v>
      </c>
      <c r="AM872" s="21">
        <v>977</v>
      </c>
      <c r="AN872" s="21">
        <v>0.10630000000000001</v>
      </c>
      <c r="AO872" s="21">
        <v>0.40350000000000003</v>
      </c>
      <c r="AP872" s="21">
        <v>1032</v>
      </c>
      <c r="AQ872" s="21">
        <v>1032</v>
      </c>
      <c r="AR872" s="21">
        <v>118</v>
      </c>
      <c r="AS872" s="21">
        <v>775</v>
      </c>
      <c r="AT872" s="21">
        <v>139</v>
      </c>
      <c r="AU872" s="21">
        <v>4027</v>
      </c>
      <c r="AV872" s="21">
        <v>1443</v>
      </c>
    </row>
    <row r="873" spans="1:48" x14ac:dyDescent="0.15">
      <c r="A873" s="20" t="s">
        <v>52</v>
      </c>
      <c r="B873" s="20" t="s">
        <v>123</v>
      </c>
      <c r="C873" s="21">
        <v>7990</v>
      </c>
      <c r="D873" s="21">
        <v>6002</v>
      </c>
      <c r="E873" s="21">
        <v>0</v>
      </c>
      <c r="F873" s="21">
        <v>13992</v>
      </c>
      <c r="G873" s="21">
        <v>3302</v>
      </c>
      <c r="H873" s="21">
        <v>3602</v>
      </c>
      <c r="I873" s="21">
        <v>3060</v>
      </c>
      <c r="J873" s="21">
        <v>2971</v>
      </c>
      <c r="K873" s="21">
        <v>1058</v>
      </c>
      <c r="L873" s="21">
        <v>229</v>
      </c>
      <c r="M873" s="21">
        <v>0.77910000000000001</v>
      </c>
      <c r="N873" s="21">
        <v>0.55430000000000001</v>
      </c>
      <c r="O873" s="21">
        <v>0.63949999999999996</v>
      </c>
      <c r="P873" s="21">
        <v>963</v>
      </c>
      <c r="Q873" s="21">
        <v>0.38419999999999999</v>
      </c>
      <c r="R873" s="21">
        <v>58</v>
      </c>
      <c r="S873" s="21">
        <v>15</v>
      </c>
      <c r="T873" s="21">
        <v>9.8199999999999996E-2</v>
      </c>
      <c r="U873" s="21">
        <v>0.1014</v>
      </c>
      <c r="V873" s="21">
        <v>0.89490000000000003</v>
      </c>
      <c r="W873" s="21">
        <v>69</v>
      </c>
      <c r="X873" s="21">
        <v>55</v>
      </c>
      <c r="Y873" s="21">
        <v>82</v>
      </c>
      <c r="Z873" s="21">
        <v>0.1</v>
      </c>
      <c r="AA873" s="21">
        <v>0.7</v>
      </c>
      <c r="AB873" s="21">
        <v>421</v>
      </c>
      <c r="AC873" s="21">
        <v>421</v>
      </c>
      <c r="AD873" s="21">
        <v>420</v>
      </c>
      <c r="AE873" s="21">
        <v>12</v>
      </c>
      <c r="AF873" s="21">
        <v>2.87E-2</v>
      </c>
      <c r="AG873" s="21">
        <v>9</v>
      </c>
      <c r="AH873" s="21">
        <v>2.1499999999999998E-2</v>
      </c>
      <c r="AI873" s="21">
        <v>0.15</v>
      </c>
      <c r="AJ873" s="21">
        <v>0.56859999999999999</v>
      </c>
      <c r="AK873" s="21">
        <v>49</v>
      </c>
      <c r="AL873" s="21">
        <v>0.1168</v>
      </c>
      <c r="AM873" s="21">
        <v>28</v>
      </c>
      <c r="AN873" s="21">
        <v>6.6699999999999995E-2</v>
      </c>
      <c r="AO873" s="21">
        <v>0.88349999999999995</v>
      </c>
      <c r="AP873" s="21">
        <v>110</v>
      </c>
      <c r="AQ873" s="21">
        <v>110</v>
      </c>
      <c r="AR873" s="21">
        <v>94</v>
      </c>
      <c r="AS873" s="21">
        <v>16</v>
      </c>
      <c r="AT873" s="21">
        <v>0</v>
      </c>
      <c r="AU873" s="21">
        <v>368</v>
      </c>
      <c r="AV873" s="21">
        <v>1367</v>
      </c>
    </row>
    <row r="874" spans="1:48" x14ac:dyDescent="0.15">
      <c r="A874" s="20" t="s">
        <v>53</v>
      </c>
      <c r="B874" s="20" t="s">
        <v>123</v>
      </c>
      <c r="C874" s="21">
        <v>714</v>
      </c>
      <c r="D874" s="21">
        <v>2594</v>
      </c>
      <c r="E874" s="21">
        <v>0</v>
      </c>
      <c r="F874" s="21">
        <v>3308</v>
      </c>
      <c r="H874" s="21">
        <v>358</v>
      </c>
      <c r="I874" s="21">
        <v>401</v>
      </c>
      <c r="J874" s="21">
        <v>2550</v>
      </c>
      <c r="K874" s="21">
        <v>0</v>
      </c>
      <c r="L874" s="21">
        <v>145</v>
      </c>
      <c r="M874" s="21">
        <v>0.69359999999999999</v>
      </c>
      <c r="N874" s="21">
        <v>0.1618</v>
      </c>
      <c r="O874" s="21">
        <v>0.67049999999999998</v>
      </c>
      <c r="P874" s="21">
        <v>1810</v>
      </c>
      <c r="Q874" s="21">
        <v>8.8999999999999996E-2</v>
      </c>
      <c r="R874" s="21">
        <v>22</v>
      </c>
      <c r="S874" s="21">
        <v>2</v>
      </c>
      <c r="T874" s="21">
        <v>0.16250000000000001</v>
      </c>
      <c r="U874" s="21">
        <v>2.0799999999999999E-2</v>
      </c>
      <c r="V874" s="21">
        <v>1</v>
      </c>
      <c r="W874" s="21">
        <v>745</v>
      </c>
      <c r="X874" s="21">
        <v>1081</v>
      </c>
      <c r="Y874" s="21">
        <v>1183</v>
      </c>
      <c r="Z874" s="21">
        <v>0.4</v>
      </c>
      <c r="AA874" s="21">
        <v>0.9</v>
      </c>
      <c r="AB874" s="21">
        <v>2759</v>
      </c>
      <c r="AC874" s="21">
        <v>2642</v>
      </c>
      <c r="AD874" s="21">
        <v>2644</v>
      </c>
      <c r="AE874" s="21">
        <v>395</v>
      </c>
      <c r="AF874" s="21">
        <v>0.15609999999999999</v>
      </c>
      <c r="AG874" s="21">
        <v>166</v>
      </c>
      <c r="AH874" s="21">
        <v>6.5600000000000006E-2</v>
      </c>
      <c r="AI874" s="21">
        <v>0.39340000000000003</v>
      </c>
      <c r="AJ874" s="21">
        <v>0.65400000000000003</v>
      </c>
      <c r="AK874" s="21">
        <v>883</v>
      </c>
      <c r="AL874" s="21">
        <v>0.34150000000000003</v>
      </c>
      <c r="AM874" s="21">
        <v>645</v>
      </c>
      <c r="AN874" s="21">
        <v>0.24940000000000001</v>
      </c>
      <c r="AO874" s="21">
        <v>0.45140000000000002</v>
      </c>
      <c r="AP874" s="21">
        <v>63</v>
      </c>
      <c r="AQ874" s="21">
        <v>63</v>
      </c>
      <c r="AR874" s="21">
        <v>40</v>
      </c>
      <c r="AS874" s="21">
        <v>23</v>
      </c>
      <c r="AT874" s="21">
        <v>0</v>
      </c>
      <c r="AU874" s="21">
        <v>5</v>
      </c>
      <c r="AV874" s="21">
        <v>286</v>
      </c>
    </row>
    <row r="875" spans="1:48" x14ac:dyDescent="0.15">
      <c r="A875" s="20" t="s">
        <v>0</v>
      </c>
      <c r="B875" s="20" t="s">
        <v>123</v>
      </c>
      <c r="C875" s="21">
        <v>191666</v>
      </c>
      <c r="D875" s="21">
        <v>59736</v>
      </c>
      <c r="E875" s="21">
        <v>0</v>
      </c>
      <c r="F875" s="21">
        <v>251402</v>
      </c>
      <c r="G875" s="21">
        <v>25153</v>
      </c>
      <c r="H875" s="21">
        <v>55152</v>
      </c>
      <c r="I875" s="21">
        <v>23485</v>
      </c>
      <c r="J875" s="21">
        <v>35932</v>
      </c>
      <c r="K875" s="21">
        <v>109636</v>
      </c>
      <c r="L875" s="21">
        <v>3129</v>
      </c>
      <c r="M875" s="21">
        <v>0.8054</v>
      </c>
      <c r="N875" s="21">
        <v>0.65200000000000002</v>
      </c>
      <c r="O875" s="21">
        <v>0.69089999999999996</v>
      </c>
      <c r="P875" s="21">
        <v>16181</v>
      </c>
      <c r="Q875" s="21">
        <v>0.45279999999999998</v>
      </c>
      <c r="R875" s="21">
        <v>79</v>
      </c>
      <c r="S875" s="21">
        <v>16</v>
      </c>
      <c r="T875" s="21">
        <v>0.1124</v>
      </c>
      <c r="U875" s="21">
        <v>9.2700000000000005E-2</v>
      </c>
      <c r="V875" s="21">
        <v>0.95120000000000005</v>
      </c>
      <c r="W875" s="21">
        <v>3244</v>
      </c>
      <c r="X875" s="21">
        <v>4183</v>
      </c>
      <c r="Y875" s="21">
        <v>5624</v>
      </c>
      <c r="Z875" s="21">
        <v>0.2</v>
      </c>
      <c r="AA875" s="21">
        <v>0.7</v>
      </c>
      <c r="AB875" s="21">
        <v>20256</v>
      </c>
      <c r="AC875" s="21">
        <v>19621</v>
      </c>
      <c r="AD875" s="21">
        <v>19876</v>
      </c>
      <c r="AE875" s="21">
        <v>2249</v>
      </c>
      <c r="AF875" s="21">
        <v>0.1154</v>
      </c>
      <c r="AG875" s="21">
        <v>1489</v>
      </c>
      <c r="AH875" s="21">
        <v>7.6399999999999996E-2</v>
      </c>
      <c r="AI875" s="21">
        <v>0.19409999999999999</v>
      </c>
      <c r="AJ875" s="21">
        <v>0.65290000000000004</v>
      </c>
      <c r="AK875" s="21">
        <v>3794</v>
      </c>
      <c r="AL875" s="21">
        <v>0.1953</v>
      </c>
      <c r="AM875" s="21">
        <v>2580</v>
      </c>
      <c r="AN875" s="21">
        <v>0.1328</v>
      </c>
      <c r="AO875" s="21">
        <v>0.46789999999999998</v>
      </c>
      <c r="AP875" s="21">
        <v>2960</v>
      </c>
      <c r="AQ875" s="21">
        <v>2960</v>
      </c>
      <c r="AR875" s="21">
        <v>1644</v>
      </c>
      <c r="AS875" s="21">
        <v>1069</v>
      </c>
      <c r="AT875" s="21">
        <v>248</v>
      </c>
      <c r="AU875" s="21">
        <v>10797</v>
      </c>
      <c r="AV875" s="21">
        <v>5491</v>
      </c>
    </row>
    <row r="876" spans="1:48" x14ac:dyDescent="0.15">
      <c r="A876" s="20" t="s">
        <v>54</v>
      </c>
      <c r="B876" s="20" t="s">
        <v>123</v>
      </c>
      <c r="C876" s="21">
        <v>48108</v>
      </c>
      <c r="D876" s="21">
        <v>5405</v>
      </c>
      <c r="E876" s="21">
        <v>0</v>
      </c>
      <c r="F876" s="21">
        <v>53513</v>
      </c>
      <c r="G876" s="21">
        <v>1632</v>
      </c>
      <c r="H876" s="21">
        <v>1926</v>
      </c>
      <c r="I876" s="21">
        <v>2478</v>
      </c>
      <c r="J876" s="21">
        <v>4047</v>
      </c>
      <c r="K876" s="21">
        <v>43362</v>
      </c>
      <c r="L876" s="21">
        <v>253</v>
      </c>
      <c r="M876" s="21">
        <v>0.98080000000000001</v>
      </c>
      <c r="N876" s="21">
        <v>0.96930000000000005</v>
      </c>
      <c r="O876" s="21">
        <v>0.85060000000000002</v>
      </c>
      <c r="P876" s="21">
        <v>1760</v>
      </c>
      <c r="Q876" s="21">
        <v>0.84379999999999999</v>
      </c>
      <c r="R876" s="21">
        <v>210</v>
      </c>
      <c r="S876" s="21">
        <v>30</v>
      </c>
      <c r="T876" s="21">
        <v>9.1600000000000001E-2</v>
      </c>
      <c r="U876" s="21">
        <v>2.52E-2</v>
      </c>
      <c r="V876" s="21">
        <v>1</v>
      </c>
      <c r="W876" s="21">
        <v>140</v>
      </c>
      <c r="X876" s="21">
        <v>150</v>
      </c>
      <c r="Y876" s="21">
        <v>255</v>
      </c>
      <c r="Z876" s="21">
        <v>0.3</v>
      </c>
      <c r="AA876" s="21">
        <v>0.6</v>
      </c>
      <c r="AB876" s="21">
        <v>573</v>
      </c>
      <c r="AC876" s="21">
        <v>573</v>
      </c>
      <c r="AD876" s="21">
        <v>559</v>
      </c>
      <c r="AE876" s="21">
        <v>45</v>
      </c>
      <c r="AF876" s="21">
        <v>8.2600000000000007E-2</v>
      </c>
      <c r="AG876" s="21">
        <v>17</v>
      </c>
      <c r="AH876" s="21">
        <v>3.1199999999999999E-2</v>
      </c>
      <c r="AI876" s="21">
        <v>0.16669999999999999</v>
      </c>
      <c r="AJ876" s="21">
        <v>0.40179999999999999</v>
      </c>
      <c r="AK876" s="21">
        <v>144</v>
      </c>
      <c r="AL876" s="21">
        <v>0.2576</v>
      </c>
      <c r="AM876" s="21">
        <v>113</v>
      </c>
      <c r="AN876" s="21">
        <v>0.2021</v>
      </c>
      <c r="AP876" s="21">
        <v>180</v>
      </c>
      <c r="AQ876" s="21">
        <v>180</v>
      </c>
      <c r="AR876" s="21">
        <v>148</v>
      </c>
      <c r="AS876" s="21">
        <v>26</v>
      </c>
      <c r="AT876" s="21">
        <v>6</v>
      </c>
      <c r="AU876" s="21">
        <v>8</v>
      </c>
      <c r="AV876" s="21">
        <v>0</v>
      </c>
    </row>
    <row r="877" spans="1:48" x14ac:dyDescent="0.15">
      <c r="A877" s="20" t="s">
        <v>55</v>
      </c>
      <c r="B877" s="20" t="s">
        <v>123</v>
      </c>
      <c r="C877" s="21">
        <v>4209</v>
      </c>
      <c r="D877" s="21">
        <v>653</v>
      </c>
      <c r="E877" s="21">
        <v>0</v>
      </c>
      <c r="F877" s="21">
        <v>4862</v>
      </c>
      <c r="G877" s="21">
        <v>432</v>
      </c>
      <c r="H877" s="21">
        <v>3318</v>
      </c>
      <c r="I877" s="21">
        <v>1112</v>
      </c>
      <c r="L877" s="21">
        <v>76</v>
      </c>
      <c r="M877" s="21">
        <v>0.83120000000000005</v>
      </c>
      <c r="N877" s="21">
        <v>0.7792</v>
      </c>
      <c r="O877" s="21">
        <v>0.68830000000000002</v>
      </c>
      <c r="P877" s="21">
        <v>673</v>
      </c>
      <c r="Q877" s="21">
        <v>0.23180000000000001</v>
      </c>
      <c r="R877" s="21">
        <v>64</v>
      </c>
      <c r="S877" s="21">
        <v>7</v>
      </c>
      <c r="T877" s="21">
        <v>0.18179999999999999</v>
      </c>
      <c r="U877" s="21">
        <v>3.7000000000000002E-3</v>
      </c>
      <c r="W877" s="21">
        <v>29</v>
      </c>
      <c r="X877" s="21">
        <v>30</v>
      </c>
      <c r="Y877" s="21">
        <v>54</v>
      </c>
      <c r="Z877" s="21">
        <v>0.1</v>
      </c>
      <c r="AA877" s="21">
        <v>0.6</v>
      </c>
      <c r="AB877" s="21">
        <v>479</v>
      </c>
      <c r="AC877" s="21">
        <v>251</v>
      </c>
      <c r="AD877" s="21">
        <v>374</v>
      </c>
      <c r="AE877" s="21">
        <v>248</v>
      </c>
      <c r="AF877" s="21">
        <v>0.91849999999999998</v>
      </c>
      <c r="AG877" s="21">
        <v>39</v>
      </c>
      <c r="AH877" s="21">
        <v>0.1444</v>
      </c>
      <c r="AI877" s="21">
        <v>0</v>
      </c>
      <c r="AJ877" s="21">
        <v>0</v>
      </c>
      <c r="AK877" s="21">
        <v>36</v>
      </c>
      <c r="AL877" s="21">
        <v>0.13819999999999999</v>
      </c>
      <c r="AM877" s="21">
        <v>18</v>
      </c>
      <c r="AN877" s="21">
        <v>6.9099999999999995E-2</v>
      </c>
      <c r="AP877" s="21">
        <v>44</v>
      </c>
      <c r="AQ877" s="21">
        <v>44</v>
      </c>
      <c r="AR877" s="21">
        <v>28</v>
      </c>
      <c r="AS877" s="21">
        <v>1</v>
      </c>
      <c r="AT877" s="21">
        <v>16</v>
      </c>
      <c r="AU877" s="21">
        <v>0</v>
      </c>
      <c r="AV877" s="21">
        <v>0</v>
      </c>
    </row>
    <row r="878" spans="1:48" x14ac:dyDescent="0.15">
      <c r="A878" s="20" t="s">
        <v>56</v>
      </c>
      <c r="B878" s="20" t="s">
        <v>123</v>
      </c>
      <c r="C878" s="21">
        <v>7906</v>
      </c>
      <c r="D878" s="21">
        <v>3999</v>
      </c>
      <c r="E878" s="21">
        <v>0</v>
      </c>
      <c r="F878" s="21">
        <v>11906</v>
      </c>
      <c r="G878" s="21">
        <v>0</v>
      </c>
      <c r="H878" s="21">
        <v>483</v>
      </c>
      <c r="J878" s="21">
        <v>2638</v>
      </c>
      <c r="K878" s="21">
        <v>8784</v>
      </c>
      <c r="L878" s="21">
        <v>120</v>
      </c>
      <c r="M878" s="21">
        <v>0.9</v>
      </c>
      <c r="N878" s="21">
        <v>0.88460000000000005</v>
      </c>
      <c r="O878" s="21">
        <v>0.63080000000000003</v>
      </c>
      <c r="P878" s="21">
        <v>1514</v>
      </c>
      <c r="Q878" s="21">
        <v>0.22720000000000001</v>
      </c>
      <c r="R878" s="21">
        <v>96</v>
      </c>
      <c r="S878" s="21">
        <v>8</v>
      </c>
      <c r="T878" s="21">
        <v>7.17E-2</v>
      </c>
      <c r="U878" s="21">
        <v>9.5799999999999996E-2</v>
      </c>
      <c r="V878" s="21">
        <v>0.9798</v>
      </c>
      <c r="W878" s="21">
        <v>26</v>
      </c>
      <c r="X878" s="21">
        <v>30</v>
      </c>
      <c r="Y878" s="21">
        <v>44</v>
      </c>
      <c r="Z878" s="21">
        <v>0.2</v>
      </c>
      <c r="AA878" s="21">
        <v>0.7</v>
      </c>
      <c r="AB878" s="21">
        <v>162</v>
      </c>
      <c r="AC878" s="21">
        <v>162</v>
      </c>
      <c r="AD878" s="21">
        <v>162</v>
      </c>
      <c r="AE878" s="21">
        <v>5</v>
      </c>
      <c r="AF878" s="21">
        <v>3.09E-2</v>
      </c>
      <c r="AG878" s="21">
        <v>5</v>
      </c>
      <c r="AH878" s="21">
        <v>3.09E-2</v>
      </c>
      <c r="AI878" s="21">
        <v>0.26669999999999999</v>
      </c>
      <c r="AJ878" s="21">
        <v>0.5</v>
      </c>
      <c r="AK878" s="21">
        <v>26</v>
      </c>
      <c r="AL878" s="21">
        <v>0.1605</v>
      </c>
      <c r="AM878" s="21">
        <v>22</v>
      </c>
      <c r="AN878" s="21">
        <v>0.1358</v>
      </c>
      <c r="AO878" s="21">
        <v>0.98480000000000001</v>
      </c>
      <c r="AP878" s="21">
        <v>257</v>
      </c>
      <c r="AQ878" s="21">
        <v>257</v>
      </c>
      <c r="AR878" s="21">
        <v>244</v>
      </c>
      <c r="AS878" s="21">
        <v>13</v>
      </c>
      <c r="AT878" s="21">
        <v>0</v>
      </c>
      <c r="AU878" s="21">
        <v>23</v>
      </c>
      <c r="AV878" s="21">
        <v>152</v>
      </c>
    </row>
    <row r="879" spans="1:48" x14ac:dyDescent="0.15">
      <c r="A879" s="20" t="s">
        <v>57</v>
      </c>
      <c r="B879" s="20" t="s">
        <v>123</v>
      </c>
      <c r="C879" s="21">
        <v>14790</v>
      </c>
      <c r="D879" s="21">
        <v>4657</v>
      </c>
      <c r="E879" s="21">
        <v>0</v>
      </c>
      <c r="F879" s="21">
        <v>19447</v>
      </c>
      <c r="G879" s="21">
        <v>4591</v>
      </c>
      <c r="H879" s="21">
        <v>2861</v>
      </c>
      <c r="I879" s="21">
        <v>3504</v>
      </c>
      <c r="J879" s="21">
        <v>8132</v>
      </c>
      <c r="K879" s="21">
        <v>360</v>
      </c>
      <c r="L879" s="21">
        <v>261</v>
      </c>
      <c r="M879" s="21">
        <v>0.65110000000000001</v>
      </c>
      <c r="N879" s="21">
        <v>0.40649999999999997</v>
      </c>
      <c r="O879" s="21">
        <v>0.52159999999999995</v>
      </c>
      <c r="P879" s="21">
        <v>668</v>
      </c>
      <c r="Q879" s="21">
        <v>0.34129999999999999</v>
      </c>
      <c r="R879" s="21">
        <v>74</v>
      </c>
      <c r="S879" s="21">
        <v>29</v>
      </c>
      <c r="T879" s="21">
        <v>0.1109</v>
      </c>
      <c r="U879" s="21">
        <v>6.8199999999999997E-2</v>
      </c>
      <c r="V879" s="21">
        <v>0.9325</v>
      </c>
      <c r="W879" s="21">
        <v>211</v>
      </c>
      <c r="X879" s="21">
        <v>304</v>
      </c>
      <c r="Y879" s="21">
        <v>297</v>
      </c>
      <c r="Z879" s="21">
        <v>0.3</v>
      </c>
      <c r="AA879" s="21">
        <v>1</v>
      </c>
      <c r="AB879" s="21">
        <v>1191</v>
      </c>
      <c r="AC879" s="21">
        <v>1191</v>
      </c>
      <c r="AD879" s="21">
        <v>1153</v>
      </c>
      <c r="AE879" s="21">
        <v>144</v>
      </c>
      <c r="AF879" s="21">
        <v>0.12909999999999999</v>
      </c>
      <c r="AG879" s="21">
        <v>68</v>
      </c>
      <c r="AH879" s="21">
        <v>6.0999999999999999E-2</v>
      </c>
      <c r="AI879" s="21">
        <v>0.20449999999999999</v>
      </c>
      <c r="AJ879" s="21">
        <v>0.59019999999999995</v>
      </c>
      <c r="AK879" s="21">
        <v>219</v>
      </c>
      <c r="AL879" s="21">
        <v>0.18990000000000001</v>
      </c>
      <c r="AM879" s="21">
        <v>169</v>
      </c>
      <c r="AN879" s="21">
        <v>0.14660000000000001</v>
      </c>
      <c r="AO879" s="21">
        <v>0.40550000000000003</v>
      </c>
      <c r="AP879" s="21">
        <v>566</v>
      </c>
      <c r="AQ879" s="21">
        <v>566</v>
      </c>
      <c r="AR879" s="21">
        <v>395</v>
      </c>
      <c r="AS879" s="21">
        <v>103</v>
      </c>
      <c r="AT879" s="21">
        <v>69</v>
      </c>
      <c r="AU879" s="21">
        <v>2750</v>
      </c>
      <c r="AV879" s="21">
        <v>378</v>
      </c>
    </row>
    <row r="880" spans="1:48" x14ac:dyDescent="0.15">
      <c r="A880" s="20" t="s">
        <v>58</v>
      </c>
      <c r="B880" s="20" t="s">
        <v>123</v>
      </c>
      <c r="C880" s="21">
        <v>39455</v>
      </c>
      <c r="D880" s="21">
        <v>4501</v>
      </c>
      <c r="E880" s="21">
        <v>0</v>
      </c>
      <c r="F880" s="21">
        <v>43956</v>
      </c>
      <c r="G880" s="21">
        <v>5506</v>
      </c>
      <c r="H880" s="21">
        <v>10116</v>
      </c>
      <c r="J880" s="21">
        <v>4153</v>
      </c>
      <c r="K880" s="21">
        <v>24181</v>
      </c>
      <c r="L880" s="21">
        <v>338</v>
      </c>
      <c r="M880" s="21">
        <v>0.82399999999999995</v>
      </c>
      <c r="N880" s="21">
        <v>0.76259999999999994</v>
      </c>
      <c r="O880" s="21">
        <v>0.74019999999999997</v>
      </c>
      <c r="P880" s="21">
        <v>2289</v>
      </c>
      <c r="Q880" s="21">
        <v>0.61380000000000001</v>
      </c>
      <c r="R880" s="21">
        <v>129</v>
      </c>
      <c r="S880" s="21">
        <v>19</v>
      </c>
      <c r="T880" s="21">
        <v>0.15459999999999999</v>
      </c>
      <c r="U880" s="21">
        <v>7.46E-2</v>
      </c>
      <c r="V880" s="21">
        <v>0.93030000000000002</v>
      </c>
      <c r="W880" s="21">
        <v>466</v>
      </c>
      <c r="X880" s="21">
        <v>502</v>
      </c>
      <c r="Y880" s="21">
        <v>954</v>
      </c>
      <c r="Z880" s="21">
        <v>0.2</v>
      </c>
      <c r="AA880" s="21">
        <v>0.5</v>
      </c>
      <c r="AB880" s="21">
        <v>2785</v>
      </c>
      <c r="AC880" s="21">
        <v>2683</v>
      </c>
      <c r="AD880" s="21">
        <v>2686</v>
      </c>
      <c r="AE880" s="21">
        <v>312</v>
      </c>
      <c r="AF880" s="21">
        <v>0.1206</v>
      </c>
      <c r="AG880" s="21">
        <v>113</v>
      </c>
      <c r="AH880" s="21">
        <v>4.3700000000000003E-2</v>
      </c>
      <c r="AI880" s="21">
        <v>0.1963</v>
      </c>
      <c r="AJ880" s="21">
        <v>0.61370000000000002</v>
      </c>
      <c r="AK880" s="21">
        <v>532</v>
      </c>
      <c r="AL880" s="21">
        <v>0.2019</v>
      </c>
      <c r="AM880" s="21">
        <v>337</v>
      </c>
      <c r="AN880" s="21">
        <v>0.12790000000000001</v>
      </c>
      <c r="AO880" s="21">
        <v>0.83540000000000003</v>
      </c>
      <c r="AP880" s="21">
        <v>193</v>
      </c>
      <c r="AQ880" s="21">
        <v>193</v>
      </c>
      <c r="AR880" s="21">
        <v>160</v>
      </c>
      <c r="AS880" s="21">
        <v>33</v>
      </c>
      <c r="AT880" s="21">
        <v>0</v>
      </c>
      <c r="AU880" s="21">
        <v>240</v>
      </c>
      <c r="AV880" s="21">
        <v>951</v>
      </c>
    </row>
    <row r="881" spans="1:48" x14ac:dyDescent="0.15">
      <c r="A881" s="20" t="s">
        <v>59</v>
      </c>
      <c r="B881" s="20" t="s">
        <v>123</v>
      </c>
      <c r="C881" s="21">
        <v>8333</v>
      </c>
      <c r="D881" s="21">
        <v>3869</v>
      </c>
      <c r="E881" s="21">
        <v>0</v>
      </c>
      <c r="F881" s="21">
        <v>12202</v>
      </c>
      <c r="G881" s="21">
        <v>3648</v>
      </c>
      <c r="H881" s="21">
        <v>0</v>
      </c>
      <c r="I881" s="21">
        <v>391</v>
      </c>
      <c r="J881" s="21">
        <v>1679</v>
      </c>
      <c r="K881" s="21">
        <v>6485</v>
      </c>
      <c r="L881" s="21">
        <v>89</v>
      </c>
      <c r="M881" s="21">
        <v>0.87880000000000003</v>
      </c>
      <c r="N881" s="21">
        <v>0.60609999999999997</v>
      </c>
      <c r="O881" s="21">
        <v>0.80810000000000004</v>
      </c>
      <c r="P881" s="21">
        <v>1123</v>
      </c>
      <c r="Q881" s="21">
        <v>0.2591</v>
      </c>
      <c r="R881" s="21">
        <v>131</v>
      </c>
      <c r="S881" s="21">
        <v>11</v>
      </c>
      <c r="T881" s="21">
        <v>0.10150000000000001</v>
      </c>
      <c r="U881" s="21">
        <v>1.04E-2</v>
      </c>
      <c r="W881" s="21">
        <v>24</v>
      </c>
      <c r="X881" s="21">
        <v>38</v>
      </c>
      <c r="Y881" s="21">
        <v>39</v>
      </c>
      <c r="Z881" s="21">
        <v>0.1</v>
      </c>
      <c r="AA881" s="21">
        <v>1</v>
      </c>
      <c r="AB881" s="21">
        <v>251</v>
      </c>
      <c r="AC881" s="21">
        <v>251</v>
      </c>
      <c r="AD881" s="21">
        <v>260</v>
      </c>
      <c r="AE881" s="21">
        <v>12</v>
      </c>
      <c r="AF881" s="21">
        <v>4.4400000000000002E-2</v>
      </c>
      <c r="AG881" s="21">
        <v>31</v>
      </c>
      <c r="AH881" s="21">
        <v>0.1148</v>
      </c>
      <c r="AI881" s="21">
        <v>0</v>
      </c>
      <c r="AJ881" s="21">
        <v>0</v>
      </c>
      <c r="AK881" s="21">
        <v>26</v>
      </c>
      <c r="AL881" s="21">
        <v>9.98E-2</v>
      </c>
      <c r="AM881" s="21">
        <v>19</v>
      </c>
      <c r="AN881" s="21">
        <v>7.2900000000000006E-2</v>
      </c>
      <c r="AP881" s="21">
        <v>94</v>
      </c>
      <c r="AQ881" s="21">
        <v>94</v>
      </c>
      <c r="AR881" s="21">
        <v>80</v>
      </c>
      <c r="AS881" s="21">
        <v>15</v>
      </c>
      <c r="AT881" s="21">
        <v>0</v>
      </c>
      <c r="AU881" s="21">
        <v>59</v>
      </c>
      <c r="AV881" s="21">
        <v>0</v>
      </c>
    </row>
    <row r="882" spans="1:48" x14ac:dyDescent="0.15">
      <c r="A882" s="20" t="s">
        <v>60</v>
      </c>
      <c r="B882" s="20" t="s">
        <v>123</v>
      </c>
      <c r="C882" s="21">
        <v>4815</v>
      </c>
      <c r="D882" s="21">
        <v>3036</v>
      </c>
      <c r="E882" s="21">
        <v>0</v>
      </c>
      <c r="F882" s="21">
        <v>7852</v>
      </c>
      <c r="G882" s="21">
        <v>862</v>
      </c>
      <c r="H882" s="21">
        <v>2149</v>
      </c>
      <c r="I882" s="21">
        <v>2779</v>
      </c>
      <c r="J882" s="21">
        <v>765</v>
      </c>
      <c r="K882" s="21">
        <v>1295</v>
      </c>
      <c r="L882" s="21">
        <v>135</v>
      </c>
      <c r="M882" s="21">
        <v>0.83560000000000001</v>
      </c>
      <c r="N882" s="21">
        <v>0.68489999999999995</v>
      </c>
      <c r="O882" s="21">
        <v>0.67810000000000004</v>
      </c>
      <c r="P882" s="21">
        <v>312</v>
      </c>
      <c r="Q882" s="21">
        <v>0.69230000000000003</v>
      </c>
      <c r="R882" s="21">
        <v>56</v>
      </c>
      <c r="S882" s="21">
        <v>25</v>
      </c>
      <c r="T882" s="21">
        <v>7.4399999999999994E-2</v>
      </c>
      <c r="U882" s="21">
        <v>7.6700000000000004E-2</v>
      </c>
      <c r="V882" s="21">
        <v>0.98660000000000003</v>
      </c>
      <c r="W882" s="21">
        <v>187</v>
      </c>
      <c r="X882" s="21">
        <v>203</v>
      </c>
      <c r="Y882" s="21">
        <v>288</v>
      </c>
      <c r="Z882" s="21">
        <v>0.2</v>
      </c>
      <c r="AA882" s="21">
        <v>0.7</v>
      </c>
      <c r="AB882" s="21">
        <v>1050</v>
      </c>
      <c r="AC882" s="21">
        <v>1050</v>
      </c>
      <c r="AD882" s="21">
        <v>1035</v>
      </c>
      <c r="AE882" s="21">
        <v>56</v>
      </c>
      <c r="AF882" s="21">
        <v>5.4899999999999997E-2</v>
      </c>
      <c r="AG882" s="21">
        <v>26</v>
      </c>
      <c r="AH882" s="21">
        <v>2.5499999999999998E-2</v>
      </c>
      <c r="AI882" s="21">
        <v>0.46939999999999998</v>
      </c>
      <c r="AJ882" s="21">
        <v>0.76629999999999998</v>
      </c>
      <c r="AK882" s="21">
        <v>178</v>
      </c>
      <c r="AL882" s="21">
        <v>0.18990000000000001</v>
      </c>
      <c r="AM882" s="21">
        <v>122</v>
      </c>
      <c r="AN882" s="21">
        <v>0.13009999999999999</v>
      </c>
      <c r="AO882" s="21">
        <v>0.27110000000000001</v>
      </c>
      <c r="AP882" s="21">
        <v>125</v>
      </c>
      <c r="AQ882" s="21">
        <v>125</v>
      </c>
      <c r="AR882" s="21">
        <v>102</v>
      </c>
      <c r="AS882" s="21">
        <v>17</v>
      </c>
      <c r="AT882" s="21">
        <v>5</v>
      </c>
      <c r="AU882" s="21">
        <v>736</v>
      </c>
      <c r="AV882" s="21">
        <v>627</v>
      </c>
    </row>
    <row r="883" spans="1:48" x14ac:dyDescent="0.15">
      <c r="A883" s="20" t="s">
        <v>61</v>
      </c>
      <c r="B883" s="20" t="s">
        <v>123</v>
      </c>
      <c r="C883" s="21">
        <v>3358</v>
      </c>
      <c r="D883" s="21">
        <v>2645</v>
      </c>
      <c r="E883" s="21">
        <v>0</v>
      </c>
      <c r="F883" s="21">
        <v>6003</v>
      </c>
      <c r="G883" s="21">
        <v>1817</v>
      </c>
      <c r="H883" s="21">
        <v>1647</v>
      </c>
      <c r="I883" s="21">
        <v>804</v>
      </c>
      <c r="J883" s="21">
        <v>1231</v>
      </c>
      <c r="K883" s="21">
        <v>504</v>
      </c>
      <c r="L883" s="21">
        <v>95</v>
      </c>
      <c r="M883" s="21">
        <v>0.85260000000000002</v>
      </c>
      <c r="N883" s="21">
        <v>0.68420000000000003</v>
      </c>
      <c r="O883" s="21">
        <v>0.74739999999999995</v>
      </c>
      <c r="P883" s="21">
        <v>133</v>
      </c>
      <c r="Q883" s="21">
        <v>1.0526</v>
      </c>
      <c r="R883" s="21">
        <v>64</v>
      </c>
      <c r="S883" s="21">
        <v>45</v>
      </c>
      <c r="T883" s="21">
        <v>0.1172</v>
      </c>
      <c r="U883" s="21">
        <v>7.0999999999999994E-2</v>
      </c>
      <c r="V883" s="21">
        <v>0.95909999999999995</v>
      </c>
      <c r="W883" s="21">
        <v>35</v>
      </c>
      <c r="X883" s="21">
        <v>38</v>
      </c>
      <c r="Y883" s="21">
        <v>52</v>
      </c>
      <c r="Z883" s="21">
        <v>0.1</v>
      </c>
      <c r="AA883" s="21">
        <v>0.7</v>
      </c>
      <c r="AB883" s="21">
        <v>239</v>
      </c>
      <c r="AC883" s="21">
        <v>239</v>
      </c>
      <c r="AD883" s="21">
        <v>266</v>
      </c>
      <c r="AE883" s="21">
        <v>4</v>
      </c>
      <c r="AF883" s="21">
        <v>1.3599999999999999E-2</v>
      </c>
      <c r="AG883" s="21">
        <v>59</v>
      </c>
      <c r="AH883" s="21">
        <v>0.20069999999999999</v>
      </c>
      <c r="AI883" s="21">
        <v>4.3499999999999997E-2</v>
      </c>
      <c r="AJ883" s="21">
        <v>0.35630000000000001</v>
      </c>
      <c r="AK883" s="21">
        <v>28</v>
      </c>
      <c r="AL883" s="21">
        <v>0.1051</v>
      </c>
      <c r="AM883" s="21">
        <v>18</v>
      </c>
      <c r="AN883" s="21">
        <v>6.7500000000000004E-2</v>
      </c>
      <c r="AO883" s="21">
        <v>0.13120000000000001</v>
      </c>
      <c r="AP883" s="21">
        <v>29</v>
      </c>
      <c r="AQ883" s="21">
        <v>29</v>
      </c>
      <c r="AR883" s="21">
        <v>6</v>
      </c>
      <c r="AS883" s="21">
        <v>20</v>
      </c>
      <c r="AT883" s="21">
        <v>3</v>
      </c>
      <c r="AU883" s="21">
        <v>513</v>
      </c>
      <c r="AV883" s="21">
        <v>60</v>
      </c>
    </row>
    <row r="884" spans="1:48" x14ac:dyDescent="0.15">
      <c r="A884" s="20" t="s">
        <v>48</v>
      </c>
      <c r="B884" s="20" t="s">
        <v>124</v>
      </c>
      <c r="C884" s="21">
        <v>4462</v>
      </c>
      <c r="D884" s="21">
        <v>6534</v>
      </c>
      <c r="E884" s="21">
        <v>0</v>
      </c>
      <c r="F884" s="21">
        <v>10996</v>
      </c>
      <c r="G884" s="21">
        <v>1574</v>
      </c>
      <c r="H884" s="21">
        <v>3008</v>
      </c>
      <c r="I884" s="21">
        <v>2834</v>
      </c>
      <c r="J884" s="21">
        <v>394</v>
      </c>
      <c r="K884" s="21">
        <v>1908</v>
      </c>
      <c r="L884" s="21">
        <v>145</v>
      </c>
      <c r="M884" s="21">
        <v>0.76549999999999996</v>
      </c>
      <c r="N884" s="21">
        <v>0.53790000000000004</v>
      </c>
      <c r="O884" s="21">
        <v>0.67589999999999995</v>
      </c>
      <c r="P884" s="21">
        <v>970</v>
      </c>
      <c r="Q884" s="21">
        <v>0.28870000000000001</v>
      </c>
      <c r="R884" s="21">
        <v>78</v>
      </c>
      <c r="S884" s="21">
        <v>11</v>
      </c>
      <c r="T884" s="21">
        <v>6.6500000000000004E-2</v>
      </c>
      <c r="U884" s="21">
        <v>0.1022</v>
      </c>
      <c r="V884" s="21">
        <v>0.99619999999999997</v>
      </c>
      <c r="W884" s="21">
        <v>311</v>
      </c>
      <c r="X884" s="21">
        <v>137</v>
      </c>
      <c r="Y884" s="21">
        <v>96</v>
      </c>
      <c r="Z884" s="21">
        <v>0.5</v>
      </c>
      <c r="AA884" s="21">
        <v>1.4</v>
      </c>
      <c r="AB884" s="21">
        <v>273</v>
      </c>
      <c r="AC884" s="21">
        <v>273</v>
      </c>
      <c r="AD884" s="21">
        <v>270</v>
      </c>
      <c r="AE884" s="21">
        <v>16</v>
      </c>
      <c r="AF884" s="21">
        <v>5.9700000000000003E-2</v>
      </c>
      <c r="AG884" s="21">
        <v>11</v>
      </c>
      <c r="AH884" s="21">
        <v>4.1000000000000002E-2</v>
      </c>
      <c r="AI884" s="21">
        <v>0</v>
      </c>
      <c r="AJ884" s="21">
        <v>0.2727</v>
      </c>
      <c r="AK884" s="21">
        <v>55</v>
      </c>
      <c r="AL884" s="21">
        <v>0.20330000000000001</v>
      </c>
      <c r="AM884" s="21">
        <v>39</v>
      </c>
      <c r="AN884" s="21">
        <v>0.14419999999999999</v>
      </c>
      <c r="AO884" s="21">
        <v>0.71709999999999996</v>
      </c>
      <c r="AP884" s="21">
        <v>169</v>
      </c>
      <c r="AQ884" s="21">
        <v>169</v>
      </c>
      <c r="AR884" s="21">
        <v>150</v>
      </c>
      <c r="AS884" s="21">
        <v>18</v>
      </c>
      <c r="AT884" s="21">
        <v>2</v>
      </c>
      <c r="AU884" s="21">
        <v>965</v>
      </c>
      <c r="AV884" s="21">
        <v>172</v>
      </c>
    </row>
    <row r="885" spans="1:48" x14ac:dyDescent="0.15">
      <c r="A885" s="20" t="s">
        <v>50</v>
      </c>
      <c r="B885" s="20" t="s">
        <v>124</v>
      </c>
      <c r="C885" s="21">
        <v>12162</v>
      </c>
      <c r="D885" s="21">
        <v>5023</v>
      </c>
      <c r="E885" s="21">
        <v>0</v>
      </c>
      <c r="F885" s="21">
        <v>17184</v>
      </c>
      <c r="G885" s="21">
        <v>190</v>
      </c>
      <c r="H885" s="21">
        <v>15226</v>
      </c>
      <c r="I885" s="21">
        <v>0</v>
      </c>
      <c r="J885" s="21">
        <v>1317</v>
      </c>
      <c r="K885" s="21">
        <v>452</v>
      </c>
      <c r="L885" s="21">
        <v>237</v>
      </c>
      <c r="M885" s="21">
        <v>0.93</v>
      </c>
      <c r="N885" s="21">
        <v>0.91359999999999997</v>
      </c>
      <c r="O885" s="21">
        <v>0.71189999999999998</v>
      </c>
      <c r="P885" s="21">
        <v>578</v>
      </c>
      <c r="Q885" s="21">
        <v>0.56569999999999998</v>
      </c>
      <c r="R885" s="21">
        <v>73</v>
      </c>
      <c r="S885" s="21">
        <v>30</v>
      </c>
      <c r="T885" s="21">
        <v>0.1108</v>
      </c>
      <c r="U885" s="21">
        <v>8.7800000000000003E-2</v>
      </c>
      <c r="V885" s="21">
        <v>0.8327</v>
      </c>
      <c r="W885" s="21">
        <v>167</v>
      </c>
      <c r="X885" s="21">
        <v>121</v>
      </c>
      <c r="Y885" s="21">
        <v>140</v>
      </c>
      <c r="Z885" s="21">
        <v>0.2</v>
      </c>
      <c r="AA885" s="21">
        <v>0.9</v>
      </c>
      <c r="AB885" s="21">
        <v>707</v>
      </c>
      <c r="AC885" s="21">
        <v>677</v>
      </c>
      <c r="AD885" s="21">
        <v>718</v>
      </c>
      <c r="AE885" s="21">
        <v>67</v>
      </c>
      <c r="AF885" s="21">
        <v>9.1899999999999996E-2</v>
      </c>
      <c r="AG885" s="21">
        <v>89</v>
      </c>
      <c r="AH885" s="21">
        <v>0.1221</v>
      </c>
      <c r="AI885" s="21">
        <v>0.375</v>
      </c>
      <c r="AJ885" s="21">
        <v>0.70489999999999997</v>
      </c>
      <c r="AK885" s="21">
        <v>103</v>
      </c>
      <c r="AL885" s="21">
        <v>0.14649999999999999</v>
      </c>
      <c r="AM885" s="21">
        <v>70</v>
      </c>
      <c r="AN885" s="21">
        <v>9.9599999999999994E-2</v>
      </c>
      <c r="AO885" s="21">
        <v>0.2</v>
      </c>
      <c r="AP885" s="21">
        <v>302</v>
      </c>
      <c r="AQ885" s="21">
        <v>302</v>
      </c>
      <c r="AR885" s="21">
        <v>269</v>
      </c>
      <c r="AS885" s="21">
        <v>4</v>
      </c>
      <c r="AT885" s="21">
        <v>29</v>
      </c>
      <c r="AU885" s="21">
        <v>517</v>
      </c>
      <c r="AV885" s="21">
        <v>155</v>
      </c>
    </row>
    <row r="886" spans="1:48" x14ac:dyDescent="0.15">
      <c r="A886" s="20" t="s">
        <v>51</v>
      </c>
      <c r="B886" s="20" t="s">
        <v>124</v>
      </c>
      <c r="C886" s="21">
        <v>48079</v>
      </c>
      <c r="D886" s="21">
        <v>14263</v>
      </c>
      <c r="E886" s="21">
        <v>0</v>
      </c>
      <c r="F886" s="21">
        <v>62343</v>
      </c>
      <c r="G886" s="21">
        <v>3376</v>
      </c>
      <c r="H886" s="21">
        <v>19145</v>
      </c>
      <c r="I886" s="21">
        <v>9266</v>
      </c>
      <c r="J886" s="21">
        <v>5994</v>
      </c>
      <c r="K886" s="21">
        <v>24382</v>
      </c>
      <c r="L886" s="21">
        <v>989</v>
      </c>
      <c r="M886" s="21">
        <v>0.80220000000000002</v>
      </c>
      <c r="N886" s="21">
        <v>0.68230000000000002</v>
      </c>
      <c r="O886" s="21">
        <v>0.70730000000000004</v>
      </c>
      <c r="P886" s="21">
        <v>3279</v>
      </c>
      <c r="Q886" s="21">
        <v>0.56940000000000002</v>
      </c>
      <c r="R886" s="21">
        <v>63</v>
      </c>
      <c r="S886" s="21">
        <v>19</v>
      </c>
      <c r="T886" s="21">
        <v>9.1800000000000007E-2</v>
      </c>
      <c r="U886" s="21">
        <v>0.1328</v>
      </c>
      <c r="V886" s="21">
        <v>0.94850000000000001</v>
      </c>
      <c r="W886" s="21">
        <v>4137</v>
      </c>
      <c r="X886" s="21">
        <v>3773</v>
      </c>
      <c r="Y886" s="21">
        <v>3733</v>
      </c>
      <c r="Z886" s="21">
        <v>0.4</v>
      </c>
      <c r="AA886" s="21">
        <v>1</v>
      </c>
      <c r="AB886" s="21">
        <v>9851</v>
      </c>
      <c r="AC886" s="21">
        <v>9851</v>
      </c>
      <c r="AD886" s="21">
        <v>9600</v>
      </c>
      <c r="AE886" s="21">
        <v>1358</v>
      </c>
      <c r="AF886" s="21">
        <v>0.14530000000000001</v>
      </c>
      <c r="AG886" s="21">
        <v>856</v>
      </c>
      <c r="AH886" s="21">
        <v>9.1600000000000001E-2</v>
      </c>
      <c r="AI886" s="21">
        <v>0.37159999999999999</v>
      </c>
      <c r="AJ886" s="21">
        <v>0.59819999999999995</v>
      </c>
      <c r="AK886" s="21">
        <v>2376</v>
      </c>
      <c r="AL886" s="21">
        <v>0.248</v>
      </c>
      <c r="AM886" s="21">
        <v>1861</v>
      </c>
      <c r="AN886" s="21">
        <v>0.19420000000000001</v>
      </c>
      <c r="AO886" s="21">
        <v>0.65339999999999998</v>
      </c>
      <c r="AP886" s="21">
        <v>516</v>
      </c>
      <c r="AQ886" s="21">
        <v>516</v>
      </c>
      <c r="AR886" s="21">
        <v>282</v>
      </c>
      <c r="AS886" s="21">
        <v>141</v>
      </c>
      <c r="AT886" s="21">
        <v>94</v>
      </c>
      <c r="AU886" s="21">
        <v>4998</v>
      </c>
      <c r="AV886" s="21">
        <v>2555</v>
      </c>
    </row>
    <row r="887" spans="1:48" x14ac:dyDescent="0.15">
      <c r="A887" s="20" t="s">
        <v>52</v>
      </c>
      <c r="B887" s="20" t="s">
        <v>124</v>
      </c>
      <c r="C887" s="21">
        <v>8661</v>
      </c>
      <c r="D887" s="21">
        <v>4952</v>
      </c>
      <c r="E887" s="21">
        <v>0</v>
      </c>
      <c r="F887" s="21">
        <v>13613</v>
      </c>
      <c r="G887" s="21">
        <v>3241</v>
      </c>
      <c r="H887" s="21">
        <v>3611</v>
      </c>
      <c r="I887" s="21">
        <v>1268</v>
      </c>
      <c r="J887" s="21">
        <v>4521</v>
      </c>
      <c r="K887" s="21">
        <v>971</v>
      </c>
      <c r="L887" s="21">
        <v>212</v>
      </c>
      <c r="M887" s="21">
        <v>0.69230000000000003</v>
      </c>
      <c r="N887" s="21">
        <v>0.47010000000000002</v>
      </c>
      <c r="O887" s="21">
        <v>0.59399999999999997</v>
      </c>
      <c r="P887" s="21">
        <v>964</v>
      </c>
      <c r="Q887" s="21">
        <v>0.30909999999999999</v>
      </c>
      <c r="R887" s="21">
        <v>62</v>
      </c>
      <c r="S887" s="21">
        <v>14</v>
      </c>
      <c r="T887" s="21">
        <v>8.5199999999999998E-2</v>
      </c>
      <c r="U887" s="21">
        <v>9.6199999999999994E-2</v>
      </c>
      <c r="V887" s="21">
        <v>1</v>
      </c>
      <c r="W887" s="21">
        <v>706</v>
      </c>
      <c r="X887" s="21">
        <v>276</v>
      </c>
      <c r="Y887" s="21">
        <v>121</v>
      </c>
      <c r="Z887" s="21">
        <v>0.6</v>
      </c>
      <c r="AA887" s="21">
        <v>2.2999999999999998</v>
      </c>
      <c r="AB887" s="21">
        <v>434</v>
      </c>
      <c r="AC887" s="21">
        <v>434</v>
      </c>
      <c r="AD887" s="21">
        <v>428</v>
      </c>
      <c r="AE887" s="21">
        <v>23</v>
      </c>
      <c r="AF887" s="21">
        <v>5.4600000000000003E-2</v>
      </c>
      <c r="AG887" s="21">
        <v>10</v>
      </c>
      <c r="AH887" s="21">
        <v>2.3800000000000002E-2</v>
      </c>
      <c r="AI887" s="21">
        <v>5.5599999999999997E-2</v>
      </c>
      <c r="AJ887" s="21">
        <v>0.625</v>
      </c>
      <c r="AK887" s="21">
        <v>73</v>
      </c>
      <c r="AL887" s="21">
        <v>0.17080000000000001</v>
      </c>
      <c r="AM887" s="21">
        <v>52</v>
      </c>
      <c r="AN887" s="21">
        <v>0.1216</v>
      </c>
      <c r="AO887" s="21">
        <v>0.61319999999999997</v>
      </c>
      <c r="AP887" s="21">
        <v>756</v>
      </c>
      <c r="AQ887" s="21">
        <v>756</v>
      </c>
      <c r="AR887" s="21">
        <v>248</v>
      </c>
      <c r="AS887" s="21">
        <v>508</v>
      </c>
      <c r="AT887" s="21">
        <v>0</v>
      </c>
      <c r="AU887" s="21">
        <v>544</v>
      </c>
      <c r="AV887" s="21">
        <v>655</v>
      </c>
    </row>
    <row r="888" spans="1:48" x14ac:dyDescent="0.15">
      <c r="A888" s="20" t="s">
        <v>53</v>
      </c>
      <c r="B888" s="20" t="s">
        <v>124</v>
      </c>
      <c r="C888" s="21">
        <v>3478</v>
      </c>
      <c r="D888" s="21">
        <v>2902</v>
      </c>
      <c r="E888" s="21">
        <v>0</v>
      </c>
      <c r="F888" s="21">
        <v>6380</v>
      </c>
      <c r="H888" s="21">
        <v>406</v>
      </c>
      <c r="I888" s="21">
        <v>917</v>
      </c>
      <c r="J888" s="21">
        <v>5057</v>
      </c>
      <c r="K888" s="21">
        <v>0</v>
      </c>
      <c r="L888" s="21">
        <v>122</v>
      </c>
      <c r="M888" s="21">
        <v>0.66269999999999996</v>
      </c>
      <c r="N888" s="21">
        <v>0.16869999999999999</v>
      </c>
      <c r="O888" s="21">
        <v>0.62050000000000005</v>
      </c>
      <c r="P888" s="21">
        <v>1813</v>
      </c>
      <c r="Q888" s="21">
        <v>9.4899999999999998E-2</v>
      </c>
      <c r="R888" s="21">
        <v>48</v>
      </c>
      <c r="S888" s="21">
        <v>4</v>
      </c>
      <c r="T888" s="21">
        <v>0.1135</v>
      </c>
      <c r="U888" s="21">
        <v>3.7499999999999999E-2</v>
      </c>
      <c r="V888" s="21">
        <v>0.84619999999999995</v>
      </c>
      <c r="W888" s="21">
        <v>1198</v>
      </c>
      <c r="X888" s="21">
        <v>1593</v>
      </c>
      <c r="Y888" s="21">
        <v>1263</v>
      </c>
      <c r="Z888" s="21">
        <v>0.5</v>
      </c>
      <c r="AA888" s="21">
        <v>1.3</v>
      </c>
      <c r="AB888" s="21">
        <v>3515</v>
      </c>
      <c r="AC888" s="21">
        <v>3277</v>
      </c>
      <c r="AD888" s="21">
        <v>3137</v>
      </c>
      <c r="AE888" s="21">
        <v>845</v>
      </c>
      <c r="AF888" s="21">
        <v>0.30630000000000002</v>
      </c>
      <c r="AG888" s="21">
        <v>89</v>
      </c>
      <c r="AH888" s="21">
        <v>3.2300000000000002E-2</v>
      </c>
      <c r="AI888" s="21">
        <v>0.37859999999999999</v>
      </c>
      <c r="AJ888" s="21">
        <v>0.63009999999999999</v>
      </c>
      <c r="AK888" s="21">
        <v>1073</v>
      </c>
      <c r="AL888" s="21">
        <v>0.35549999999999998</v>
      </c>
      <c r="AM888" s="21">
        <v>908</v>
      </c>
      <c r="AN888" s="21">
        <v>0.3009</v>
      </c>
      <c r="AO888" s="21">
        <v>0.56369999999999998</v>
      </c>
      <c r="AP888" s="21">
        <v>207</v>
      </c>
      <c r="AQ888" s="21">
        <v>207</v>
      </c>
      <c r="AR888" s="21">
        <v>158</v>
      </c>
      <c r="AS888" s="21">
        <v>49</v>
      </c>
      <c r="AT888" s="21">
        <v>0</v>
      </c>
      <c r="AU888" s="21">
        <v>1</v>
      </c>
      <c r="AV888" s="21">
        <v>392</v>
      </c>
    </row>
    <row r="889" spans="1:48" x14ac:dyDescent="0.15">
      <c r="A889" s="20" t="s">
        <v>0</v>
      </c>
      <c r="B889" s="20" t="s">
        <v>124</v>
      </c>
      <c r="C889" s="21">
        <v>177428</v>
      </c>
      <c r="D889" s="21">
        <v>64053</v>
      </c>
      <c r="E889" s="21">
        <v>0</v>
      </c>
      <c r="F889" s="21">
        <v>241481</v>
      </c>
      <c r="G889" s="21">
        <v>28704</v>
      </c>
      <c r="H889" s="21">
        <v>69430</v>
      </c>
      <c r="I889" s="21">
        <v>25408</v>
      </c>
      <c r="J889" s="21">
        <v>36973</v>
      </c>
      <c r="K889" s="21">
        <v>79390</v>
      </c>
      <c r="L889" s="21">
        <v>3034</v>
      </c>
      <c r="M889" s="21">
        <v>0.79979999999999996</v>
      </c>
      <c r="N889" s="21">
        <v>0.66690000000000005</v>
      </c>
      <c r="O889" s="21">
        <v>0.6825</v>
      </c>
      <c r="P889" s="21">
        <v>16098</v>
      </c>
      <c r="Q889" s="21">
        <v>0.42780000000000001</v>
      </c>
      <c r="R889" s="21">
        <v>79</v>
      </c>
      <c r="S889" s="21">
        <v>15</v>
      </c>
      <c r="T889" s="21">
        <v>0.1163</v>
      </c>
      <c r="U889" s="21">
        <v>8.7300000000000003E-2</v>
      </c>
      <c r="V889" s="21">
        <v>0.96199999999999997</v>
      </c>
      <c r="W889" s="21">
        <v>10903</v>
      </c>
      <c r="X889" s="21">
        <v>8784</v>
      </c>
      <c r="Y889" s="21">
        <v>7783</v>
      </c>
      <c r="Z889" s="21">
        <v>0.4</v>
      </c>
      <c r="AA889" s="21">
        <v>1.1000000000000001</v>
      </c>
      <c r="AB889" s="21">
        <v>21956</v>
      </c>
      <c r="AC889" s="21">
        <v>21423</v>
      </c>
      <c r="AD889" s="21">
        <v>21106</v>
      </c>
      <c r="AE889" s="21">
        <v>3057</v>
      </c>
      <c r="AF889" s="21">
        <v>0.15090000000000001</v>
      </c>
      <c r="AG889" s="21">
        <v>1357</v>
      </c>
      <c r="AH889" s="21">
        <v>6.7000000000000004E-2</v>
      </c>
      <c r="AI889" s="21">
        <v>0.35389999999999999</v>
      </c>
      <c r="AJ889" s="21">
        <v>0.55759999999999998</v>
      </c>
      <c r="AK889" s="21">
        <v>5202</v>
      </c>
      <c r="AL889" s="21">
        <v>0.25109999999999999</v>
      </c>
      <c r="AM889" s="21">
        <v>4093</v>
      </c>
      <c r="AN889" s="21">
        <v>0.19750000000000001</v>
      </c>
      <c r="AO889" s="21">
        <v>0.52459999999999996</v>
      </c>
      <c r="AP889" s="21">
        <v>3955</v>
      </c>
      <c r="AQ889" s="21">
        <v>3908</v>
      </c>
      <c r="AR889" s="21">
        <v>2577</v>
      </c>
      <c r="AS889" s="21">
        <v>832</v>
      </c>
      <c r="AT889" s="21">
        <v>499</v>
      </c>
      <c r="AU889" s="21">
        <v>10800</v>
      </c>
      <c r="AV889" s="21">
        <v>7281</v>
      </c>
    </row>
    <row r="890" spans="1:48" x14ac:dyDescent="0.15">
      <c r="A890" s="20" t="s">
        <v>54</v>
      </c>
      <c r="B890" s="20" t="s">
        <v>124</v>
      </c>
      <c r="C890" s="21">
        <v>20987</v>
      </c>
      <c r="D890" s="21">
        <v>7059</v>
      </c>
      <c r="E890" s="21">
        <v>0</v>
      </c>
      <c r="F890" s="21">
        <v>28046</v>
      </c>
      <c r="G890" s="21">
        <v>1340</v>
      </c>
      <c r="H890" s="21">
        <v>2826</v>
      </c>
      <c r="I890" s="21">
        <v>2694</v>
      </c>
      <c r="J890" s="21">
        <v>4892</v>
      </c>
      <c r="K890" s="21">
        <v>16176</v>
      </c>
      <c r="L890" s="21">
        <v>253</v>
      </c>
      <c r="M890" s="21">
        <v>0.95440000000000003</v>
      </c>
      <c r="N890" s="21">
        <v>0.89349999999999996</v>
      </c>
      <c r="O890" s="21">
        <v>0.82509999999999994</v>
      </c>
      <c r="P890" s="21">
        <v>1725</v>
      </c>
      <c r="Q890" s="21">
        <v>0.69910000000000005</v>
      </c>
      <c r="R890" s="21">
        <v>111</v>
      </c>
      <c r="S890" s="21">
        <v>16</v>
      </c>
      <c r="T890" s="21">
        <v>0.13469999999999999</v>
      </c>
      <c r="U890" s="21">
        <v>2.53E-2</v>
      </c>
      <c r="V890" s="21">
        <v>1</v>
      </c>
      <c r="W890" s="21">
        <v>273</v>
      </c>
      <c r="X890" s="21">
        <v>186</v>
      </c>
      <c r="Y890" s="21">
        <v>221</v>
      </c>
      <c r="Z890" s="21">
        <v>0.3</v>
      </c>
      <c r="AA890" s="21">
        <v>0.8</v>
      </c>
      <c r="AB890" s="21">
        <v>645</v>
      </c>
      <c r="AC890" s="21">
        <v>611</v>
      </c>
      <c r="AD890" s="21">
        <v>609</v>
      </c>
      <c r="AE890" s="21">
        <v>72</v>
      </c>
      <c r="AF890" s="21">
        <v>0.12570000000000001</v>
      </c>
      <c r="AG890" s="21">
        <v>0</v>
      </c>
      <c r="AH890" s="21">
        <v>0</v>
      </c>
      <c r="AI890" s="21">
        <v>0.34689999999999999</v>
      </c>
      <c r="AJ890" s="21">
        <v>0.73129999999999995</v>
      </c>
      <c r="AK890" s="21">
        <v>142</v>
      </c>
      <c r="AL890" s="21">
        <v>0.2399</v>
      </c>
      <c r="AM890" s="21">
        <v>109</v>
      </c>
      <c r="AN890" s="21">
        <v>0.18410000000000001</v>
      </c>
      <c r="AP890" s="21">
        <v>297</v>
      </c>
      <c r="AQ890" s="21">
        <v>297</v>
      </c>
      <c r="AR890" s="21">
        <v>235</v>
      </c>
      <c r="AS890" s="21">
        <v>1</v>
      </c>
      <c r="AT890" s="21">
        <v>61</v>
      </c>
      <c r="AU890" s="21">
        <v>55</v>
      </c>
      <c r="AV890" s="21">
        <v>949</v>
      </c>
    </row>
    <row r="891" spans="1:48" x14ac:dyDescent="0.15">
      <c r="A891" s="20" t="s">
        <v>55</v>
      </c>
      <c r="B891" s="20" t="s">
        <v>124</v>
      </c>
      <c r="C891" s="21">
        <v>5063</v>
      </c>
      <c r="D891" s="21">
        <v>505</v>
      </c>
      <c r="E891" s="21">
        <v>0</v>
      </c>
      <c r="F891" s="21">
        <v>5569</v>
      </c>
      <c r="G891" s="21">
        <v>586</v>
      </c>
      <c r="H891" s="21">
        <v>3640</v>
      </c>
      <c r="I891" s="21">
        <v>1342</v>
      </c>
      <c r="L891" s="21">
        <v>81</v>
      </c>
      <c r="M891" s="21">
        <v>0.82140000000000002</v>
      </c>
      <c r="N891" s="21">
        <v>0.82140000000000002</v>
      </c>
      <c r="O891" s="21">
        <v>0.60709999999999997</v>
      </c>
      <c r="P891" s="21">
        <v>673</v>
      </c>
      <c r="Q891" s="21">
        <v>0.2452</v>
      </c>
      <c r="R891" s="21">
        <v>71</v>
      </c>
      <c r="S891" s="21">
        <v>8</v>
      </c>
      <c r="T891" s="21">
        <v>0.15079999999999999</v>
      </c>
      <c r="U891" s="21">
        <v>3.8E-3</v>
      </c>
      <c r="W891" s="21">
        <v>169</v>
      </c>
      <c r="X891" s="21">
        <v>131</v>
      </c>
      <c r="Y891" s="21">
        <v>179</v>
      </c>
      <c r="Z891" s="21">
        <v>0.3</v>
      </c>
      <c r="AA891" s="21">
        <v>0.7</v>
      </c>
      <c r="AB891" s="21">
        <v>514</v>
      </c>
      <c r="AC891" s="21">
        <v>450</v>
      </c>
      <c r="AD891" s="21">
        <v>496</v>
      </c>
      <c r="AE891" s="21">
        <v>107</v>
      </c>
      <c r="AF891" s="21">
        <v>0.22339999999999999</v>
      </c>
      <c r="AG891" s="21">
        <v>72</v>
      </c>
      <c r="AH891" s="21">
        <v>0.15029999999999999</v>
      </c>
      <c r="AI891" s="21">
        <v>3.5700000000000003E-2</v>
      </c>
      <c r="AJ891" s="21">
        <v>0.5</v>
      </c>
      <c r="AK891" s="21">
        <v>120</v>
      </c>
      <c r="AL891" s="21">
        <v>0.25829999999999997</v>
      </c>
      <c r="AM891" s="21">
        <v>85</v>
      </c>
      <c r="AN891" s="21">
        <v>0.183</v>
      </c>
      <c r="AP891" s="21">
        <v>173</v>
      </c>
      <c r="AQ891" s="21">
        <v>173</v>
      </c>
      <c r="AR891" s="21">
        <v>125</v>
      </c>
      <c r="AS891" s="21">
        <v>9</v>
      </c>
      <c r="AT891" s="21">
        <v>39</v>
      </c>
      <c r="AU891" s="21">
        <v>0</v>
      </c>
      <c r="AV891" s="21">
        <v>0</v>
      </c>
    </row>
    <row r="892" spans="1:48" x14ac:dyDescent="0.15">
      <c r="A892" s="20" t="s">
        <v>56</v>
      </c>
      <c r="B892" s="20" t="s">
        <v>124</v>
      </c>
      <c r="C892" s="21">
        <v>5351</v>
      </c>
      <c r="D892" s="21">
        <v>3229</v>
      </c>
      <c r="E892" s="21">
        <v>0</v>
      </c>
      <c r="F892" s="21">
        <v>8580</v>
      </c>
      <c r="G892" s="21">
        <v>0</v>
      </c>
      <c r="H892" s="21">
        <v>220</v>
      </c>
      <c r="J892" s="21">
        <v>1660</v>
      </c>
      <c r="K892" s="21">
        <v>6700</v>
      </c>
      <c r="L892" s="21">
        <v>121</v>
      </c>
      <c r="M892" s="21">
        <v>0.9032</v>
      </c>
      <c r="N892" s="21">
        <v>0.879</v>
      </c>
      <c r="O892" s="21">
        <v>0.621</v>
      </c>
      <c r="P892" s="21">
        <v>1514</v>
      </c>
      <c r="Q892" s="21">
        <v>0.214</v>
      </c>
      <c r="R892" s="21">
        <v>71</v>
      </c>
      <c r="S892" s="21">
        <v>6</v>
      </c>
      <c r="T892" s="21">
        <v>8.5400000000000004E-2</v>
      </c>
      <c r="U892" s="21">
        <v>8.6499999999999994E-2</v>
      </c>
      <c r="V892" s="21">
        <v>1</v>
      </c>
      <c r="W892" s="21">
        <v>643</v>
      </c>
      <c r="X892" s="21">
        <v>215</v>
      </c>
      <c r="Y892" s="21">
        <v>63</v>
      </c>
      <c r="Z892" s="21">
        <v>1.3</v>
      </c>
      <c r="AA892" s="21">
        <v>3.4</v>
      </c>
      <c r="AB892" s="21">
        <v>166</v>
      </c>
      <c r="AC892" s="21">
        <v>107</v>
      </c>
      <c r="AD892" s="21">
        <v>164</v>
      </c>
      <c r="AE892" s="21">
        <v>60</v>
      </c>
      <c r="AF892" s="21">
        <v>0.37040000000000001</v>
      </c>
      <c r="AG892" s="21">
        <v>56</v>
      </c>
      <c r="AH892" s="21">
        <v>0.34570000000000001</v>
      </c>
      <c r="AI892" s="21">
        <v>0.2</v>
      </c>
      <c r="AJ892" s="21">
        <v>0.2167</v>
      </c>
      <c r="AK892" s="21">
        <v>31</v>
      </c>
      <c r="AL892" s="21">
        <v>0.23050000000000001</v>
      </c>
      <c r="AM892" s="21">
        <v>31</v>
      </c>
      <c r="AN892" s="21">
        <v>0.23050000000000001</v>
      </c>
      <c r="AO892" s="21">
        <v>0.97150000000000003</v>
      </c>
      <c r="AP892" s="21">
        <v>314</v>
      </c>
      <c r="AQ892" s="21">
        <v>284</v>
      </c>
      <c r="AR892" s="21">
        <v>268</v>
      </c>
      <c r="AS892" s="21">
        <v>17</v>
      </c>
      <c r="AT892" s="21">
        <v>0</v>
      </c>
      <c r="AU892" s="21">
        <v>1</v>
      </c>
      <c r="AV892" s="21">
        <v>121</v>
      </c>
    </row>
    <row r="893" spans="1:48" x14ac:dyDescent="0.15">
      <c r="A893" s="20" t="s">
        <v>57</v>
      </c>
      <c r="B893" s="20" t="s">
        <v>124</v>
      </c>
      <c r="C893" s="21">
        <v>12390</v>
      </c>
      <c r="D893" s="21">
        <v>4382</v>
      </c>
      <c r="E893" s="21">
        <v>0</v>
      </c>
      <c r="F893" s="21">
        <v>16772</v>
      </c>
      <c r="G893" s="21">
        <v>6098</v>
      </c>
      <c r="H893" s="21">
        <v>3299</v>
      </c>
      <c r="I893" s="21">
        <v>1994</v>
      </c>
      <c r="J893" s="21">
        <v>5127</v>
      </c>
      <c r="K893" s="21">
        <v>254</v>
      </c>
      <c r="L893" s="21">
        <v>226</v>
      </c>
      <c r="M893" s="21">
        <v>0.55640000000000001</v>
      </c>
      <c r="N893" s="21">
        <v>0.4173</v>
      </c>
      <c r="O893" s="21">
        <v>0.40600000000000003</v>
      </c>
      <c r="P893" s="21">
        <v>668</v>
      </c>
      <c r="Q893" s="21">
        <v>0.32340000000000002</v>
      </c>
      <c r="R893" s="21">
        <v>70</v>
      </c>
      <c r="S893" s="21">
        <v>25</v>
      </c>
      <c r="T893" s="21">
        <v>0.10630000000000001</v>
      </c>
      <c r="U893" s="21">
        <v>6.3500000000000001E-2</v>
      </c>
      <c r="V893" s="21">
        <v>0.97240000000000004</v>
      </c>
      <c r="W893" s="21">
        <v>893</v>
      </c>
      <c r="X893" s="21">
        <v>780</v>
      </c>
      <c r="Y893" s="21">
        <v>499</v>
      </c>
      <c r="Z893" s="21">
        <v>0.6</v>
      </c>
      <c r="AA893" s="21">
        <v>1.6</v>
      </c>
      <c r="AB893" s="21">
        <v>1475</v>
      </c>
      <c r="AC893" s="21">
        <v>1367</v>
      </c>
      <c r="AD893" s="21">
        <v>1333</v>
      </c>
      <c r="AE893" s="21">
        <v>310</v>
      </c>
      <c r="AF893" s="21">
        <v>0.26029999999999998</v>
      </c>
      <c r="AG893" s="21">
        <v>26</v>
      </c>
      <c r="AH893" s="21">
        <v>2.18E-2</v>
      </c>
      <c r="AI893" s="21">
        <v>0.26269999999999999</v>
      </c>
      <c r="AJ893" s="21">
        <v>0.68059999999999998</v>
      </c>
      <c r="AK893" s="21">
        <v>356</v>
      </c>
      <c r="AL893" s="21">
        <v>0.27829999999999999</v>
      </c>
      <c r="AM893" s="21">
        <v>284</v>
      </c>
      <c r="AN893" s="21">
        <v>0.222</v>
      </c>
      <c r="AO893" s="21">
        <v>0.32479999999999998</v>
      </c>
      <c r="AP893" s="21">
        <v>447</v>
      </c>
      <c r="AQ893" s="21">
        <v>430</v>
      </c>
      <c r="AR893" s="21">
        <v>312</v>
      </c>
      <c r="AS893" s="21">
        <v>45</v>
      </c>
      <c r="AT893" s="21">
        <v>73</v>
      </c>
      <c r="AU893" s="21">
        <v>1864</v>
      </c>
      <c r="AV893" s="21">
        <v>474</v>
      </c>
    </row>
    <row r="894" spans="1:48" x14ac:dyDescent="0.15">
      <c r="A894" s="20" t="s">
        <v>58</v>
      </c>
      <c r="B894" s="20" t="s">
        <v>124</v>
      </c>
      <c r="C894" s="21">
        <v>41991</v>
      </c>
      <c r="D894" s="21">
        <v>4450</v>
      </c>
      <c r="E894" s="21">
        <v>0</v>
      </c>
      <c r="F894" s="21">
        <v>46441</v>
      </c>
      <c r="G894" s="21">
        <v>8189</v>
      </c>
      <c r="H894" s="21">
        <v>12210</v>
      </c>
      <c r="J894" s="21">
        <v>3490</v>
      </c>
      <c r="K894" s="21">
        <v>22552</v>
      </c>
      <c r="L894" s="21">
        <v>341</v>
      </c>
      <c r="M894" s="21">
        <v>0.84619999999999995</v>
      </c>
      <c r="N894" s="21">
        <v>0.77210000000000001</v>
      </c>
      <c r="O894" s="21">
        <v>0.7379</v>
      </c>
      <c r="P894" s="21">
        <v>2344</v>
      </c>
      <c r="Q894" s="21">
        <v>0.59560000000000002</v>
      </c>
      <c r="R894" s="21">
        <v>137</v>
      </c>
      <c r="S894" s="21">
        <v>20</v>
      </c>
      <c r="T894" s="21">
        <v>0.15010000000000001</v>
      </c>
      <c r="U894" s="21">
        <v>7.2700000000000001E-2</v>
      </c>
      <c r="V894" s="21">
        <v>0.8911</v>
      </c>
      <c r="W894" s="21">
        <v>1702</v>
      </c>
      <c r="X894" s="21">
        <v>1187</v>
      </c>
      <c r="Y894" s="21">
        <v>1127</v>
      </c>
      <c r="Z894" s="21">
        <v>0.4</v>
      </c>
      <c r="AA894" s="21">
        <v>1.1000000000000001</v>
      </c>
      <c r="AB894" s="21">
        <v>2825</v>
      </c>
      <c r="AC894" s="21">
        <v>2825</v>
      </c>
      <c r="AD894" s="21">
        <v>2805</v>
      </c>
      <c r="AE894" s="21">
        <v>118</v>
      </c>
      <c r="AF894" s="21">
        <v>4.24E-2</v>
      </c>
      <c r="AG894" s="21">
        <v>78</v>
      </c>
      <c r="AH894" s="21">
        <v>2.8000000000000001E-2</v>
      </c>
      <c r="AI894" s="21">
        <v>0.35799999999999998</v>
      </c>
      <c r="AJ894" s="21">
        <v>0.78820000000000001</v>
      </c>
      <c r="AK894" s="21">
        <v>669</v>
      </c>
      <c r="AL894" s="21">
        <v>0.23849999999999999</v>
      </c>
      <c r="AM894" s="21">
        <v>509</v>
      </c>
      <c r="AN894" s="21">
        <v>0.18149999999999999</v>
      </c>
      <c r="AO894" s="21">
        <v>0.70599999999999996</v>
      </c>
      <c r="AP894" s="21">
        <v>404</v>
      </c>
      <c r="AQ894" s="21">
        <v>404</v>
      </c>
      <c r="AR894" s="21">
        <v>220</v>
      </c>
      <c r="AS894" s="21">
        <v>2</v>
      </c>
      <c r="AT894" s="21">
        <v>182</v>
      </c>
      <c r="AU894" s="21">
        <v>251</v>
      </c>
      <c r="AV894" s="21">
        <v>1139</v>
      </c>
    </row>
    <row r="895" spans="1:48" x14ac:dyDescent="0.15">
      <c r="A895" s="20" t="s">
        <v>59</v>
      </c>
      <c r="B895" s="20" t="s">
        <v>124</v>
      </c>
      <c r="C895" s="21">
        <v>2895</v>
      </c>
      <c r="D895" s="21">
        <v>3676</v>
      </c>
      <c r="E895" s="21">
        <v>0</v>
      </c>
      <c r="F895" s="21">
        <v>6571</v>
      </c>
      <c r="G895" s="21">
        <v>1219</v>
      </c>
      <c r="H895" s="21">
        <v>0</v>
      </c>
      <c r="I895" s="21">
        <v>241</v>
      </c>
      <c r="J895" s="21">
        <v>1427</v>
      </c>
      <c r="K895" s="21">
        <v>3684</v>
      </c>
      <c r="L895" s="21">
        <v>86</v>
      </c>
      <c r="M895" s="21">
        <v>0.88039999999999996</v>
      </c>
      <c r="N895" s="21">
        <v>0.75</v>
      </c>
      <c r="O895" s="21">
        <v>0.83699999999999997</v>
      </c>
      <c r="P895" s="21">
        <v>1124</v>
      </c>
      <c r="Q895" s="21">
        <v>0.24640000000000001</v>
      </c>
      <c r="R895" s="21">
        <v>75</v>
      </c>
      <c r="S895" s="21">
        <v>6</v>
      </c>
      <c r="T895" s="21">
        <v>0.1144</v>
      </c>
      <c r="U895" s="21">
        <v>1.09E-2</v>
      </c>
      <c r="V895" s="21">
        <v>0.94740000000000002</v>
      </c>
      <c r="W895" s="21">
        <v>26</v>
      </c>
      <c r="X895" s="21">
        <v>14</v>
      </c>
      <c r="Y895" s="21">
        <v>16</v>
      </c>
      <c r="Z895" s="21">
        <v>0.1</v>
      </c>
      <c r="AA895" s="21">
        <v>0.9</v>
      </c>
      <c r="AB895" s="21">
        <v>238</v>
      </c>
      <c r="AC895" s="21">
        <v>238</v>
      </c>
      <c r="AD895" s="21">
        <v>244</v>
      </c>
      <c r="AE895" s="21">
        <v>3</v>
      </c>
      <c r="AF895" s="21">
        <v>1.2E-2</v>
      </c>
      <c r="AG895" s="21">
        <v>16</v>
      </c>
      <c r="AH895" s="21">
        <v>6.3700000000000007E-2</v>
      </c>
      <c r="AI895" s="21">
        <v>0</v>
      </c>
      <c r="AJ895" s="21">
        <v>0.1087</v>
      </c>
      <c r="AK895" s="21">
        <v>10</v>
      </c>
      <c r="AL895" s="21">
        <v>4.0899999999999999E-2</v>
      </c>
      <c r="AM895" s="21">
        <v>7</v>
      </c>
      <c r="AN895" s="21">
        <v>2.86E-2</v>
      </c>
      <c r="AP895" s="21">
        <v>222</v>
      </c>
      <c r="AQ895" s="21">
        <v>222</v>
      </c>
      <c r="AR895" s="21">
        <v>194</v>
      </c>
      <c r="AS895" s="21">
        <v>23</v>
      </c>
      <c r="AT895" s="21">
        <v>4</v>
      </c>
      <c r="AU895" s="21">
        <v>124</v>
      </c>
      <c r="AV895" s="21">
        <v>81</v>
      </c>
    </row>
    <row r="896" spans="1:48" x14ac:dyDescent="0.15">
      <c r="A896" s="20" t="s">
        <v>60</v>
      </c>
      <c r="B896" s="20" t="s">
        <v>124</v>
      </c>
      <c r="C896" s="21">
        <v>7447</v>
      </c>
      <c r="D896" s="21">
        <v>4178</v>
      </c>
      <c r="E896" s="21">
        <v>0</v>
      </c>
      <c r="F896" s="21">
        <v>11625</v>
      </c>
      <c r="G896" s="21">
        <v>788</v>
      </c>
      <c r="H896" s="21">
        <v>4165</v>
      </c>
      <c r="I896" s="21">
        <v>3485</v>
      </c>
      <c r="J896" s="21">
        <v>1699</v>
      </c>
      <c r="K896" s="21">
        <v>1488</v>
      </c>
      <c r="L896" s="21">
        <v>132</v>
      </c>
      <c r="M896" s="21">
        <v>0.83089999999999997</v>
      </c>
      <c r="N896" s="21">
        <v>0.66180000000000005</v>
      </c>
      <c r="O896" s="21">
        <v>0.76470000000000005</v>
      </c>
      <c r="P896" s="21">
        <v>313</v>
      </c>
      <c r="Q896" s="21">
        <v>0.70930000000000004</v>
      </c>
      <c r="R896" s="21">
        <v>87</v>
      </c>
      <c r="S896" s="21">
        <v>37</v>
      </c>
      <c r="T896" s="21">
        <v>0.18690000000000001</v>
      </c>
      <c r="U896" s="21">
        <v>7.1499999999999994E-2</v>
      </c>
      <c r="V896" s="21">
        <v>0.98040000000000005</v>
      </c>
      <c r="W896" s="21">
        <v>483</v>
      </c>
      <c r="X896" s="21">
        <v>268</v>
      </c>
      <c r="Y896" s="21">
        <v>247</v>
      </c>
      <c r="Z896" s="21">
        <v>0.3</v>
      </c>
      <c r="AA896" s="21">
        <v>1.1000000000000001</v>
      </c>
      <c r="AB896" s="21">
        <v>1083</v>
      </c>
      <c r="AC896" s="21">
        <v>1083</v>
      </c>
      <c r="AD896" s="21">
        <v>1066</v>
      </c>
      <c r="AE896" s="21">
        <v>61</v>
      </c>
      <c r="AF896" s="21">
        <v>5.8099999999999999E-2</v>
      </c>
      <c r="AG896" s="21">
        <v>28</v>
      </c>
      <c r="AH896" s="21">
        <v>2.6700000000000002E-2</v>
      </c>
      <c r="AI896" s="21">
        <v>0.28000000000000003</v>
      </c>
      <c r="AJ896" s="21">
        <v>0.7097</v>
      </c>
      <c r="AK896" s="21">
        <v>150</v>
      </c>
      <c r="AL896" s="21">
        <v>0.15509999999999999</v>
      </c>
      <c r="AM896" s="21">
        <v>110</v>
      </c>
      <c r="AN896" s="21">
        <v>0.1138</v>
      </c>
      <c r="AO896" s="21">
        <v>0.41980000000000001</v>
      </c>
      <c r="AP896" s="21">
        <v>129</v>
      </c>
      <c r="AQ896" s="21">
        <v>129</v>
      </c>
      <c r="AR896" s="21">
        <v>111</v>
      </c>
      <c r="AS896" s="21">
        <v>5</v>
      </c>
      <c r="AT896" s="21">
        <v>13</v>
      </c>
      <c r="AU896" s="21">
        <v>647</v>
      </c>
      <c r="AV896" s="21">
        <v>449</v>
      </c>
    </row>
    <row r="897" spans="1:48" x14ac:dyDescent="0.15">
      <c r="A897" s="20" t="s">
        <v>61</v>
      </c>
      <c r="B897" s="20" t="s">
        <v>124</v>
      </c>
      <c r="C897" s="21">
        <v>4462</v>
      </c>
      <c r="D897" s="21">
        <v>2900</v>
      </c>
      <c r="E897" s="21">
        <v>0</v>
      </c>
      <c r="F897" s="21">
        <v>7362</v>
      </c>
      <c r="G897" s="21">
        <v>2103</v>
      </c>
      <c r="H897" s="21">
        <v>1675</v>
      </c>
      <c r="I897" s="21">
        <v>1366</v>
      </c>
      <c r="J897" s="21">
        <v>1395</v>
      </c>
      <c r="K897" s="21">
        <v>823</v>
      </c>
      <c r="L897" s="21">
        <v>89</v>
      </c>
      <c r="M897" s="21">
        <v>0.80430000000000001</v>
      </c>
      <c r="N897" s="21">
        <v>0.61960000000000004</v>
      </c>
      <c r="O897" s="21">
        <v>0.73909999999999998</v>
      </c>
      <c r="P897" s="21">
        <v>133</v>
      </c>
      <c r="Q897" s="21">
        <v>1.0226</v>
      </c>
      <c r="R897" s="21">
        <v>81</v>
      </c>
      <c r="S897" s="21">
        <v>55</v>
      </c>
      <c r="T897" s="21">
        <v>7.6600000000000001E-2</v>
      </c>
      <c r="U897" s="21">
        <v>6.6299999999999998E-2</v>
      </c>
      <c r="V897" s="21">
        <v>0.93920000000000003</v>
      </c>
      <c r="W897" s="21">
        <v>193</v>
      </c>
      <c r="X897" s="21">
        <v>104</v>
      </c>
      <c r="Y897" s="21">
        <v>78</v>
      </c>
      <c r="Z897" s="21">
        <v>0.4</v>
      </c>
      <c r="AA897" s="21">
        <v>1.3</v>
      </c>
      <c r="AB897" s="21">
        <v>230</v>
      </c>
      <c r="AC897" s="21">
        <v>230</v>
      </c>
      <c r="AD897" s="21">
        <v>234</v>
      </c>
      <c r="AE897" s="21">
        <v>17</v>
      </c>
      <c r="AF897" s="21">
        <v>7.1099999999999997E-2</v>
      </c>
      <c r="AG897" s="21">
        <v>26</v>
      </c>
      <c r="AH897" s="21">
        <v>0.10879999999999999</v>
      </c>
      <c r="AI897" s="21">
        <v>0.54549999999999998</v>
      </c>
      <c r="AJ897" s="21">
        <v>0.1</v>
      </c>
      <c r="AK897" s="21">
        <v>44</v>
      </c>
      <c r="AL897" s="21">
        <v>0.18759999999999999</v>
      </c>
      <c r="AM897" s="21">
        <v>28</v>
      </c>
      <c r="AN897" s="21">
        <v>0.11940000000000001</v>
      </c>
      <c r="AO897" s="21">
        <v>0.34760000000000002</v>
      </c>
      <c r="AP897" s="21">
        <v>20</v>
      </c>
      <c r="AQ897" s="21">
        <v>20</v>
      </c>
      <c r="AR897" s="21">
        <v>8</v>
      </c>
      <c r="AS897" s="21">
        <v>9</v>
      </c>
      <c r="AT897" s="21">
        <v>3</v>
      </c>
      <c r="AU897" s="21">
        <v>833</v>
      </c>
      <c r="AV897" s="21">
        <v>138</v>
      </c>
    </row>
    <row r="898" spans="1:48" x14ac:dyDescent="0.15">
      <c r="A898" s="20" t="s">
        <v>48</v>
      </c>
      <c r="B898" s="20" t="s">
        <v>125</v>
      </c>
      <c r="C898" s="21">
        <v>3619</v>
      </c>
      <c r="D898" s="21">
        <v>3367</v>
      </c>
      <c r="E898" s="21">
        <v>0</v>
      </c>
      <c r="F898" s="21">
        <v>6987</v>
      </c>
      <c r="G898" s="21">
        <v>545</v>
      </c>
      <c r="H898" s="21">
        <v>2558</v>
      </c>
      <c r="I898" s="21">
        <v>1390</v>
      </c>
      <c r="J898" s="21">
        <v>351</v>
      </c>
      <c r="K898" s="21">
        <v>1281</v>
      </c>
      <c r="L898" s="21">
        <v>136</v>
      </c>
      <c r="M898" s="21">
        <v>0.68089999999999995</v>
      </c>
      <c r="N898" s="21">
        <v>0.36880000000000002</v>
      </c>
      <c r="O898" s="21">
        <v>0.5887</v>
      </c>
      <c r="P898" s="21">
        <v>971</v>
      </c>
      <c r="Q898" s="21">
        <v>0.2616</v>
      </c>
      <c r="R898" s="21">
        <v>51</v>
      </c>
      <c r="S898" s="21">
        <v>7</v>
      </c>
      <c r="T898" s="21">
        <v>0.1154</v>
      </c>
      <c r="U898" s="21">
        <v>9.5799999999999996E-2</v>
      </c>
      <c r="V898" s="21">
        <v>0.96330000000000005</v>
      </c>
      <c r="W898" s="21">
        <v>52</v>
      </c>
      <c r="X898" s="21">
        <v>48</v>
      </c>
      <c r="Y898" s="21">
        <v>62</v>
      </c>
      <c r="Z898" s="21">
        <v>0.1</v>
      </c>
      <c r="AA898" s="21">
        <v>0.8</v>
      </c>
      <c r="AB898" s="21">
        <v>394</v>
      </c>
      <c r="AC898" s="21">
        <v>282</v>
      </c>
      <c r="AD898" s="21">
        <v>334</v>
      </c>
      <c r="AE898" s="21">
        <v>128</v>
      </c>
      <c r="AF898" s="21">
        <v>0.46889999999999998</v>
      </c>
      <c r="AG898" s="21">
        <v>7</v>
      </c>
      <c r="AH898" s="21">
        <v>2.5600000000000001E-2</v>
      </c>
      <c r="AI898" s="21">
        <v>0.25</v>
      </c>
      <c r="AJ898" s="21">
        <v>0.63460000000000005</v>
      </c>
      <c r="AK898" s="21">
        <v>41</v>
      </c>
      <c r="AL898" s="21">
        <v>0.1477</v>
      </c>
      <c r="AM898" s="21">
        <v>25</v>
      </c>
      <c r="AN898" s="21">
        <v>9.01E-2</v>
      </c>
      <c r="AO898" s="21">
        <v>0.21959999999999999</v>
      </c>
      <c r="AP898" s="21">
        <v>94</v>
      </c>
      <c r="AQ898" s="21">
        <v>94</v>
      </c>
      <c r="AR898" s="21">
        <v>86</v>
      </c>
      <c r="AS898" s="21">
        <v>5</v>
      </c>
      <c r="AT898" s="21">
        <v>3</v>
      </c>
      <c r="AU898" s="21">
        <v>344</v>
      </c>
      <c r="AV898" s="21">
        <v>328</v>
      </c>
    </row>
    <row r="899" spans="1:48" x14ac:dyDescent="0.15">
      <c r="A899" s="20" t="s">
        <v>50</v>
      </c>
      <c r="B899" s="20" t="s">
        <v>125</v>
      </c>
      <c r="C899" s="21">
        <v>2034</v>
      </c>
      <c r="D899" s="21">
        <v>6866</v>
      </c>
      <c r="E899" s="21">
        <v>0</v>
      </c>
      <c r="F899" s="21">
        <v>8901</v>
      </c>
      <c r="G899" s="21">
        <v>74</v>
      </c>
      <c r="H899" s="21">
        <v>6013</v>
      </c>
      <c r="I899" s="21">
        <v>0</v>
      </c>
      <c r="J899" s="21">
        <v>881</v>
      </c>
      <c r="K899" s="21">
        <v>1933</v>
      </c>
      <c r="L899" s="21">
        <v>241</v>
      </c>
      <c r="M899" s="21">
        <v>0.75929999999999997</v>
      </c>
      <c r="N899" s="21">
        <v>0.38590000000000002</v>
      </c>
      <c r="O899" s="21">
        <v>0.73860000000000003</v>
      </c>
      <c r="P899" s="21">
        <v>581</v>
      </c>
      <c r="Q899" s="21">
        <v>0.55589999999999995</v>
      </c>
      <c r="R899" s="21">
        <v>37</v>
      </c>
      <c r="S899" s="21">
        <v>15</v>
      </c>
      <c r="T899" s="21">
        <v>7.9100000000000004E-2</v>
      </c>
      <c r="U899" s="21">
        <v>8.2100000000000006E-2</v>
      </c>
      <c r="V899" s="21">
        <v>0.98799999999999999</v>
      </c>
      <c r="W899" s="21">
        <v>76</v>
      </c>
      <c r="X899" s="21">
        <v>92</v>
      </c>
      <c r="Y899" s="21">
        <v>118</v>
      </c>
      <c r="Z899" s="21">
        <v>0.1</v>
      </c>
      <c r="AA899" s="21">
        <v>0.8</v>
      </c>
      <c r="AB899" s="21">
        <v>612</v>
      </c>
      <c r="AC899" s="21">
        <v>612</v>
      </c>
      <c r="AD899" s="21">
        <v>660</v>
      </c>
      <c r="AE899" s="21">
        <v>56</v>
      </c>
      <c r="AF899" s="21">
        <v>7.9200000000000007E-2</v>
      </c>
      <c r="AG899" s="21">
        <v>151</v>
      </c>
      <c r="AH899" s="21">
        <v>0.21360000000000001</v>
      </c>
      <c r="AI899" s="21">
        <v>0.17649999999999999</v>
      </c>
      <c r="AJ899" s="21">
        <v>0.60119999999999996</v>
      </c>
      <c r="AK899" s="21">
        <v>78</v>
      </c>
      <c r="AL899" s="21">
        <v>0.1183</v>
      </c>
      <c r="AM899" s="21">
        <v>52</v>
      </c>
      <c r="AN899" s="21">
        <v>7.8799999999999995E-2</v>
      </c>
      <c r="AO899" s="21">
        <v>0.71950000000000003</v>
      </c>
      <c r="AP899" s="21">
        <v>124</v>
      </c>
      <c r="AQ899" s="21">
        <v>124</v>
      </c>
      <c r="AR899" s="21">
        <v>108</v>
      </c>
      <c r="AS899" s="21">
        <v>2</v>
      </c>
      <c r="AT899" s="21">
        <v>14</v>
      </c>
      <c r="AU899" s="21">
        <v>769</v>
      </c>
      <c r="AV899" s="21">
        <v>694</v>
      </c>
    </row>
    <row r="900" spans="1:48" x14ac:dyDescent="0.15">
      <c r="A900" s="20" t="s">
        <v>51</v>
      </c>
      <c r="B900" s="20" t="s">
        <v>125</v>
      </c>
      <c r="C900" s="21">
        <v>21053</v>
      </c>
      <c r="D900" s="21">
        <v>11315</v>
      </c>
      <c r="E900" s="21">
        <v>0</v>
      </c>
      <c r="F900" s="21">
        <v>32368</v>
      </c>
      <c r="G900" s="21">
        <v>648</v>
      </c>
      <c r="H900" s="21">
        <v>8129</v>
      </c>
      <c r="I900" s="21">
        <v>4546</v>
      </c>
      <c r="J900" s="21">
        <v>1900</v>
      </c>
      <c r="K900" s="21">
        <v>17103</v>
      </c>
      <c r="L900" s="21">
        <v>985</v>
      </c>
      <c r="M900" s="21">
        <v>0.75049999999999994</v>
      </c>
      <c r="N900" s="21">
        <v>0.52429999999999999</v>
      </c>
      <c r="O900" s="21">
        <v>0.70179999999999998</v>
      </c>
      <c r="P900" s="21">
        <v>3296</v>
      </c>
      <c r="Q900" s="21">
        <v>0.51490000000000002</v>
      </c>
      <c r="R900" s="21">
        <v>33</v>
      </c>
      <c r="S900" s="21">
        <v>10</v>
      </c>
      <c r="T900" s="21">
        <v>0.14280000000000001</v>
      </c>
      <c r="U900" s="21">
        <v>0.12479999999999999</v>
      </c>
      <c r="V900" s="21">
        <v>0.96189999999999998</v>
      </c>
      <c r="W900" s="21">
        <v>1392</v>
      </c>
      <c r="X900" s="21">
        <v>1935</v>
      </c>
      <c r="Y900" s="21">
        <v>2513</v>
      </c>
      <c r="Z900" s="21">
        <v>0.2</v>
      </c>
      <c r="AA900" s="21">
        <v>0.8</v>
      </c>
      <c r="AB900" s="21">
        <v>10596</v>
      </c>
      <c r="AC900" s="21">
        <v>10344</v>
      </c>
      <c r="AD900" s="21">
        <v>10224</v>
      </c>
      <c r="AE900" s="21">
        <v>1138</v>
      </c>
      <c r="AF900" s="21">
        <v>0.11550000000000001</v>
      </c>
      <c r="AG900" s="21">
        <v>393</v>
      </c>
      <c r="AH900" s="21">
        <v>3.9899999999999998E-2</v>
      </c>
      <c r="AI900" s="21">
        <v>0.23549999999999999</v>
      </c>
      <c r="AJ900" s="21">
        <v>0.73950000000000005</v>
      </c>
      <c r="AK900" s="21">
        <v>1712</v>
      </c>
      <c r="AL900" s="21">
        <v>0.16980000000000001</v>
      </c>
      <c r="AM900" s="21">
        <v>1179</v>
      </c>
      <c r="AN900" s="21">
        <v>0.1169</v>
      </c>
      <c r="AO900" s="21">
        <v>0.59940000000000004</v>
      </c>
      <c r="AP900" s="21">
        <v>156</v>
      </c>
      <c r="AQ900" s="21">
        <v>156</v>
      </c>
      <c r="AR900" s="21">
        <v>138</v>
      </c>
      <c r="AS900" s="21">
        <v>8</v>
      </c>
      <c r="AT900" s="21">
        <v>10</v>
      </c>
      <c r="AU900" s="21">
        <v>2990</v>
      </c>
      <c r="AV900" s="21">
        <v>1761</v>
      </c>
    </row>
    <row r="901" spans="1:48" x14ac:dyDescent="0.15">
      <c r="A901" s="20" t="s">
        <v>52</v>
      </c>
      <c r="B901" s="20" t="s">
        <v>125</v>
      </c>
      <c r="C901" s="21">
        <v>706</v>
      </c>
      <c r="D901" s="21">
        <v>2372</v>
      </c>
      <c r="E901" s="21">
        <v>1</v>
      </c>
      <c r="F901" s="21">
        <v>3078</v>
      </c>
      <c r="G901" s="21">
        <v>330</v>
      </c>
      <c r="H901" s="21">
        <v>455</v>
      </c>
      <c r="I901" s="21">
        <v>585</v>
      </c>
      <c r="J901" s="21">
        <v>683</v>
      </c>
      <c r="K901" s="21">
        <v>1024</v>
      </c>
      <c r="L901" s="21">
        <v>213</v>
      </c>
      <c r="M901" s="21">
        <v>0.57750000000000001</v>
      </c>
      <c r="N901" s="21">
        <v>0.2019</v>
      </c>
      <c r="O901" s="21">
        <v>0.52110000000000001</v>
      </c>
      <c r="P901" s="21">
        <v>964</v>
      </c>
      <c r="Q901" s="21">
        <v>0.20949999999999999</v>
      </c>
      <c r="R901" s="21">
        <v>14</v>
      </c>
      <c r="S901" s="21">
        <v>3</v>
      </c>
      <c r="T901" s="21">
        <v>0.19750000000000001</v>
      </c>
      <c r="U901" s="21">
        <v>9.0800000000000006E-2</v>
      </c>
      <c r="V901" s="21">
        <v>0.96579999999999999</v>
      </c>
      <c r="W901" s="21">
        <v>-59</v>
      </c>
      <c r="X901" s="21">
        <v>-3</v>
      </c>
      <c r="Y901" s="21">
        <v>96</v>
      </c>
      <c r="Z901" s="21">
        <v>0</v>
      </c>
      <c r="AA901" s="21">
        <v>0</v>
      </c>
      <c r="AB901" s="21">
        <v>496</v>
      </c>
      <c r="AC901" s="21">
        <v>436</v>
      </c>
      <c r="AD901" s="21">
        <v>465</v>
      </c>
      <c r="AE901" s="21">
        <v>70</v>
      </c>
      <c r="AF901" s="21">
        <v>0.1613</v>
      </c>
      <c r="AG901" s="21">
        <v>8</v>
      </c>
      <c r="AH901" s="21">
        <v>1.84E-2</v>
      </c>
      <c r="AI901" s="21">
        <v>7.6899999999999996E-2</v>
      </c>
      <c r="AJ901" s="21">
        <v>0.85709999999999997</v>
      </c>
      <c r="AK901" s="21">
        <v>46</v>
      </c>
      <c r="AL901" s="21">
        <v>0.1057</v>
      </c>
      <c r="AM901" s="21">
        <v>32</v>
      </c>
      <c r="AN901" s="21">
        <v>7.3599999999999999E-2</v>
      </c>
      <c r="AO901" s="21">
        <v>0.87780000000000002</v>
      </c>
      <c r="AP901" s="21">
        <v>54</v>
      </c>
      <c r="AQ901" s="21">
        <v>54</v>
      </c>
      <c r="AR901" s="21">
        <v>54</v>
      </c>
      <c r="AS901" s="21">
        <v>1</v>
      </c>
      <c r="AT901" s="21">
        <v>0</v>
      </c>
      <c r="AU901" s="21">
        <v>804</v>
      </c>
      <c r="AV901" s="21">
        <v>645</v>
      </c>
    </row>
    <row r="902" spans="1:48" x14ac:dyDescent="0.15">
      <c r="A902" s="20" t="s">
        <v>53</v>
      </c>
      <c r="B902" s="20" t="s">
        <v>125</v>
      </c>
      <c r="C902" s="21">
        <v>76</v>
      </c>
      <c r="D902" s="21">
        <v>1559</v>
      </c>
      <c r="E902" s="21">
        <v>0</v>
      </c>
      <c r="F902" s="21">
        <v>1635</v>
      </c>
      <c r="H902" s="21">
        <v>169</v>
      </c>
      <c r="I902" s="21">
        <v>460</v>
      </c>
      <c r="J902" s="21">
        <v>1006</v>
      </c>
      <c r="K902" s="21">
        <v>0</v>
      </c>
      <c r="L902" s="21">
        <v>125</v>
      </c>
      <c r="M902" s="21">
        <v>0.76090000000000002</v>
      </c>
      <c r="N902" s="21">
        <v>2.9000000000000001E-2</v>
      </c>
      <c r="O902" s="21">
        <v>0.74639999999999995</v>
      </c>
      <c r="P902" s="21">
        <v>1817</v>
      </c>
      <c r="Q902" s="21">
        <v>7.7100000000000002E-2</v>
      </c>
      <c r="R902" s="21">
        <v>13</v>
      </c>
      <c r="S902" s="21">
        <v>1</v>
      </c>
      <c r="T902" s="21">
        <v>0.2888</v>
      </c>
      <c r="U902" s="21">
        <v>4.9700000000000001E-2</v>
      </c>
      <c r="V902" s="21">
        <v>1</v>
      </c>
      <c r="W902" s="21">
        <v>934</v>
      </c>
      <c r="X902" s="21">
        <v>1480</v>
      </c>
      <c r="Y902" s="21">
        <v>1311</v>
      </c>
      <c r="Z902" s="21">
        <v>0.4</v>
      </c>
      <c r="AA902" s="21">
        <v>1.1000000000000001</v>
      </c>
      <c r="AB902" s="21">
        <v>4190</v>
      </c>
      <c r="AC902" s="21">
        <v>3878</v>
      </c>
      <c r="AD902" s="21">
        <v>3852</v>
      </c>
      <c r="AE902" s="21">
        <v>754</v>
      </c>
      <c r="AF902" s="21">
        <v>0.2145</v>
      </c>
      <c r="AG902" s="21">
        <v>79</v>
      </c>
      <c r="AH902" s="21">
        <v>2.2499999999999999E-2</v>
      </c>
      <c r="AI902" s="21">
        <v>0.50870000000000004</v>
      </c>
      <c r="AJ902" s="21">
        <v>0.8669</v>
      </c>
      <c r="AK902" s="21">
        <v>1066</v>
      </c>
      <c r="AL902" s="21">
        <v>0.28839999999999999</v>
      </c>
      <c r="AM902" s="21">
        <v>880</v>
      </c>
      <c r="AN902" s="21">
        <v>0.23810000000000001</v>
      </c>
      <c r="AO902" s="21">
        <v>0.65590000000000004</v>
      </c>
      <c r="AP902" s="21">
        <v>39</v>
      </c>
      <c r="AQ902" s="21">
        <v>39</v>
      </c>
      <c r="AR902" s="21">
        <v>31</v>
      </c>
      <c r="AS902" s="21">
        <v>8</v>
      </c>
      <c r="AT902" s="21">
        <v>0</v>
      </c>
      <c r="AU902" s="21">
        <v>0</v>
      </c>
      <c r="AV902" s="21">
        <v>309</v>
      </c>
    </row>
    <row r="903" spans="1:48" x14ac:dyDescent="0.15">
      <c r="A903" s="20" t="s">
        <v>0</v>
      </c>
      <c r="B903" s="20" t="s">
        <v>125</v>
      </c>
      <c r="C903" s="21">
        <v>39730</v>
      </c>
      <c r="D903" s="21">
        <v>58489</v>
      </c>
      <c r="E903" s="21">
        <v>1</v>
      </c>
      <c r="F903" s="21">
        <v>98220</v>
      </c>
      <c r="G903" s="21">
        <v>4912</v>
      </c>
      <c r="H903" s="21">
        <v>25373</v>
      </c>
      <c r="I903" s="21">
        <v>13204</v>
      </c>
      <c r="J903" s="21">
        <v>12963</v>
      </c>
      <c r="K903" s="21">
        <v>40822</v>
      </c>
      <c r="L903" s="21">
        <v>3008</v>
      </c>
      <c r="M903" s="21">
        <v>0.73009999999999997</v>
      </c>
      <c r="N903" s="21">
        <v>0.35349999999999998</v>
      </c>
      <c r="O903" s="21">
        <v>0.70179999999999998</v>
      </c>
      <c r="P903" s="21">
        <v>16087</v>
      </c>
      <c r="Q903" s="21">
        <v>0.3417</v>
      </c>
      <c r="R903" s="21">
        <v>33</v>
      </c>
      <c r="S903" s="21">
        <v>6</v>
      </c>
      <c r="T903" s="21">
        <v>0.15670000000000001</v>
      </c>
      <c r="U903" s="21">
        <v>8.2500000000000004E-2</v>
      </c>
      <c r="V903" s="21">
        <v>0.96789999999999998</v>
      </c>
      <c r="W903" s="21">
        <v>3244</v>
      </c>
      <c r="X903" s="21">
        <v>4589</v>
      </c>
      <c r="Y903" s="21">
        <v>6093</v>
      </c>
      <c r="Z903" s="21">
        <v>0.2</v>
      </c>
      <c r="AA903" s="21">
        <v>0.8</v>
      </c>
      <c r="AB903" s="21">
        <v>23729</v>
      </c>
      <c r="AC903" s="21">
        <v>22993</v>
      </c>
      <c r="AD903" s="21">
        <v>22842</v>
      </c>
      <c r="AE903" s="21">
        <v>2642</v>
      </c>
      <c r="AF903" s="21">
        <v>0.1203</v>
      </c>
      <c r="AG903" s="21">
        <v>869</v>
      </c>
      <c r="AH903" s="21">
        <v>3.9600000000000003E-2</v>
      </c>
      <c r="AI903" s="21">
        <v>0.2356</v>
      </c>
      <c r="AJ903" s="21">
        <v>0.71099999999999997</v>
      </c>
      <c r="AK903" s="21">
        <v>4083</v>
      </c>
      <c r="AL903" s="21">
        <v>0.1825</v>
      </c>
      <c r="AM903" s="21">
        <v>2852</v>
      </c>
      <c r="AN903" s="21">
        <v>0.1275</v>
      </c>
      <c r="AO903" s="21">
        <v>0.61399999999999999</v>
      </c>
      <c r="AP903" s="21">
        <v>1647</v>
      </c>
      <c r="AQ903" s="21">
        <v>1646</v>
      </c>
      <c r="AR903" s="21">
        <v>1525</v>
      </c>
      <c r="AS903" s="21">
        <v>72</v>
      </c>
      <c r="AT903" s="21">
        <v>49</v>
      </c>
      <c r="AU903" s="21">
        <v>6877</v>
      </c>
      <c r="AV903" s="21">
        <v>5766</v>
      </c>
    </row>
    <row r="904" spans="1:48" x14ac:dyDescent="0.15">
      <c r="A904" s="20" t="s">
        <v>54</v>
      </c>
      <c r="B904" s="20" t="s">
        <v>125</v>
      </c>
      <c r="C904" s="21">
        <v>-13</v>
      </c>
      <c r="D904" s="21">
        <v>8528</v>
      </c>
      <c r="E904" s="21">
        <v>0</v>
      </c>
      <c r="F904" s="21">
        <v>8514</v>
      </c>
      <c r="G904" s="21">
        <v>173</v>
      </c>
      <c r="H904" s="21">
        <v>231</v>
      </c>
      <c r="I904" s="21">
        <v>933</v>
      </c>
      <c r="J904" s="21">
        <v>1269</v>
      </c>
      <c r="K904" s="21">
        <v>5865</v>
      </c>
      <c r="L904" s="21">
        <v>244</v>
      </c>
      <c r="M904" s="21">
        <v>0.9</v>
      </c>
      <c r="N904" s="21">
        <v>5.1999999999999998E-2</v>
      </c>
      <c r="O904" s="21">
        <v>0.90400000000000003</v>
      </c>
      <c r="P904" s="21">
        <v>1722</v>
      </c>
      <c r="Q904" s="21">
        <v>0.46689999999999998</v>
      </c>
      <c r="R904" s="21">
        <v>34</v>
      </c>
      <c r="S904" s="21">
        <v>5</v>
      </c>
      <c r="T904" s="21">
        <v>0.1797</v>
      </c>
      <c r="U904" s="21">
        <v>2.53E-2</v>
      </c>
      <c r="V904" s="21">
        <v>1</v>
      </c>
      <c r="W904" s="21">
        <v>63</v>
      </c>
      <c r="X904" s="21">
        <v>121</v>
      </c>
      <c r="Y904" s="21">
        <v>259</v>
      </c>
      <c r="Z904" s="21">
        <v>0.2</v>
      </c>
      <c r="AA904" s="21">
        <v>0.5</v>
      </c>
      <c r="AB904" s="21">
        <v>675</v>
      </c>
      <c r="AC904" s="21">
        <v>675</v>
      </c>
      <c r="AD904" s="21">
        <v>660</v>
      </c>
      <c r="AE904" s="21">
        <v>53</v>
      </c>
      <c r="AF904" s="21">
        <v>8.2199999999999995E-2</v>
      </c>
      <c r="AG904" s="21">
        <v>23</v>
      </c>
      <c r="AH904" s="21">
        <v>3.5700000000000003E-2</v>
      </c>
      <c r="AI904" s="21">
        <v>0.1429</v>
      </c>
      <c r="AJ904" s="21">
        <v>0.83330000000000004</v>
      </c>
      <c r="AK904" s="21">
        <v>148</v>
      </c>
      <c r="AL904" s="21">
        <v>0.22420000000000001</v>
      </c>
      <c r="AM904" s="21">
        <v>90</v>
      </c>
      <c r="AN904" s="21">
        <v>0.13639999999999999</v>
      </c>
      <c r="AP904" s="21">
        <v>198</v>
      </c>
      <c r="AQ904" s="21">
        <v>198</v>
      </c>
      <c r="AR904" s="21">
        <v>189</v>
      </c>
      <c r="AS904" s="21">
        <v>2</v>
      </c>
      <c r="AT904" s="21">
        <v>6</v>
      </c>
      <c r="AU904" s="21">
        <v>8</v>
      </c>
      <c r="AV904" s="21">
        <v>274</v>
      </c>
    </row>
    <row r="905" spans="1:48" x14ac:dyDescent="0.15">
      <c r="A905" s="20" t="s">
        <v>55</v>
      </c>
      <c r="B905" s="20" t="s">
        <v>125</v>
      </c>
      <c r="C905" s="21">
        <v>444</v>
      </c>
      <c r="D905" s="21">
        <v>359</v>
      </c>
      <c r="E905" s="21">
        <v>0</v>
      </c>
      <c r="F905" s="21">
        <v>803</v>
      </c>
      <c r="G905" s="21">
        <v>28</v>
      </c>
      <c r="H905" s="21">
        <v>16</v>
      </c>
      <c r="I905" s="21">
        <v>760</v>
      </c>
      <c r="L905" s="21">
        <v>83</v>
      </c>
      <c r="M905" s="21">
        <v>0.57830000000000004</v>
      </c>
      <c r="N905" s="21">
        <v>0.27710000000000001</v>
      </c>
      <c r="O905" s="21">
        <v>0.54220000000000002</v>
      </c>
      <c r="P905" s="21">
        <v>673</v>
      </c>
      <c r="Q905" s="21">
        <v>0.1263</v>
      </c>
      <c r="R905" s="21">
        <v>10</v>
      </c>
      <c r="S905" s="21">
        <v>1</v>
      </c>
      <c r="T905" s="21">
        <v>0.37830000000000003</v>
      </c>
      <c r="U905" s="21">
        <v>4.3E-3</v>
      </c>
      <c r="W905" s="21">
        <v>83</v>
      </c>
      <c r="X905" s="21">
        <v>95</v>
      </c>
      <c r="Y905" s="21">
        <v>158</v>
      </c>
      <c r="Z905" s="21">
        <v>0.2</v>
      </c>
      <c r="AA905" s="21">
        <v>0.6</v>
      </c>
      <c r="AB905" s="21">
        <v>497</v>
      </c>
      <c r="AC905" s="21">
        <v>497</v>
      </c>
      <c r="AD905" s="21">
        <v>506</v>
      </c>
      <c r="AE905" s="21">
        <v>22</v>
      </c>
      <c r="AF905" s="21">
        <v>4.2799999999999998E-2</v>
      </c>
      <c r="AG905" s="21">
        <v>39</v>
      </c>
      <c r="AH905" s="21">
        <v>7.5899999999999995E-2</v>
      </c>
      <c r="AI905" s="21">
        <v>7.1400000000000005E-2</v>
      </c>
      <c r="AJ905" s="21">
        <v>0.29849999999999999</v>
      </c>
      <c r="AK905" s="21">
        <v>91</v>
      </c>
      <c r="AL905" s="21">
        <v>0.18</v>
      </c>
      <c r="AM905" s="21">
        <v>54</v>
      </c>
      <c r="AN905" s="21">
        <v>0.10680000000000001</v>
      </c>
      <c r="AP905" s="21">
        <v>128</v>
      </c>
      <c r="AQ905" s="21">
        <v>128</v>
      </c>
      <c r="AR905" s="21">
        <v>124</v>
      </c>
      <c r="AS905" s="21">
        <v>2</v>
      </c>
      <c r="AT905" s="21">
        <v>2</v>
      </c>
      <c r="AU905" s="21">
        <v>0</v>
      </c>
      <c r="AV905" s="21">
        <v>0</v>
      </c>
    </row>
    <row r="906" spans="1:48" x14ac:dyDescent="0.15">
      <c r="A906" s="20" t="s">
        <v>56</v>
      </c>
      <c r="B906" s="20" t="s">
        <v>125</v>
      </c>
      <c r="C906" s="21">
        <v>2932</v>
      </c>
      <c r="D906" s="21">
        <v>2696</v>
      </c>
      <c r="E906" s="21">
        <v>0</v>
      </c>
      <c r="F906" s="21">
        <v>5628</v>
      </c>
      <c r="G906" s="21">
        <v>0</v>
      </c>
      <c r="H906" s="21">
        <v>237</v>
      </c>
      <c r="J906" s="21">
        <v>584</v>
      </c>
      <c r="K906" s="21">
        <v>4807</v>
      </c>
      <c r="L906" s="21">
        <v>109</v>
      </c>
      <c r="M906" s="21">
        <v>0.65849999999999997</v>
      </c>
      <c r="N906" s="21">
        <v>0.52029999999999998</v>
      </c>
      <c r="O906" s="21">
        <v>0.6179</v>
      </c>
      <c r="P906" s="21">
        <v>1515</v>
      </c>
      <c r="Q906" s="21">
        <v>0.1888</v>
      </c>
      <c r="R906" s="21">
        <v>49</v>
      </c>
      <c r="S906" s="21">
        <v>4</v>
      </c>
      <c r="T906" s="21">
        <v>9.3299999999999994E-2</v>
      </c>
      <c r="U906" s="21">
        <v>7.9799999999999996E-2</v>
      </c>
      <c r="V906" s="21">
        <v>1</v>
      </c>
      <c r="W906" s="21">
        <v>99</v>
      </c>
      <c r="X906" s="21">
        <v>63</v>
      </c>
      <c r="Y906" s="21">
        <v>67</v>
      </c>
      <c r="Z906" s="21">
        <v>0.4</v>
      </c>
      <c r="AA906" s="21">
        <v>0.9</v>
      </c>
      <c r="AB906" s="21">
        <v>143</v>
      </c>
      <c r="AC906" s="21">
        <v>143</v>
      </c>
      <c r="AD906" s="21">
        <v>154</v>
      </c>
      <c r="AE906" s="21">
        <v>9</v>
      </c>
      <c r="AF906" s="21">
        <v>5.4199999999999998E-2</v>
      </c>
      <c r="AG906" s="21">
        <v>32</v>
      </c>
      <c r="AH906" s="21">
        <v>0.1928</v>
      </c>
      <c r="AI906" s="21">
        <v>0.5</v>
      </c>
      <c r="AJ906" s="21">
        <v>0.40910000000000002</v>
      </c>
      <c r="AK906" s="21">
        <v>45</v>
      </c>
      <c r="AL906" s="21">
        <v>0.2913</v>
      </c>
      <c r="AM906" s="21">
        <v>31</v>
      </c>
      <c r="AN906" s="21">
        <v>0.2006</v>
      </c>
      <c r="AO906" s="21">
        <v>0.94869999999999999</v>
      </c>
      <c r="AP906" s="21">
        <v>285</v>
      </c>
      <c r="AQ906" s="21">
        <v>285</v>
      </c>
      <c r="AR906" s="21">
        <v>276</v>
      </c>
      <c r="AS906" s="21">
        <v>10</v>
      </c>
      <c r="AT906" s="21">
        <v>0</v>
      </c>
      <c r="AU906" s="21">
        <v>0</v>
      </c>
      <c r="AV906" s="21">
        <v>170</v>
      </c>
    </row>
    <row r="907" spans="1:48" x14ac:dyDescent="0.15">
      <c r="A907" s="20" t="s">
        <v>57</v>
      </c>
      <c r="B907" s="20" t="s">
        <v>125</v>
      </c>
      <c r="C907" s="21">
        <v>-97</v>
      </c>
      <c r="D907" s="21">
        <v>4066</v>
      </c>
      <c r="E907" s="21">
        <v>0</v>
      </c>
      <c r="F907" s="21">
        <v>3969</v>
      </c>
      <c r="G907" s="21">
        <v>739</v>
      </c>
      <c r="H907" s="21">
        <v>1065</v>
      </c>
      <c r="I907" s="21">
        <v>366</v>
      </c>
      <c r="J907" s="21">
        <v>1782</v>
      </c>
      <c r="K907" s="21">
        <v>17</v>
      </c>
      <c r="L907" s="21">
        <v>242</v>
      </c>
      <c r="M907" s="21">
        <v>0.46689999999999998</v>
      </c>
      <c r="N907" s="21">
        <v>1.24E-2</v>
      </c>
      <c r="O907" s="21">
        <v>0.4793</v>
      </c>
      <c r="P907" s="21">
        <v>665</v>
      </c>
      <c r="Q907" s="21">
        <v>0.20449999999999999</v>
      </c>
      <c r="R907" s="21">
        <v>17</v>
      </c>
      <c r="S907" s="21">
        <v>6</v>
      </c>
      <c r="T907" s="21">
        <v>0.1575</v>
      </c>
      <c r="U907" s="21">
        <v>5.9299999999999999E-2</v>
      </c>
      <c r="V907" s="21">
        <v>0.99199999999999999</v>
      </c>
      <c r="W907" s="21">
        <v>137</v>
      </c>
      <c r="X907" s="21">
        <v>195</v>
      </c>
      <c r="Y907" s="21">
        <v>264</v>
      </c>
      <c r="Z907" s="21">
        <v>0.1</v>
      </c>
      <c r="AA907" s="21">
        <v>0.7</v>
      </c>
      <c r="AB907" s="21">
        <v>1577</v>
      </c>
      <c r="AC907" s="21">
        <v>1577</v>
      </c>
      <c r="AD907" s="21">
        <v>1526</v>
      </c>
      <c r="AE907" s="21">
        <v>115</v>
      </c>
      <c r="AF907" s="21">
        <v>7.8E-2</v>
      </c>
      <c r="AG907" s="21">
        <v>13</v>
      </c>
      <c r="AH907" s="21">
        <v>8.8000000000000005E-3</v>
      </c>
      <c r="AI907" s="21">
        <v>9.5200000000000007E-2</v>
      </c>
      <c r="AJ907" s="21">
        <v>0.8085</v>
      </c>
      <c r="AK907" s="21">
        <v>181</v>
      </c>
      <c r="AL907" s="21">
        <v>0.1186</v>
      </c>
      <c r="AM907" s="21">
        <v>122</v>
      </c>
      <c r="AN907" s="21">
        <v>7.9899999999999999E-2</v>
      </c>
      <c r="AO907" s="21">
        <v>0.20619999999999999</v>
      </c>
      <c r="AP907" s="21">
        <v>310</v>
      </c>
      <c r="AQ907" s="21">
        <v>309</v>
      </c>
      <c r="AR907" s="21">
        <v>295</v>
      </c>
      <c r="AS907" s="21">
        <v>14</v>
      </c>
      <c r="AT907" s="21">
        <v>0</v>
      </c>
      <c r="AU907" s="21">
        <v>637</v>
      </c>
      <c r="AV907" s="21">
        <v>371</v>
      </c>
    </row>
    <row r="908" spans="1:48" x14ac:dyDescent="0.15">
      <c r="A908" s="20" t="s">
        <v>58</v>
      </c>
      <c r="B908" s="20" t="s">
        <v>125</v>
      </c>
      <c r="C908" s="21">
        <v>4139</v>
      </c>
      <c r="D908" s="21">
        <v>7520</v>
      </c>
      <c r="E908" s="21">
        <v>0</v>
      </c>
      <c r="F908" s="21">
        <v>11659</v>
      </c>
      <c r="G908" s="21">
        <v>1660</v>
      </c>
      <c r="H908" s="21">
        <v>4016</v>
      </c>
      <c r="J908" s="21">
        <v>862</v>
      </c>
      <c r="K908" s="21">
        <v>5122</v>
      </c>
      <c r="L908" s="21">
        <v>336</v>
      </c>
      <c r="M908" s="21">
        <v>0.82569999999999999</v>
      </c>
      <c r="N908" s="21">
        <v>0.46289999999999998</v>
      </c>
      <c r="O908" s="21">
        <v>0.83430000000000004</v>
      </c>
      <c r="P908" s="21">
        <v>2312</v>
      </c>
      <c r="Q908" s="21">
        <v>0.4239</v>
      </c>
      <c r="R908" s="21">
        <v>34</v>
      </c>
      <c r="S908" s="21">
        <v>5</v>
      </c>
      <c r="T908" s="21">
        <v>0.27300000000000002</v>
      </c>
      <c r="U908" s="21">
        <v>7.4899999999999994E-2</v>
      </c>
      <c r="V908" s="21">
        <v>0.93610000000000004</v>
      </c>
      <c r="W908" s="21">
        <v>297</v>
      </c>
      <c r="X908" s="21">
        <v>384</v>
      </c>
      <c r="Y908" s="21">
        <v>942</v>
      </c>
      <c r="Z908" s="21">
        <v>0.1</v>
      </c>
      <c r="AA908" s="21">
        <v>0.4</v>
      </c>
      <c r="AB908" s="21">
        <v>2943</v>
      </c>
      <c r="AC908" s="21">
        <v>2943</v>
      </c>
      <c r="AD908" s="21">
        <v>2884</v>
      </c>
      <c r="AE908" s="21">
        <v>183</v>
      </c>
      <c r="AF908" s="21">
        <v>6.4799999999999996E-2</v>
      </c>
      <c r="AG908" s="21">
        <v>65</v>
      </c>
      <c r="AH908" s="21">
        <v>2.3E-2</v>
      </c>
      <c r="AI908" s="21">
        <v>0.14660000000000001</v>
      </c>
      <c r="AJ908" s="21">
        <v>0.79010000000000002</v>
      </c>
      <c r="AK908" s="21">
        <v>508</v>
      </c>
      <c r="AL908" s="21">
        <v>0.17610000000000001</v>
      </c>
      <c r="AM908" s="21">
        <v>280</v>
      </c>
      <c r="AN908" s="21">
        <v>9.7100000000000006E-2</v>
      </c>
      <c r="AO908" s="21">
        <v>0.75339999999999996</v>
      </c>
      <c r="AP908" s="21">
        <v>170</v>
      </c>
      <c r="AQ908" s="21">
        <v>170</v>
      </c>
      <c r="AR908" s="21">
        <v>159</v>
      </c>
      <c r="AS908" s="21">
        <v>11</v>
      </c>
      <c r="AT908" s="21">
        <v>0</v>
      </c>
      <c r="AU908" s="21">
        <v>128</v>
      </c>
      <c r="AV908" s="21">
        <v>524</v>
      </c>
    </row>
    <row r="909" spans="1:48" x14ac:dyDescent="0.15">
      <c r="A909" s="20" t="s">
        <v>59</v>
      </c>
      <c r="B909" s="20" t="s">
        <v>125</v>
      </c>
      <c r="C909" s="21">
        <v>-10</v>
      </c>
      <c r="D909" s="21">
        <v>3712</v>
      </c>
      <c r="E909" s="21">
        <v>0</v>
      </c>
      <c r="F909" s="21">
        <v>3702</v>
      </c>
      <c r="G909" s="21">
        <v>422</v>
      </c>
      <c r="H909" s="21">
        <v>0</v>
      </c>
      <c r="I909" s="21">
        <v>170</v>
      </c>
      <c r="J909" s="21">
        <v>662</v>
      </c>
      <c r="K909" s="21">
        <v>2449</v>
      </c>
      <c r="L909" s="21">
        <v>80</v>
      </c>
      <c r="M909" s="21">
        <v>0.79310000000000003</v>
      </c>
      <c r="N909" s="21">
        <v>0</v>
      </c>
      <c r="O909" s="21">
        <v>0.79310000000000003</v>
      </c>
      <c r="P909" s="21">
        <v>1124</v>
      </c>
      <c r="Q909" s="21">
        <v>0.2349</v>
      </c>
      <c r="R909" s="21">
        <v>45</v>
      </c>
      <c r="S909" s="21">
        <v>3</v>
      </c>
      <c r="T909" s="21">
        <v>0.107</v>
      </c>
      <c r="U909" s="21">
        <v>1.15E-2</v>
      </c>
      <c r="V909" s="21">
        <v>0.89139999999999997</v>
      </c>
      <c r="W909" s="21">
        <v>8</v>
      </c>
      <c r="X909" s="21">
        <v>10</v>
      </c>
      <c r="Y909" s="21">
        <v>26</v>
      </c>
      <c r="Z909" s="21">
        <v>0</v>
      </c>
      <c r="AA909" s="21">
        <v>0.4</v>
      </c>
      <c r="AB909" s="21">
        <v>224</v>
      </c>
      <c r="AC909" s="21">
        <v>224</v>
      </c>
      <c r="AD909" s="21">
        <v>231</v>
      </c>
      <c r="AE909" s="21">
        <v>11</v>
      </c>
      <c r="AF909" s="21">
        <v>4.6199999999999998E-2</v>
      </c>
      <c r="AG909" s="21">
        <v>25</v>
      </c>
      <c r="AH909" s="21">
        <v>0.105</v>
      </c>
      <c r="AI909" s="21">
        <v>0</v>
      </c>
      <c r="AJ909" s="21">
        <v>0.37930000000000003</v>
      </c>
      <c r="AK909" s="21">
        <v>18</v>
      </c>
      <c r="AL909" s="21">
        <v>7.7899999999999997E-2</v>
      </c>
      <c r="AM909" s="21">
        <v>3</v>
      </c>
      <c r="AN909" s="21">
        <v>1.2999999999999999E-2</v>
      </c>
      <c r="AP909" s="21">
        <v>23</v>
      </c>
      <c r="AQ909" s="21">
        <v>23</v>
      </c>
      <c r="AR909" s="21">
        <v>21</v>
      </c>
      <c r="AS909" s="21">
        <v>2</v>
      </c>
      <c r="AT909" s="21">
        <v>0</v>
      </c>
      <c r="AU909" s="21">
        <v>9</v>
      </c>
      <c r="AV909" s="21">
        <v>28</v>
      </c>
    </row>
    <row r="910" spans="1:48" x14ac:dyDescent="0.15">
      <c r="A910" s="20" t="s">
        <v>60</v>
      </c>
      <c r="B910" s="20" t="s">
        <v>125</v>
      </c>
      <c r="C910" s="21">
        <v>2969</v>
      </c>
      <c r="D910" s="21">
        <v>3576</v>
      </c>
      <c r="E910" s="21">
        <v>0</v>
      </c>
      <c r="F910" s="21">
        <v>6544</v>
      </c>
      <c r="G910" s="21">
        <v>90</v>
      </c>
      <c r="H910" s="21">
        <v>2067</v>
      </c>
      <c r="I910" s="21">
        <v>2826</v>
      </c>
      <c r="J910" s="21">
        <v>670</v>
      </c>
      <c r="K910" s="21">
        <v>891</v>
      </c>
      <c r="L910" s="21">
        <v>128</v>
      </c>
      <c r="M910" s="21">
        <v>0.81059999999999999</v>
      </c>
      <c r="N910" s="21">
        <v>0.57579999999999998</v>
      </c>
      <c r="O910" s="21">
        <v>0.79549999999999998</v>
      </c>
      <c r="P910" s="21">
        <v>314</v>
      </c>
      <c r="Q910" s="21">
        <v>0.66559999999999997</v>
      </c>
      <c r="R910" s="21">
        <v>50</v>
      </c>
      <c r="S910" s="21">
        <v>21</v>
      </c>
      <c r="T910" s="21">
        <v>0.1298</v>
      </c>
      <c r="U910" s="21">
        <v>6.7299999999999999E-2</v>
      </c>
      <c r="V910" s="21">
        <v>0.96579999999999999</v>
      </c>
      <c r="W910" s="21">
        <v>110</v>
      </c>
      <c r="X910" s="21">
        <v>128</v>
      </c>
      <c r="Y910" s="21">
        <v>201</v>
      </c>
      <c r="Z910" s="21">
        <v>0.1</v>
      </c>
      <c r="AA910" s="21">
        <v>0.6</v>
      </c>
      <c r="AB910" s="21">
        <v>1140</v>
      </c>
      <c r="AC910" s="21">
        <v>1140</v>
      </c>
      <c r="AD910" s="21">
        <v>1112</v>
      </c>
      <c r="AE910" s="21">
        <v>86</v>
      </c>
      <c r="AF910" s="21">
        <v>7.9399999999999998E-2</v>
      </c>
      <c r="AG910" s="21">
        <v>29</v>
      </c>
      <c r="AH910" s="21">
        <v>2.6800000000000001E-2</v>
      </c>
      <c r="AI910" s="21">
        <v>0.1875</v>
      </c>
      <c r="AJ910" s="21">
        <v>0.86</v>
      </c>
      <c r="AK910" s="21">
        <v>111</v>
      </c>
      <c r="AL910" s="21">
        <v>0.109</v>
      </c>
      <c r="AM910" s="21">
        <v>80</v>
      </c>
      <c r="AN910" s="21">
        <v>7.85E-2</v>
      </c>
      <c r="AO910" s="21">
        <v>0.71779999999999999</v>
      </c>
      <c r="AP910" s="21">
        <v>52</v>
      </c>
      <c r="AQ910" s="21">
        <v>52</v>
      </c>
      <c r="AR910" s="21">
        <v>41</v>
      </c>
      <c r="AS910" s="21">
        <v>1</v>
      </c>
      <c r="AT910" s="21">
        <v>10</v>
      </c>
      <c r="AU910" s="21">
        <v>474</v>
      </c>
      <c r="AV910" s="21">
        <v>592</v>
      </c>
    </row>
    <row r="911" spans="1:48" x14ac:dyDescent="0.15">
      <c r="A911" s="20" t="s">
        <v>61</v>
      </c>
      <c r="B911" s="20" t="s">
        <v>125</v>
      </c>
      <c r="C911" s="21">
        <v>1878</v>
      </c>
      <c r="D911" s="21">
        <v>2553</v>
      </c>
      <c r="E911" s="21">
        <v>0</v>
      </c>
      <c r="F911" s="21">
        <v>4431</v>
      </c>
      <c r="G911" s="21">
        <v>203</v>
      </c>
      <c r="H911" s="21">
        <v>416</v>
      </c>
      <c r="I911" s="21">
        <v>1168</v>
      </c>
      <c r="J911" s="21">
        <v>2314</v>
      </c>
      <c r="K911" s="21">
        <v>330</v>
      </c>
      <c r="L911" s="21">
        <v>86</v>
      </c>
      <c r="M911" s="21">
        <v>0.74419999999999997</v>
      </c>
      <c r="N911" s="21">
        <v>0.41860000000000003</v>
      </c>
      <c r="O911" s="21">
        <v>0.69769999999999999</v>
      </c>
      <c r="P911" s="21">
        <v>133</v>
      </c>
      <c r="Q911" s="21">
        <v>0.87970000000000004</v>
      </c>
      <c r="R911" s="21">
        <v>52</v>
      </c>
      <c r="S911" s="21">
        <v>33</v>
      </c>
      <c r="T911" s="21">
        <v>6.1499999999999999E-2</v>
      </c>
      <c r="U911" s="21">
        <v>6.2700000000000006E-2</v>
      </c>
      <c r="V911" s="21">
        <v>0.98329999999999995</v>
      </c>
      <c r="W911" s="21">
        <v>52</v>
      </c>
      <c r="X911" s="21">
        <v>43</v>
      </c>
      <c r="Y911" s="21">
        <v>76</v>
      </c>
      <c r="Z911" s="21">
        <v>0.2</v>
      </c>
      <c r="AA911" s="21">
        <v>0.6</v>
      </c>
      <c r="AB911" s="21">
        <v>242</v>
      </c>
      <c r="AC911" s="21">
        <v>242</v>
      </c>
      <c r="AD911" s="21">
        <v>236</v>
      </c>
      <c r="AE911" s="21">
        <v>17</v>
      </c>
      <c r="AF911" s="21">
        <v>7.3899999999999993E-2</v>
      </c>
      <c r="AG911" s="21">
        <v>5</v>
      </c>
      <c r="AH911" s="21">
        <v>2.1700000000000001E-2</v>
      </c>
      <c r="AI911" s="21">
        <v>0.16669999999999999</v>
      </c>
      <c r="AJ911" s="21">
        <v>0.26090000000000002</v>
      </c>
      <c r="AK911" s="21">
        <v>38</v>
      </c>
      <c r="AL911" s="21">
        <v>0.161</v>
      </c>
      <c r="AM911" s="21">
        <v>24</v>
      </c>
      <c r="AN911" s="21">
        <v>0.1017</v>
      </c>
      <c r="AO911" s="21">
        <v>0.17269999999999999</v>
      </c>
      <c r="AP911" s="21">
        <v>13</v>
      </c>
      <c r="AQ911" s="21">
        <v>13</v>
      </c>
      <c r="AR911" s="21">
        <v>3</v>
      </c>
      <c r="AS911" s="21">
        <v>7</v>
      </c>
      <c r="AT911" s="21">
        <v>4</v>
      </c>
      <c r="AU911" s="21">
        <v>713</v>
      </c>
      <c r="AV911" s="21">
        <v>69</v>
      </c>
    </row>
    <row r="912" spans="1:48" x14ac:dyDescent="0.15">
      <c r="A912" s="20" t="s">
        <v>48</v>
      </c>
      <c r="B912" s="20" t="s">
        <v>126</v>
      </c>
      <c r="C912" s="21">
        <v>2740</v>
      </c>
      <c r="D912" s="21">
        <v>2965</v>
      </c>
      <c r="E912" s="21">
        <v>0</v>
      </c>
      <c r="F912" s="21">
        <v>5705</v>
      </c>
      <c r="G912" s="21">
        <v>628</v>
      </c>
      <c r="H912" s="21">
        <v>1499</v>
      </c>
      <c r="I912" s="21">
        <v>871</v>
      </c>
      <c r="J912" s="21">
        <v>192</v>
      </c>
      <c r="K912" s="21">
        <v>193</v>
      </c>
      <c r="L912" s="21">
        <v>145</v>
      </c>
      <c r="M912" s="21">
        <v>0.67569999999999997</v>
      </c>
      <c r="N912" s="21">
        <v>0.3649</v>
      </c>
      <c r="O912" s="21">
        <v>0.60140000000000005</v>
      </c>
      <c r="P912" s="21">
        <v>968</v>
      </c>
      <c r="Q912" s="21">
        <v>0.29339999999999999</v>
      </c>
      <c r="R912" s="21">
        <v>41</v>
      </c>
      <c r="S912" s="21">
        <v>6</v>
      </c>
      <c r="T912" s="21">
        <v>0.12</v>
      </c>
      <c r="U912" s="21">
        <v>9.11E-2</v>
      </c>
      <c r="V912" s="21">
        <v>0.93330000000000002</v>
      </c>
      <c r="W912" s="21">
        <v>83</v>
      </c>
      <c r="X912" s="21">
        <v>97</v>
      </c>
      <c r="Y912" s="21">
        <v>133</v>
      </c>
      <c r="Z912" s="21">
        <v>0.2</v>
      </c>
      <c r="AA912" s="21">
        <v>0.7</v>
      </c>
      <c r="AB912" s="21">
        <v>434</v>
      </c>
      <c r="AC912" s="21">
        <v>434</v>
      </c>
      <c r="AD912" s="21">
        <v>414</v>
      </c>
      <c r="AE912" s="21">
        <v>55</v>
      </c>
      <c r="AF912" s="21">
        <v>0.1396</v>
      </c>
      <c r="AG912" s="21">
        <v>15</v>
      </c>
      <c r="AH912" s="21">
        <v>3.8100000000000002E-2</v>
      </c>
      <c r="AI912" s="21">
        <v>0.125</v>
      </c>
      <c r="AJ912" s="21">
        <v>1</v>
      </c>
      <c r="AK912" s="21">
        <v>87</v>
      </c>
      <c r="AL912" s="21">
        <v>0.21010000000000001</v>
      </c>
      <c r="AM912" s="21">
        <v>47</v>
      </c>
      <c r="AN912" s="21">
        <v>0.1135</v>
      </c>
      <c r="AO912" s="21">
        <v>0.27339999999999998</v>
      </c>
      <c r="AP912" s="21">
        <v>159</v>
      </c>
      <c r="AQ912" s="21">
        <v>159</v>
      </c>
      <c r="AR912" s="21">
        <v>137</v>
      </c>
      <c r="AS912" s="21">
        <v>22</v>
      </c>
      <c r="AT912" s="21">
        <v>0</v>
      </c>
      <c r="AU912" s="21">
        <v>592</v>
      </c>
      <c r="AV912" s="21">
        <v>357</v>
      </c>
    </row>
    <row r="913" spans="1:48" x14ac:dyDescent="0.15">
      <c r="A913" s="20" t="s">
        <v>50</v>
      </c>
      <c r="B913" s="20" t="s">
        <v>126</v>
      </c>
      <c r="C913" s="21">
        <v>2584</v>
      </c>
      <c r="D913" s="21">
        <v>5764</v>
      </c>
      <c r="E913" s="21">
        <v>0</v>
      </c>
      <c r="F913" s="21">
        <v>8348</v>
      </c>
      <c r="G913" s="21">
        <v>84</v>
      </c>
      <c r="H913" s="21">
        <v>6692</v>
      </c>
      <c r="I913" s="21">
        <v>0</v>
      </c>
      <c r="J913" s="21">
        <v>648</v>
      </c>
      <c r="K913" s="21">
        <v>924</v>
      </c>
      <c r="L913" s="21">
        <v>202</v>
      </c>
      <c r="M913" s="21">
        <v>0.8</v>
      </c>
      <c r="N913" s="21">
        <v>0.40870000000000001</v>
      </c>
      <c r="O913" s="21">
        <v>0.74780000000000002</v>
      </c>
      <c r="P913" s="21">
        <v>580</v>
      </c>
      <c r="Q913" s="21">
        <v>0.55520000000000003</v>
      </c>
      <c r="R913" s="21">
        <v>39</v>
      </c>
      <c r="S913" s="21">
        <v>14</v>
      </c>
      <c r="T913" s="21">
        <v>0.1215</v>
      </c>
      <c r="U913" s="21">
        <v>7.8200000000000006E-2</v>
      </c>
      <c r="V913" s="21">
        <v>0.9899</v>
      </c>
      <c r="W913" s="21">
        <v>52</v>
      </c>
      <c r="X913" s="21">
        <v>69</v>
      </c>
      <c r="Y913" s="21">
        <v>115</v>
      </c>
      <c r="Z913" s="21">
        <v>0.1</v>
      </c>
      <c r="AA913" s="21">
        <v>0.6</v>
      </c>
      <c r="AB913" s="21">
        <v>592</v>
      </c>
      <c r="AC913" s="21">
        <v>592</v>
      </c>
      <c r="AD913" s="21">
        <v>602</v>
      </c>
      <c r="AE913" s="21">
        <v>30</v>
      </c>
      <c r="AF913" s="21">
        <v>4.9000000000000002E-2</v>
      </c>
      <c r="AG913" s="21">
        <v>50</v>
      </c>
      <c r="AH913" s="21">
        <v>8.1699999999999995E-2</v>
      </c>
      <c r="AI913" s="21">
        <v>0.125</v>
      </c>
      <c r="AJ913" s="21">
        <v>0.66369999999999996</v>
      </c>
      <c r="AK913" s="21">
        <v>87</v>
      </c>
      <c r="AL913" s="21">
        <v>0.14449999999999999</v>
      </c>
      <c r="AM913" s="21">
        <v>36</v>
      </c>
      <c r="AN913" s="21">
        <v>5.9799999999999999E-2</v>
      </c>
      <c r="AO913" s="21">
        <v>0.88390000000000002</v>
      </c>
      <c r="AP913" s="21">
        <v>93</v>
      </c>
      <c r="AQ913" s="21">
        <v>93</v>
      </c>
      <c r="AR913" s="21">
        <v>88</v>
      </c>
      <c r="AS913" s="21">
        <v>1</v>
      </c>
      <c r="AT913" s="21">
        <v>4</v>
      </c>
      <c r="AU913" s="21">
        <v>186</v>
      </c>
      <c r="AV913" s="21">
        <v>238</v>
      </c>
    </row>
    <row r="914" spans="1:48" x14ac:dyDescent="0.15">
      <c r="A914" s="20" t="s">
        <v>51</v>
      </c>
      <c r="B914" s="20" t="s">
        <v>126</v>
      </c>
      <c r="C914" s="21">
        <v>17545</v>
      </c>
      <c r="D914" s="21">
        <v>15344</v>
      </c>
      <c r="E914" s="21">
        <v>0</v>
      </c>
      <c r="F914" s="21">
        <v>32890</v>
      </c>
      <c r="G914" s="21">
        <v>636</v>
      </c>
      <c r="H914" s="21">
        <v>10268</v>
      </c>
      <c r="I914" s="21">
        <v>5998</v>
      </c>
      <c r="J914" s="21">
        <v>2471</v>
      </c>
      <c r="K914" s="21">
        <v>13410</v>
      </c>
      <c r="L914" s="21">
        <v>962</v>
      </c>
      <c r="M914" s="21">
        <v>0.76239999999999997</v>
      </c>
      <c r="N914" s="21">
        <v>0.54359999999999997</v>
      </c>
      <c r="O914" s="21">
        <v>0.7127</v>
      </c>
      <c r="P914" s="21">
        <v>3303</v>
      </c>
      <c r="Q914" s="21">
        <v>0.52290000000000003</v>
      </c>
      <c r="R914" s="21">
        <v>34</v>
      </c>
      <c r="S914" s="21">
        <v>10</v>
      </c>
      <c r="T914" s="21">
        <v>0.1298</v>
      </c>
      <c r="U914" s="21">
        <v>0.1183</v>
      </c>
      <c r="V914" s="21">
        <v>0.96550000000000002</v>
      </c>
      <c r="W914" s="21">
        <v>1340</v>
      </c>
      <c r="X914" s="21">
        <v>1930</v>
      </c>
      <c r="Y914" s="21">
        <v>2749</v>
      </c>
      <c r="Z914" s="21">
        <v>0.2</v>
      </c>
      <c r="AA914" s="21">
        <v>0.7</v>
      </c>
      <c r="AB914" s="21">
        <v>11337</v>
      </c>
      <c r="AC914" s="21">
        <v>11299</v>
      </c>
      <c r="AD914" s="21">
        <v>10966</v>
      </c>
      <c r="AE914" s="21">
        <v>1112</v>
      </c>
      <c r="AF914" s="21">
        <v>0.10489999999999999</v>
      </c>
      <c r="AG914" s="21">
        <v>371</v>
      </c>
      <c r="AH914" s="21">
        <v>3.5000000000000003E-2</v>
      </c>
      <c r="AI914" s="21">
        <v>0.1303</v>
      </c>
      <c r="AJ914" s="21">
        <v>0.83979999999999999</v>
      </c>
      <c r="AK914" s="21">
        <v>1990</v>
      </c>
      <c r="AL914" s="21">
        <v>0.18190000000000001</v>
      </c>
      <c r="AM914" s="21">
        <v>1183</v>
      </c>
      <c r="AN914" s="21">
        <v>0.1082</v>
      </c>
      <c r="AO914" s="21">
        <v>0.75409999999999999</v>
      </c>
      <c r="AP914" s="21">
        <v>1699</v>
      </c>
      <c r="AQ914" s="21">
        <v>1675</v>
      </c>
      <c r="AR914" s="21">
        <v>208</v>
      </c>
      <c r="AS914" s="21">
        <v>120</v>
      </c>
      <c r="AT914" s="21">
        <v>1348</v>
      </c>
      <c r="AU914" s="21">
        <v>2012</v>
      </c>
      <c r="AV914" s="21">
        <v>2102</v>
      </c>
    </row>
    <row r="915" spans="1:48" x14ac:dyDescent="0.15">
      <c r="A915" s="20" t="s">
        <v>52</v>
      </c>
      <c r="B915" s="20" t="s">
        <v>126</v>
      </c>
      <c r="C915" s="21">
        <v>1649</v>
      </c>
      <c r="D915" s="21">
        <v>2360</v>
      </c>
      <c r="E915" s="21">
        <v>0</v>
      </c>
      <c r="F915" s="21">
        <v>4009</v>
      </c>
      <c r="G915" s="21">
        <v>542</v>
      </c>
      <c r="H915" s="21">
        <v>1186</v>
      </c>
      <c r="I915" s="21">
        <v>610</v>
      </c>
      <c r="J915" s="21">
        <v>807</v>
      </c>
      <c r="K915" s="21">
        <v>862</v>
      </c>
      <c r="L915" s="21">
        <v>189</v>
      </c>
      <c r="M915" s="21">
        <v>0.62960000000000005</v>
      </c>
      <c r="N915" s="21">
        <v>0.32800000000000001</v>
      </c>
      <c r="O915" s="21">
        <v>0.56079999999999997</v>
      </c>
      <c r="P915" s="21">
        <v>965</v>
      </c>
      <c r="Q915" s="21">
        <v>0.21870000000000001</v>
      </c>
      <c r="R915" s="21">
        <v>22</v>
      </c>
      <c r="S915" s="21">
        <v>4</v>
      </c>
      <c r="T915" s="21">
        <v>9.6100000000000005E-2</v>
      </c>
      <c r="U915" s="21">
        <v>8.5699999999999998E-2</v>
      </c>
      <c r="V915" s="21">
        <v>0.99490000000000001</v>
      </c>
      <c r="W915" s="21">
        <v>270</v>
      </c>
      <c r="X915" s="21">
        <v>121</v>
      </c>
      <c r="Y915" s="21">
        <v>113</v>
      </c>
      <c r="Z915" s="21">
        <v>0.2</v>
      </c>
      <c r="AA915" s="21">
        <v>1.1000000000000001</v>
      </c>
      <c r="AB915" s="21">
        <v>530</v>
      </c>
      <c r="AC915" s="21">
        <v>530</v>
      </c>
      <c r="AD915" s="21">
        <v>513</v>
      </c>
      <c r="AE915" s="21">
        <v>53</v>
      </c>
      <c r="AF915" s="21">
        <v>0.1069</v>
      </c>
      <c r="AG915" s="21">
        <v>19</v>
      </c>
      <c r="AH915" s="21">
        <v>3.8300000000000001E-2</v>
      </c>
      <c r="AI915" s="21">
        <v>0.18179999999999999</v>
      </c>
      <c r="AJ915" s="21">
        <v>0.85450000000000004</v>
      </c>
      <c r="AK915" s="21">
        <v>73</v>
      </c>
      <c r="AL915" s="21">
        <v>0.14230000000000001</v>
      </c>
      <c r="AM915" s="21">
        <v>31</v>
      </c>
      <c r="AN915" s="21">
        <v>6.0400000000000002E-2</v>
      </c>
      <c r="AO915" s="21">
        <v>0.72509999999999997</v>
      </c>
      <c r="AP915" s="21">
        <v>76</v>
      </c>
      <c r="AQ915" s="21">
        <v>76</v>
      </c>
      <c r="AR915" s="21">
        <v>69</v>
      </c>
      <c r="AS915" s="21">
        <v>7</v>
      </c>
      <c r="AT915" s="21">
        <v>0</v>
      </c>
      <c r="AU915" s="21">
        <v>664</v>
      </c>
      <c r="AV915" s="21">
        <v>593</v>
      </c>
    </row>
    <row r="916" spans="1:48" x14ac:dyDescent="0.15">
      <c r="A916" s="20" t="s">
        <v>53</v>
      </c>
      <c r="B916" s="20" t="s">
        <v>126</v>
      </c>
      <c r="C916" s="21">
        <v>199</v>
      </c>
      <c r="D916" s="21">
        <v>1963</v>
      </c>
      <c r="E916" s="21">
        <v>0</v>
      </c>
      <c r="F916" s="21">
        <v>2162</v>
      </c>
      <c r="H916" s="21">
        <v>149</v>
      </c>
      <c r="I916" s="21">
        <v>509</v>
      </c>
      <c r="J916" s="21">
        <v>1503</v>
      </c>
      <c r="K916" s="21">
        <v>0</v>
      </c>
      <c r="L916" s="21">
        <v>130</v>
      </c>
      <c r="M916" s="21">
        <v>0.8</v>
      </c>
      <c r="N916" s="21">
        <v>0.1032</v>
      </c>
      <c r="O916" s="21">
        <v>0.7742</v>
      </c>
      <c r="P916" s="21">
        <v>1812</v>
      </c>
      <c r="Q916" s="21">
        <v>9.8199999999999996E-2</v>
      </c>
      <c r="R916" s="21">
        <v>17</v>
      </c>
      <c r="S916" s="21">
        <v>1</v>
      </c>
      <c r="T916" s="21">
        <v>0.25509999999999999</v>
      </c>
      <c r="U916" s="21">
        <v>6.93E-2</v>
      </c>
      <c r="V916" s="21">
        <v>1</v>
      </c>
      <c r="W916" s="21">
        <v>733</v>
      </c>
      <c r="X916" s="21">
        <v>1086</v>
      </c>
      <c r="Y916" s="21">
        <v>1207</v>
      </c>
      <c r="Z916" s="21">
        <v>0.3</v>
      </c>
      <c r="AA916" s="21">
        <v>0.9</v>
      </c>
      <c r="AB916" s="21">
        <v>4480</v>
      </c>
      <c r="AC916" s="21">
        <v>4373</v>
      </c>
      <c r="AD916" s="21">
        <v>4335</v>
      </c>
      <c r="AE916" s="21">
        <v>578</v>
      </c>
      <c r="AF916" s="21">
        <v>0.13789999999999999</v>
      </c>
      <c r="AG916" s="21">
        <v>288</v>
      </c>
      <c r="AH916" s="21">
        <v>6.8699999999999997E-2</v>
      </c>
      <c r="AI916" s="21">
        <v>0.42</v>
      </c>
      <c r="AJ916" s="21">
        <v>0.78210000000000002</v>
      </c>
      <c r="AK916" s="21">
        <v>900</v>
      </c>
      <c r="AL916" s="21">
        <v>0.2102</v>
      </c>
      <c r="AM916" s="21">
        <v>671</v>
      </c>
      <c r="AN916" s="21">
        <v>0.15670000000000001</v>
      </c>
      <c r="AO916" s="21">
        <v>0.59260000000000002</v>
      </c>
      <c r="AP916" s="21">
        <v>122</v>
      </c>
      <c r="AQ916" s="21">
        <v>122</v>
      </c>
      <c r="AR916" s="21">
        <v>114</v>
      </c>
      <c r="AS916" s="21">
        <v>8</v>
      </c>
      <c r="AT916" s="21">
        <v>0</v>
      </c>
      <c r="AU916" s="21">
        <v>0</v>
      </c>
      <c r="AV916" s="21">
        <v>162</v>
      </c>
    </row>
    <row r="917" spans="1:48" x14ac:dyDescent="0.15">
      <c r="A917" s="20" t="s">
        <v>0</v>
      </c>
      <c r="B917" s="20" t="s">
        <v>126</v>
      </c>
      <c r="C917" s="21">
        <v>61104</v>
      </c>
      <c r="D917" s="21">
        <v>54344</v>
      </c>
      <c r="E917" s="21">
        <v>0</v>
      </c>
      <c r="F917" s="21">
        <v>115448</v>
      </c>
      <c r="G917" s="21">
        <v>5343</v>
      </c>
      <c r="H917" s="21">
        <v>37012</v>
      </c>
      <c r="I917" s="21">
        <v>14995</v>
      </c>
      <c r="J917" s="21">
        <v>17965</v>
      </c>
      <c r="K917" s="21">
        <v>37669</v>
      </c>
      <c r="L917" s="21">
        <v>2914</v>
      </c>
      <c r="M917" s="21">
        <v>0.74809999999999999</v>
      </c>
      <c r="N917" s="21">
        <v>0.43530000000000002</v>
      </c>
      <c r="O917" s="21">
        <v>0.69410000000000005</v>
      </c>
      <c r="P917" s="21">
        <v>16064</v>
      </c>
      <c r="Q917" s="21">
        <v>0.35830000000000001</v>
      </c>
      <c r="R917" s="21">
        <v>40</v>
      </c>
      <c r="S917" s="21">
        <v>7</v>
      </c>
      <c r="T917" s="21">
        <v>0.13919999999999999</v>
      </c>
      <c r="U917" s="21">
        <v>7.9000000000000001E-2</v>
      </c>
      <c r="V917" s="21">
        <v>0.93720000000000003</v>
      </c>
      <c r="W917" s="21">
        <v>3506</v>
      </c>
      <c r="X917" s="21">
        <v>4706</v>
      </c>
      <c r="Y917" s="21">
        <v>6376</v>
      </c>
      <c r="Z917" s="21">
        <v>0.2</v>
      </c>
      <c r="AA917" s="21">
        <v>0.7</v>
      </c>
      <c r="AB917" s="21">
        <v>25346</v>
      </c>
      <c r="AC917" s="21">
        <v>25081</v>
      </c>
      <c r="AD917" s="21">
        <v>24538</v>
      </c>
      <c r="AE917" s="21">
        <v>2592</v>
      </c>
      <c r="AF917" s="21">
        <v>0.10920000000000001</v>
      </c>
      <c r="AG917" s="21">
        <v>975</v>
      </c>
      <c r="AH917" s="21">
        <v>4.1099999999999998E-2</v>
      </c>
      <c r="AI917" s="21">
        <v>0.19289999999999999</v>
      </c>
      <c r="AJ917" s="21">
        <v>0.82669999999999999</v>
      </c>
      <c r="AK917" s="21">
        <v>4427</v>
      </c>
      <c r="AL917" s="21">
        <v>0.18210000000000001</v>
      </c>
      <c r="AM917" s="21">
        <v>2781</v>
      </c>
      <c r="AN917" s="21">
        <v>0.1144</v>
      </c>
      <c r="AO917" s="21">
        <v>0.61429999999999996</v>
      </c>
      <c r="AP917" s="21">
        <v>3793</v>
      </c>
      <c r="AQ917" s="21">
        <v>3673</v>
      </c>
      <c r="AR917" s="21">
        <v>1896</v>
      </c>
      <c r="AS917" s="21">
        <v>380</v>
      </c>
      <c r="AT917" s="21">
        <v>1397</v>
      </c>
      <c r="AU917" s="21">
        <v>4842</v>
      </c>
      <c r="AV917" s="21">
        <v>5157</v>
      </c>
    </row>
    <row r="918" spans="1:48" x14ac:dyDescent="0.15">
      <c r="A918" s="20" t="s">
        <v>54</v>
      </c>
      <c r="B918" s="20" t="s">
        <v>126</v>
      </c>
      <c r="C918" s="21">
        <v>1596</v>
      </c>
      <c r="D918" s="21">
        <v>6100</v>
      </c>
      <c r="E918" s="21">
        <v>0</v>
      </c>
      <c r="F918" s="21">
        <v>7696</v>
      </c>
      <c r="G918" s="21">
        <v>185</v>
      </c>
      <c r="H918" s="21">
        <v>1218</v>
      </c>
      <c r="I918" s="21">
        <v>796</v>
      </c>
      <c r="J918" s="21">
        <v>2328</v>
      </c>
      <c r="K918" s="21">
        <v>3133</v>
      </c>
      <c r="L918" s="21">
        <v>243</v>
      </c>
      <c r="M918" s="21">
        <v>0.88280000000000003</v>
      </c>
      <c r="N918" s="21">
        <v>0.3125</v>
      </c>
      <c r="O918" s="21">
        <v>0.85160000000000002</v>
      </c>
      <c r="P918" s="21">
        <v>1680</v>
      </c>
      <c r="Q918" s="21">
        <v>0.48570000000000002</v>
      </c>
      <c r="R918" s="21">
        <v>31</v>
      </c>
      <c r="S918" s="21">
        <v>5</v>
      </c>
      <c r="T918" s="21">
        <v>0.14510000000000001</v>
      </c>
      <c r="U918" s="21">
        <v>2.4899999999999999E-2</v>
      </c>
      <c r="V918" s="21">
        <v>1</v>
      </c>
      <c r="W918" s="21">
        <v>139</v>
      </c>
      <c r="X918" s="21">
        <v>175</v>
      </c>
      <c r="Y918" s="21">
        <v>301</v>
      </c>
      <c r="Z918" s="21">
        <v>0.2</v>
      </c>
      <c r="AA918" s="21">
        <v>0.6</v>
      </c>
      <c r="AB918" s="21">
        <v>917</v>
      </c>
      <c r="AC918" s="21">
        <v>797</v>
      </c>
      <c r="AD918" s="21">
        <v>796</v>
      </c>
      <c r="AE918" s="21">
        <v>250</v>
      </c>
      <c r="AF918" s="21">
        <v>0.37040000000000001</v>
      </c>
      <c r="AG918" s="21">
        <v>8</v>
      </c>
      <c r="AH918" s="21">
        <v>1.1900000000000001E-2</v>
      </c>
      <c r="AI918" s="21">
        <v>0.19439999999999999</v>
      </c>
      <c r="AJ918" s="21">
        <v>1</v>
      </c>
      <c r="AK918" s="21">
        <v>199</v>
      </c>
      <c r="AL918" s="21">
        <v>0.27039999999999997</v>
      </c>
      <c r="AM918" s="21">
        <v>112</v>
      </c>
      <c r="AN918" s="21">
        <v>0.1522</v>
      </c>
      <c r="AO918" s="21">
        <v>0.50009999999999999</v>
      </c>
      <c r="AP918" s="21">
        <v>153</v>
      </c>
      <c r="AQ918" s="21">
        <v>153</v>
      </c>
      <c r="AR918" s="21">
        <v>130</v>
      </c>
      <c r="AS918" s="21">
        <v>13</v>
      </c>
      <c r="AT918" s="21">
        <v>11</v>
      </c>
      <c r="AU918" s="21">
        <v>26</v>
      </c>
      <c r="AV918" s="21">
        <v>225</v>
      </c>
    </row>
    <row r="919" spans="1:48" x14ac:dyDescent="0.15">
      <c r="A919" s="20" t="s">
        <v>55</v>
      </c>
      <c r="B919" s="20" t="s">
        <v>126</v>
      </c>
      <c r="C919" s="21">
        <v>1069</v>
      </c>
      <c r="D919" s="21">
        <v>419</v>
      </c>
      <c r="E919" s="21">
        <v>0</v>
      </c>
      <c r="F919" s="21">
        <v>1488</v>
      </c>
      <c r="G919" s="21">
        <v>22</v>
      </c>
      <c r="H919" s="21">
        <v>514</v>
      </c>
      <c r="I919" s="21">
        <v>952</v>
      </c>
      <c r="L919" s="21">
        <v>83</v>
      </c>
      <c r="M919" s="21">
        <v>0.71760000000000002</v>
      </c>
      <c r="N919" s="21">
        <v>0.45879999999999999</v>
      </c>
      <c r="O919" s="21">
        <v>0.65880000000000005</v>
      </c>
      <c r="P919" s="21">
        <v>673</v>
      </c>
      <c r="Q919" s="21">
        <v>0.1545</v>
      </c>
      <c r="R919" s="21">
        <v>18</v>
      </c>
      <c r="S919" s="21">
        <v>2</v>
      </c>
      <c r="T919" s="21">
        <v>0.22220000000000001</v>
      </c>
      <c r="U919" s="21">
        <v>6.1999999999999998E-3</v>
      </c>
      <c r="W919" s="21">
        <v>67</v>
      </c>
      <c r="X919" s="21">
        <v>87</v>
      </c>
      <c r="Y919" s="21">
        <v>121</v>
      </c>
      <c r="Z919" s="21">
        <v>0.2</v>
      </c>
      <c r="AA919" s="21">
        <v>0.7</v>
      </c>
      <c r="AB919" s="21">
        <v>522</v>
      </c>
      <c r="AC919" s="21">
        <v>522</v>
      </c>
      <c r="AD919" s="21">
        <v>510</v>
      </c>
      <c r="AE919" s="21">
        <v>30</v>
      </c>
      <c r="AF919" s="21">
        <v>6.0400000000000002E-2</v>
      </c>
      <c r="AG919" s="21">
        <v>5</v>
      </c>
      <c r="AH919" s="21">
        <v>1.01E-2</v>
      </c>
      <c r="AI919" s="21">
        <v>0.05</v>
      </c>
      <c r="AJ919" s="21">
        <v>0.76670000000000005</v>
      </c>
      <c r="AK919" s="21">
        <v>74</v>
      </c>
      <c r="AL919" s="21">
        <v>0.1452</v>
      </c>
      <c r="AM919" s="21">
        <v>53</v>
      </c>
      <c r="AN919" s="21">
        <v>0.104</v>
      </c>
      <c r="AP919" s="21">
        <v>52</v>
      </c>
      <c r="AQ919" s="21">
        <v>52</v>
      </c>
      <c r="AR919" s="21">
        <v>50</v>
      </c>
      <c r="AS919" s="21">
        <v>1</v>
      </c>
      <c r="AT919" s="21">
        <v>0</v>
      </c>
      <c r="AU919" s="21">
        <v>0</v>
      </c>
      <c r="AV919" s="21">
        <v>0</v>
      </c>
    </row>
    <row r="920" spans="1:48" x14ac:dyDescent="0.15">
      <c r="A920" s="20" t="s">
        <v>56</v>
      </c>
      <c r="B920" s="20" t="s">
        <v>126</v>
      </c>
      <c r="C920" s="21">
        <v>2139</v>
      </c>
      <c r="D920" s="21">
        <v>3420</v>
      </c>
      <c r="E920" s="21">
        <v>0</v>
      </c>
      <c r="F920" s="21">
        <v>5559</v>
      </c>
      <c r="G920" s="21">
        <v>0</v>
      </c>
      <c r="H920" s="21">
        <v>222</v>
      </c>
      <c r="J920" s="21">
        <v>1713</v>
      </c>
      <c r="K920" s="21">
        <v>3624</v>
      </c>
      <c r="L920" s="21">
        <v>95</v>
      </c>
      <c r="M920" s="21">
        <v>0.71560000000000001</v>
      </c>
      <c r="N920" s="21">
        <v>0.52290000000000003</v>
      </c>
      <c r="O920" s="21">
        <v>0.66059999999999997</v>
      </c>
      <c r="P920" s="21">
        <v>1516</v>
      </c>
      <c r="Q920" s="21">
        <v>0.17280000000000001</v>
      </c>
      <c r="R920" s="21">
        <v>55</v>
      </c>
      <c r="S920" s="21">
        <v>4</v>
      </c>
      <c r="T920" s="21">
        <v>0.12970000000000001</v>
      </c>
      <c r="U920" s="21">
        <v>7.51E-2</v>
      </c>
      <c r="V920" s="21">
        <v>1</v>
      </c>
      <c r="W920" s="21">
        <v>37</v>
      </c>
      <c r="X920" s="21">
        <v>40</v>
      </c>
      <c r="Y920" s="21">
        <v>53</v>
      </c>
      <c r="Z920" s="21">
        <v>0.3</v>
      </c>
      <c r="AA920" s="21">
        <v>0.8</v>
      </c>
      <c r="AB920" s="21">
        <v>135</v>
      </c>
      <c r="AC920" s="21">
        <v>135</v>
      </c>
      <c r="AD920" s="21">
        <v>139</v>
      </c>
      <c r="AE920" s="21">
        <v>3</v>
      </c>
      <c r="AF920" s="21">
        <v>2.1000000000000001E-2</v>
      </c>
      <c r="AG920" s="21">
        <v>11</v>
      </c>
      <c r="AH920" s="21">
        <v>7.6899999999999996E-2</v>
      </c>
      <c r="AI920" s="21">
        <v>0.25</v>
      </c>
      <c r="AJ920" s="21">
        <v>0.8</v>
      </c>
      <c r="AK920" s="21">
        <v>34</v>
      </c>
      <c r="AL920" s="21">
        <v>0.24460000000000001</v>
      </c>
      <c r="AM920" s="21">
        <v>23</v>
      </c>
      <c r="AN920" s="21">
        <v>0.16550000000000001</v>
      </c>
      <c r="AO920" s="21">
        <v>0.87470000000000003</v>
      </c>
      <c r="AP920" s="21">
        <v>386</v>
      </c>
      <c r="AQ920" s="21">
        <v>386</v>
      </c>
      <c r="AR920" s="21">
        <v>329</v>
      </c>
      <c r="AS920" s="21">
        <v>57</v>
      </c>
      <c r="AT920" s="21">
        <v>0</v>
      </c>
      <c r="AU920" s="21">
        <v>0</v>
      </c>
      <c r="AV920" s="21">
        <v>144</v>
      </c>
    </row>
    <row r="921" spans="1:48" x14ac:dyDescent="0.15">
      <c r="A921" s="20" t="s">
        <v>57</v>
      </c>
      <c r="B921" s="20" t="s">
        <v>126</v>
      </c>
      <c r="C921" s="21">
        <v>3920</v>
      </c>
      <c r="D921" s="21">
        <v>5138</v>
      </c>
      <c r="E921" s="21">
        <v>0</v>
      </c>
      <c r="F921" s="21">
        <v>9058</v>
      </c>
      <c r="G921" s="21">
        <v>1308</v>
      </c>
      <c r="H921" s="21">
        <v>1370</v>
      </c>
      <c r="I921" s="21">
        <v>2075</v>
      </c>
      <c r="J921" s="21">
        <v>4153</v>
      </c>
      <c r="K921" s="21">
        <v>152</v>
      </c>
      <c r="L921" s="21">
        <v>236</v>
      </c>
      <c r="M921" s="21">
        <v>0.48020000000000002</v>
      </c>
      <c r="N921" s="21">
        <v>0.15870000000000001</v>
      </c>
      <c r="O921" s="21">
        <v>0.44440000000000002</v>
      </c>
      <c r="P921" s="21">
        <v>669</v>
      </c>
      <c r="Q921" s="21">
        <v>0.22869999999999999</v>
      </c>
      <c r="R921" s="21">
        <v>39</v>
      </c>
      <c r="S921" s="21">
        <v>14</v>
      </c>
      <c r="T921" s="21">
        <v>9.2200000000000004E-2</v>
      </c>
      <c r="U921" s="21">
        <v>5.6500000000000002E-2</v>
      </c>
      <c r="V921" s="21">
        <v>0.95109999999999995</v>
      </c>
      <c r="W921" s="21">
        <v>196</v>
      </c>
      <c r="X921" s="21">
        <v>310</v>
      </c>
      <c r="Y921" s="21">
        <v>287</v>
      </c>
      <c r="Z921" s="21">
        <v>0.2</v>
      </c>
      <c r="AA921" s="21">
        <v>1.1000000000000001</v>
      </c>
      <c r="AB921" s="21">
        <v>1648</v>
      </c>
      <c r="AC921" s="21">
        <v>1648</v>
      </c>
      <c r="AD921" s="21">
        <v>1612</v>
      </c>
      <c r="AE921" s="21">
        <v>122</v>
      </c>
      <c r="AF921" s="21">
        <v>7.7399999999999997E-2</v>
      </c>
      <c r="AG921" s="21">
        <v>51</v>
      </c>
      <c r="AH921" s="21">
        <v>3.2300000000000002E-2</v>
      </c>
      <c r="AI921" s="21">
        <v>0.21210000000000001</v>
      </c>
      <c r="AJ921" s="21">
        <v>0.73329999999999995</v>
      </c>
      <c r="AK921" s="21">
        <v>214</v>
      </c>
      <c r="AL921" s="21">
        <v>0.13270000000000001</v>
      </c>
      <c r="AM921" s="21">
        <v>151</v>
      </c>
      <c r="AN921" s="21">
        <v>9.3600000000000003E-2</v>
      </c>
      <c r="AO921" s="21">
        <v>0.40710000000000002</v>
      </c>
      <c r="AP921" s="21">
        <v>682</v>
      </c>
      <c r="AQ921" s="21">
        <v>586</v>
      </c>
      <c r="AR921" s="21">
        <v>450</v>
      </c>
      <c r="AS921" s="21">
        <v>116</v>
      </c>
      <c r="AT921" s="21">
        <v>21</v>
      </c>
      <c r="AU921" s="21">
        <v>753</v>
      </c>
      <c r="AV921" s="21">
        <v>340</v>
      </c>
    </row>
    <row r="922" spans="1:48" x14ac:dyDescent="0.15">
      <c r="A922" s="20" t="s">
        <v>58</v>
      </c>
      <c r="B922" s="20" t="s">
        <v>126</v>
      </c>
      <c r="C922" s="21">
        <v>20514</v>
      </c>
      <c r="D922" s="21">
        <v>4065</v>
      </c>
      <c r="E922" s="21">
        <v>0</v>
      </c>
      <c r="F922" s="21">
        <v>24579</v>
      </c>
      <c r="G922" s="21">
        <v>1315</v>
      </c>
      <c r="H922" s="21">
        <v>8460</v>
      </c>
      <c r="J922" s="21">
        <v>1905</v>
      </c>
      <c r="K922" s="21">
        <v>12900</v>
      </c>
      <c r="L922" s="21">
        <v>343</v>
      </c>
      <c r="M922" s="21">
        <v>0.83</v>
      </c>
      <c r="N922" s="21">
        <v>0.6714</v>
      </c>
      <c r="O922" s="21">
        <v>0.73650000000000004</v>
      </c>
      <c r="P922" s="21">
        <v>2327</v>
      </c>
      <c r="Q922" s="21">
        <v>0.49080000000000001</v>
      </c>
      <c r="R922" s="21">
        <v>72</v>
      </c>
      <c r="S922" s="21">
        <v>11</v>
      </c>
      <c r="T922" s="21">
        <v>0.18479999999999999</v>
      </c>
      <c r="U922" s="21">
        <v>7.7899999999999997E-2</v>
      </c>
      <c r="V922" s="21">
        <v>0.97240000000000004</v>
      </c>
      <c r="W922" s="21">
        <v>453</v>
      </c>
      <c r="X922" s="21">
        <v>603</v>
      </c>
      <c r="Y922" s="21">
        <v>999</v>
      </c>
      <c r="Z922" s="21">
        <v>0.2</v>
      </c>
      <c r="AA922" s="21">
        <v>0.6</v>
      </c>
      <c r="AB922" s="21">
        <v>3110</v>
      </c>
      <c r="AC922" s="21">
        <v>3110</v>
      </c>
      <c r="AD922" s="21">
        <v>3026</v>
      </c>
      <c r="AE922" s="21">
        <v>293</v>
      </c>
      <c r="AF922" s="21">
        <v>9.9599999999999994E-2</v>
      </c>
      <c r="AG922" s="21">
        <v>126</v>
      </c>
      <c r="AH922" s="21">
        <v>4.2799999999999998E-2</v>
      </c>
      <c r="AI922" s="21">
        <v>0.16489999999999999</v>
      </c>
      <c r="AJ922" s="21">
        <v>0.90300000000000002</v>
      </c>
      <c r="AK922" s="21">
        <v>579</v>
      </c>
      <c r="AL922" s="21">
        <v>0.1913</v>
      </c>
      <c r="AM922" s="21">
        <v>366</v>
      </c>
      <c r="AN922" s="21">
        <v>0.12089999999999999</v>
      </c>
      <c r="AO922" s="21">
        <v>0.83120000000000005</v>
      </c>
      <c r="AP922" s="21">
        <v>201</v>
      </c>
      <c r="AQ922" s="21">
        <v>201</v>
      </c>
      <c r="AR922" s="21">
        <v>185</v>
      </c>
      <c r="AS922" s="21">
        <v>16</v>
      </c>
      <c r="AT922" s="21">
        <v>0</v>
      </c>
      <c r="AU922" s="21">
        <v>82</v>
      </c>
      <c r="AV922" s="21">
        <v>390</v>
      </c>
    </row>
    <row r="923" spans="1:48" x14ac:dyDescent="0.15">
      <c r="A923" s="20" t="s">
        <v>59</v>
      </c>
      <c r="B923" s="20" t="s">
        <v>126</v>
      </c>
      <c r="C923" s="21">
        <v>180</v>
      </c>
      <c r="D923" s="21">
        <v>2634</v>
      </c>
      <c r="E923" s="21">
        <v>0</v>
      </c>
      <c r="F923" s="21">
        <v>2814</v>
      </c>
      <c r="G923" s="21">
        <v>241</v>
      </c>
      <c r="H923" s="21">
        <v>0</v>
      </c>
      <c r="I923" s="21">
        <v>364</v>
      </c>
      <c r="J923" s="21">
        <v>886</v>
      </c>
      <c r="K923" s="21">
        <v>1323</v>
      </c>
      <c r="L923" s="21">
        <v>75</v>
      </c>
      <c r="M923" s="21">
        <v>0.77780000000000005</v>
      </c>
      <c r="N923" s="21">
        <v>0.1111</v>
      </c>
      <c r="O923" s="21">
        <v>0.76539999999999997</v>
      </c>
      <c r="P923" s="21">
        <v>1124</v>
      </c>
      <c r="Q923" s="21">
        <v>0.2082</v>
      </c>
      <c r="R923" s="21">
        <v>37</v>
      </c>
      <c r="S923" s="21">
        <v>3</v>
      </c>
      <c r="T923" s="21">
        <v>0.10440000000000001</v>
      </c>
      <c r="U923" s="21">
        <v>1.26E-2</v>
      </c>
      <c r="V923" s="21">
        <v>0.9909</v>
      </c>
      <c r="W923" s="21">
        <v>2</v>
      </c>
      <c r="X923" s="21">
        <v>2</v>
      </c>
      <c r="Y923" s="21">
        <v>5</v>
      </c>
      <c r="Z923" s="21">
        <v>0</v>
      </c>
      <c r="AA923" s="21">
        <v>0.3</v>
      </c>
      <c r="AB923" s="21">
        <v>214</v>
      </c>
      <c r="AC923" s="21">
        <v>214</v>
      </c>
      <c r="AD923" s="21">
        <v>219</v>
      </c>
      <c r="AE923" s="21">
        <v>3</v>
      </c>
      <c r="AF923" s="21">
        <v>1.34E-2</v>
      </c>
      <c r="AG923" s="21">
        <v>13</v>
      </c>
      <c r="AH923" s="21">
        <v>5.8000000000000003E-2</v>
      </c>
      <c r="AI923" s="21">
        <v>0.16669999999999999</v>
      </c>
      <c r="AJ923" s="21">
        <v>0.68540000000000001</v>
      </c>
      <c r="AK923" s="21">
        <v>6</v>
      </c>
      <c r="AL923" s="21">
        <v>2.7400000000000001E-2</v>
      </c>
      <c r="AM923" s="21">
        <v>0</v>
      </c>
      <c r="AN923" s="21">
        <v>0</v>
      </c>
      <c r="AO923" s="21">
        <v>0.82920000000000005</v>
      </c>
      <c r="AP923" s="21">
        <v>102</v>
      </c>
      <c r="AQ923" s="21">
        <v>102</v>
      </c>
      <c r="AR923" s="21">
        <v>101</v>
      </c>
      <c r="AS923" s="21">
        <v>1</v>
      </c>
      <c r="AT923" s="21">
        <v>0</v>
      </c>
      <c r="AU923" s="21">
        <v>1</v>
      </c>
      <c r="AV923" s="21">
        <v>46</v>
      </c>
    </row>
    <row r="924" spans="1:48" x14ac:dyDescent="0.15">
      <c r="A924" s="20" t="s">
        <v>60</v>
      </c>
      <c r="B924" s="20" t="s">
        <v>126</v>
      </c>
      <c r="C924" s="21">
        <v>4551</v>
      </c>
      <c r="D924" s="21">
        <v>2655</v>
      </c>
      <c r="E924" s="21">
        <v>0</v>
      </c>
      <c r="F924" s="21">
        <v>7206</v>
      </c>
      <c r="G924" s="21">
        <v>71</v>
      </c>
      <c r="H924" s="21">
        <v>4416</v>
      </c>
      <c r="I924" s="21">
        <v>1584</v>
      </c>
      <c r="J924" s="21">
        <v>536</v>
      </c>
      <c r="K924" s="21">
        <v>599</v>
      </c>
      <c r="L924" s="21">
        <v>129</v>
      </c>
      <c r="M924" s="21">
        <v>0.79390000000000005</v>
      </c>
      <c r="N924" s="21">
        <v>0.50380000000000003</v>
      </c>
      <c r="O924" s="21">
        <v>0.74050000000000005</v>
      </c>
      <c r="P924" s="21">
        <v>314</v>
      </c>
      <c r="Q924" s="21">
        <v>0.65290000000000004</v>
      </c>
      <c r="R924" s="21">
        <v>56</v>
      </c>
      <c r="S924" s="21">
        <v>23</v>
      </c>
      <c r="T924" s="21">
        <v>0.1158</v>
      </c>
      <c r="U924" s="21">
        <v>6.59E-2</v>
      </c>
      <c r="V924" s="21">
        <v>0.61539999999999995</v>
      </c>
      <c r="W924" s="21">
        <v>101</v>
      </c>
      <c r="X924" s="21">
        <v>134</v>
      </c>
      <c r="Y924" s="21">
        <v>215</v>
      </c>
      <c r="Z924" s="21">
        <v>0.1</v>
      </c>
      <c r="AA924" s="21">
        <v>0.6</v>
      </c>
      <c r="AB924" s="21">
        <v>1188</v>
      </c>
      <c r="AC924" s="21">
        <v>1188</v>
      </c>
      <c r="AD924" s="21">
        <v>1164</v>
      </c>
      <c r="AE924" s="21">
        <v>58</v>
      </c>
      <c r="AF924" s="21">
        <v>5.0900000000000001E-2</v>
      </c>
      <c r="AG924" s="21">
        <v>10</v>
      </c>
      <c r="AH924" s="21">
        <v>8.8000000000000005E-3</v>
      </c>
      <c r="AI924" s="21">
        <v>0.17649999999999999</v>
      </c>
      <c r="AJ924" s="21">
        <v>0.9486</v>
      </c>
      <c r="AK924" s="21">
        <v>139</v>
      </c>
      <c r="AL924" s="21">
        <v>0.1288</v>
      </c>
      <c r="AM924" s="21">
        <v>85</v>
      </c>
      <c r="AN924" s="21">
        <v>7.8799999999999995E-2</v>
      </c>
      <c r="AO924" s="21">
        <v>0.36620000000000003</v>
      </c>
      <c r="AP924" s="21">
        <v>46</v>
      </c>
      <c r="AQ924" s="21">
        <v>46</v>
      </c>
      <c r="AR924" s="21">
        <v>31</v>
      </c>
      <c r="AS924" s="21">
        <v>5</v>
      </c>
      <c r="AT924" s="21">
        <v>10</v>
      </c>
      <c r="AU924" s="21">
        <v>230</v>
      </c>
      <c r="AV924" s="21">
        <v>426</v>
      </c>
    </row>
    <row r="925" spans="1:48" x14ac:dyDescent="0.15">
      <c r="A925" s="20" t="s">
        <v>61</v>
      </c>
      <c r="B925" s="20" t="s">
        <v>126</v>
      </c>
      <c r="C925" s="21">
        <v>2419</v>
      </c>
      <c r="D925" s="21">
        <v>1516</v>
      </c>
      <c r="E925" s="21">
        <v>0</v>
      </c>
      <c r="F925" s="21">
        <v>3935</v>
      </c>
      <c r="G925" s="21">
        <v>312</v>
      </c>
      <c r="H925" s="21">
        <v>1018</v>
      </c>
      <c r="I925" s="21">
        <v>1233</v>
      </c>
      <c r="J925" s="21">
        <v>823</v>
      </c>
      <c r="K925" s="21">
        <v>549</v>
      </c>
      <c r="L925" s="21">
        <v>82</v>
      </c>
      <c r="M925" s="21">
        <v>0.76190000000000002</v>
      </c>
      <c r="N925" s="21">
        <v>0.52380000000000004</v>
      </c>
      <c r="O925" s="21">
        <v>0.67859999999999998</v>
      </c>
      <c r="P925" s="21">
        <v>133</v>
      </c>
      <c r="Q925" s="21">
        <v>0.88719999999999999</v>
      </c>
      <c r="R925" s="21">
        <v>48</v>
      </c>
      <c r="S925" s="21">
        <v>30</v>
      </c>
      <c r="T925" s="21">
        <v>9.7799999999999998E-2</v>
      </c>
      <c r="U925" s="21">
        <v>5.9499999999999997E-2</v>
      </c>
      <c r="V925" s="21">
        <v>0.9889</v>
      </c>
      <c r="W925" s="21">
        <v>33</v>
      </c>
      <c r="X925" s="21">
        <v>50</v>
      </c>
      <c r="Y925" s="21">
        <v>78</v>
      </c>
      <c r="Z925" s="21">
        <v>0.2</v>
      </c>
      <c r="AA925" s="21">
        <v>0.6</v>
      </c>
      <c r="AB925" s="21">
        <v>239</v>
      </c>
      <c r="AC925" s="21">
        <v>239</v>
      </c>
      <c r="AD925" s="21">
        <v>240</v>
      </c>
      <c r="AE925" s="21">
        <v>5</v>
      </c>
      <c r="AF925" s="21">
        <v>2.07E-2</v>
      </c>
      <c r="AG925" s="21">
        <v>8</v>
      </c>
      <c r="AH925" s="21">
        <v>3.3099999999999997E-2</v>
      </c>
      <c r="AI925" s="21">
        <v>0</v>
      </c>
      <c r="AJ925" s="21">
        <v>0.75639999999999996</v>
      </c>
      <c r="AK925" s="21">
        <v>45</v>
      </c>
      <c r="AL925" s="21">
        <v>0.18709999999999999</v>
      </c>
      <c r="AM925" s="21">
        <v>23</v>
      </c>
      <c r="AN925" s="21">
        <v>9.5600000000000004E-2</v>
      </c>
      <c r="AO925" s="21">
        <v>0.31879999999999997</v>
      </c>
      <c r="AP925" s="21">
        <v>20</v>
      </c>
      <c r="AQ925" s="21">
        <v>20</v>
      </c>
      <c r="AR925" s="21">
        <v>4</v>
      </c>
      <c r="AS925" s="21">
        <v>13</v>
      </c>
      <c r="AT925" s="21">
        <v>3</v>
      </c>
      <c r="AU925" s="21">
        <v>297</v>
      </c>
      <c r="AV925" s="21">
        <v>133</v>
      </c>
    </row>
    <row r="926" spans="1:48" x14ac:dyDescent="0.15">
      <c r="A926" s="20" t="s">
        <v>48</v>
      </c>
      <c r="B926" s="20" t="s">
        <v>127</v>
      </c>
      <c r="C926" s="21">
        <v>2803</v>
      </c>
      <c r="D926" s="21">
        <v>3640</v>
      </c>
      <c r="E926" s="21">
        <v>0</v>
      </c>
      <c r="F926" s="21">
        <v>6443</v>
      </c>
      <c r="G926" s="21">
        <v>743</v>
      </c>
      <c r="H926" s="21">
        <v>2006</v>
      </c>
      <c r="I926" s="21">
        <v>620</v>
      </c>
      <c r="J926" s="21">
        <v>510</v>
      </c>
      <c r="K926" s="21">
        <v>191</v>
      </c>
      <c r="L926" s="21">
        <v>142</v>
      </c>
      <c r="M926" s="21">
        <v>0.7329</v>
      </c>
      <c r="N926" s="21">
        <v>0.39040000000000002</v>
      </c>
      <c r="O926" s="21">
        <v>0.66439999999999999</v>
      </c>
      <c r="P926" s="21">
        <v>976</v>
      </c>
      <c r="Q926" s="21">
        <v>0.27660000000000001</v>
      </c>
      <c r="R926" s="21">
        <v>47</v>
      </c>
      <c r="S926" s="21">
        <v>7</v>
      </c>
      <c r="T926" s="21">
        <v>0.1656</v>
      </c>
      <c r="U926" s="21">
        <v>8.6800000000000002E-2</v>
      </c>
      <c r="V926" s="21">
        <v>0.99370000000000003</v>
      </c>
      <c r="W926" s="21">
        <v>59</v>
      </c>
      <c r="X926" s="21">
        <v>45</v>
      </c>
      <c r="Y926" s="21">
        <v>44</v>
      </c>
      <c r="Z926" s="21">
        <v>0.1</v>
      </c>
      <c r="AA926" s="21">
        <v>1</v>
      </c>
      <c r="AB926" s="21">
        <v>487</v>
      </c>
      <c r="AC926" s="21">
        <v>458</v>
      </c>
      <c r="AD926" s="21">
        <v>460</v>
      </c>
      <c r="AE926" s="21">
        <v>60</v>
      </c>
      <c r="AF926" s="21">
        <v>0.13819999999999999</v>
      </c>
      <c r="AG926" s="21">
        <v>7</v>
      </c>
      <c r="AH926" s="21">
        <v>1.61E-2</v>
      </c>
      <c r="AI926" s="21">
        <v>0.3125</v>
      </c>
      <c r="AJ926" s="21">
        <v>0.7903</v>
      </c>
      <c r="AK926" s="21">
        <v>32</v>
      </c>
      <c r="AL926" s="21">
        <v>7.17E-2</v>
      </c>
      <c r="AM926" s="21">
        <v>16</v>
      </c>
      <c r="AN926" s="21">
        <v>3.5900000000000001E-2</v>
      </c>
      <c r="AO926" s="21">
        <v>0.59599999999999997</v>
      </c>
      <c r="AP926" s="21">
        <v>72</v>
      </c>
      <c r="AQ926" s="21">
        <v>72</v>
      </c>
      <c r="AR926" s="21">
        <v>70</v>
      </c>
      <c r="AS926" s="21">
        <v>1</v>
      </c>
      <c r="AT926" s="21">
        <v>1</v>
      </c>
      <c r="AU926" s="21">
        <v>300</v>
      </c>
      <c r="AV926" s="21">
        <v>276</v>
      </c>
    </row>
    <row r="927" spans="1:48" x14ac:dyDescent="0.15">
      <c r="A927" s="20" t="s">
        <v>50</v>
      </c>
      <c r="B927" s="20" t="s">
        <v>127</v>
      </c>
      <c r="C927" s="21">
        <v>1394</v>
      </c>
      <c r="D927" s="21">
        <v>3343</v>
      </c>
      <c r="E927" s="21">
        <v>0</v>
      </c>
      <c r="F927" s="21">
        <v>4737</v>
      </c>
      <c r="G927" s="21">
        <v>19</v>
      </c>
      <c r="H927" s="21">
        <v>4020</v>
      </c>
      <c r="I927" s="21">
        <v>0</v>
      </c>
      <c r="J927" s="21">
        <v>403</v>
      </c>
      <c r="K927" s="21">
        <v>295</v>
      </c>
      <c r="L927" s="21">
        <v>204</v>
      </c>
      <c r="M927" s="21">
        <v>0.68600000000000005</v>
      </c>
      <c r="N927" s="21">
        <v>0.32850000000000001</v>
      </c>
      <c r="O927" s="21">
        <v>0.66180000000000005</v>
      </c>
      <c r="P927" s="21">
        <v>582</v>
      </c>
      <c r="Q927" s="21">
        <v>0.42959999999999998</v>
      </c>
      <c r="R927" s="21">
        <v>23</v>
      </c>
      <c r="S927" s="21">
        <v>8</v>
      </c>
      <c r="T927" s="21">
        <v>0.2014</v>
      </c>
      <c r="U927" s="21">
        <v>7.51E-2</v>
      </c>
      <c r="V927" s="21">
        <v>0.99150000000000005</v>
      </c>
      <c r="W927" s="21">
        <v>32</v>
      </c>
      <c r="X927" s="21">
        <v>47</v>
      </c>
      <c r="Y927" s="21">
        <v>64</v>
      </c>
      <c r="Z927" s="21">
        <v>0.1</v>
      </c>
      <c r="AA927" s="21">
        <v>0.7</v>
      </c>
      <c r="AB927" s="21">
        <v>628</v>
      </c>
      <c r="AC927" s="21">
        <v>628</v>
      </c>
      <c r="AD927" s="21">
        <v>610</v>
      </c>
      <c r="AE927" s="21">
        <v>61</v>
      </c>
      <c r="AF927" s="21">
        <v>0.10299999999999999</v>
      </c>
      <c r="AG927" s="21">
        <v>25</v>
      </c>
      <c r="AH927" s="21">
        <v>4.2200000000000001E-2</v>
      </c>
      <c r="AI927" s="21">
        <v>0.55879999999999996</v>
      </c>
      <c r="AJ927" s="21">
        <v>0.51429999999999998</v>
      </c>
      <c r="AK927" s="21">
        <v>47</v>
      </c>
      <c r="AL927" s="21">
        <v>7.6999999999999999E-2</v>
      </c>
      <c r="AM927" s="21">
        <v>25</v>
      </c>
      <c r="AN927" s="21">
        <v>4.1000000000000002E-2</v>
      </c>
      <c r="AO927" s="21">
        <v>0.65190000000000003</v>
      </c>
      <c r="AP927" s="21">
        <v>808</v>
      </c>
      <c r="AQ927" s="21">
        <v>808</v>
      </c>
      <c r="AR927" s="21">
        <v>799</v>
      </c>
      <c r="AS927" s="21">
        <v>0</v>
      </c>
      <c r="AT927" s="21">
        <v>8</v>
      </c>
      <c r="AU927" s="21">
        <v>118</v>
      </c>
      <c r="AV927" s="21">
        <v>220</v>
      </c>
    </row>
    <row r="928" spans="1:48" x14ac:dyDescent="0.15">
      <c r="A928" s="20" t="s">
        <v>51</v>
      </c>
      <c r="B928" s="20" t="s">
        <v>127</v>
      </c>
      <c r="C928" s="21">
        <v>7675</v>
      </c>
      <c r="D928" s="21">
        <v>5509</v>
      </c>
      <c r="E928" s="21">
        <v>0</v>
      </c>
      <c r="F928" s="21">
        <v>13183</v>
      </c>
      <c r="G928" s="21">
        <v>268</v>
      </c>
      <c r="H928" s="21">
        <v>6448</v>
      </c>
      <c r="I928" s="21">
        <v>1690</v>
      </c>
      <c r="J928" s="21">
        <v>1416</v>
      </c>
      <c r="K928" s="21">
        <v>3078</v>
      </c>
      <c r="L928" s="21">
        <v>961</v>
      </c>
      <c r="M928" s="21">
        <v>0.66359999999999997</v>
      </c>
      <c r="N928" s="21">
        <v>0.44619999999999999</v>
      </c>
      <c r="O928" s="21">
        <v>0.55689999999999995</v>
      </c>
      <c r="P928" s="21">
        <v>3358</v>
      </c>
      <c r="Q928" s="21">
        <v>0.36180000000000001</v>
      </c>
      <c r="R928" s="21">
        <v>14</v>
      </c>
      <c r="S928" s="21">
        <v>4</v>
      </c>
      <c r="T928" s="21">
        <v>0.22969999999999999</v>
      </c>
      <c r="U928" s="21">
        <v>0.1152</v>
      </c>
      <c r="V928" s="21">
        <v>0.96919999999999995</v>
      </c>
      <c r="W928" s="21">
        <v>1677</v>
      </c>
      <c r="X928" s="21">
        <v>2585</v>
      </c>
      <c r="Y928" s="21">
        <v>2642</v>
      </c>
      <c r="Z928" s="21">
        <v>0.2</v>
      </c>
      <c r="AA928" s="21">
        <v>1</v>
      </c>
      <c r="AB928" s="21">
        <v>13293</v>
      </c>
      <c r="AC928" s="21">
        <v>12572</v>
      </c>
      <c r="AD928" s="21">
        <v>12315</v>
      </c>
      <c r="AE928" s="21">
        <v>2471</v>
      </c>
      <c r="AF928" s="21">
        <v>0.218</v>
      </c>
      <c r="AG928" s="21">
        <v>515</v>
      </c>
      <c r="AH928" s="21">
        <v>4.5400000000000003E-2</v>
      </c>
      <c r="AI928" s="21">
        <v>0.42120000000000002</v>
      </c>
      <c r="AJ928" s="21">
        <v>0.77259999999999995</v>
      </c>
      <c r="AK928" s="21">
        <v>1701</v>
      </c>
      <c r="AL928" s="21">
        <v>0.1424</v>
      </c>
      <c r="AM928" s="21">
        <v>1313</v>
      </c>
      <c r="AN928" s="21">
        <v>0.1099</v>
      </c>
      <c r="AO928" s="21">
        <v>0.73919999999999997</v>
      </c>
      <c r="AP928" s="21">
        <v>232</v>
      </c>
      <c r="AQ928" s="21">
        <v>232</v>
      </c>
      <c r="AR928" s="21">
        <v>118</v>
      </c>
      <c r="AS928" s="21">
        <v>5</v>
      </c>
      <c r="AT928" s="21">
        <v>109</v>
      </c>
      <c r="AU928" s="21">
        <v>481</v>
      </c>
      <c r="AV928" s="21">
        <v>2002</v>
      </c>
    </row>
    <row r="929" spans="1:48" x14ac:dyDescent="0.15">
      <c r="A929" s="20" t="s">
        <v>52</v>
      </c>
      <c r="B929" s="20" t="s">
        <v>127</v>
      </c>
      <c r="C929" s="21">
        <v>2654</v>
      </c>
      <c r="D929" s="21">
        <v>1778</v>
      </c>
      <c r="E929" s="21">
        <v>0</v>
      </c>
      <c r="F929" s="21">
        <v>4433</v>
      </c>
      <c r="G929" s="21">
        <v>362</v>
      </c>
      <c r="H929" s="21">
        <v>1886</v>
      </c>
      <c r="I929" s="21">
        <v>1211</v>
      </c>
      <c r="J929" s="21">
        <v>794</v>
      </c>
      <c r="K929" s="21">
        <v>181</v>
      </c>
      <c r="L929" s="21">
        <v>167</v>
      </c>
      <c r="M929" s="21">
        <v>0.66290000000000004</v>
      </c>
      <c r="N929" s="21">
        <v>0.36570000000000003</v>
      </c>
      <c r="O929" s="21">
        <v>0.58289999999999997</v>
      </c>
      <c r="P929" s="21">
        <v>1095</v>
      </c>
      <c r="Q929" s="21">
        <v>0.19270000000000001</v>
      </c>
      <c r="R929" s="21">
        <v>27</v>
      </c>
      <c r="S929" s="21">
        <v>4</v>
      </c>
      <c r="T929" s="21">
        <v>0.1202</v>
      </c>
      <c r="U929" s="21">
        <v>8.2100000000000006E-2</v>
      </c>
      <c r="V929" s="21">
        <v>0.97409999999999997</v>
      </c>
      <c r="W929" s="21">
        <v>30</v>
      </c>
      <c r="X929" s="21">
        <v>23</v>
      </c>
      <c r="Y929" s="21">
        <v>53</v>
      </c>
      <c r="Z929" s="21">
        <v>0</v>
      </c>
      <c r="AA929" s="21">
        <v>0.4</v>
      </c>
      <c r="AB929" s="21">
        <v>534</v>
      </c>
      <c r="AC929" s="21">
        <v>534</v>
      </c>
      <c r="AD929" s="21">
        <v>532</v>
      </c>
      <c r="AE929" s="21">
        <v>13</v>
      </c>
      <c r="AF929" s="21">
        <v>2.4500000000000001E-2</v>
      </c>
      <c r="AG929" s="21">
        <v>9</v>
      </c>
      <c r="AH929" s="21">
        <v>1.7000000000000001E-2</v>
      </c>
      <c r="AI929" s="21">
        <v>0.05</v>
      </c>
      <c r="AJ929" s="21">
        <v>0.86360000000000003</v>
      </c>
      <c r="AK929" s="21">
        <v>31</v>
      </c>
      <c r="AL929" s="21">
        <v>5.8299999999999998E-2</v>
      </c>
      <c r="AM929" s="21">
        <v>13</v>
      </c>
      <c r="AN929" s="21">
        <v>2.4400000000000002E-2</v>
      </c>
      <c r="AO929" s="21">
        <v>0.56630000000000003</v>
      </c>
      <c r="AP929" s="21">
        <v>58</v>
      </c>
      <c r="AQ929" s="21">
        <v>58</v>
      </c>
      <c r="AR929" s="21">
        <v>57</v>
      </c>
      <c r="AS929" s="21">
        <v>1</v>
      </c>
      <c r="AT929" s="21">
        <v>0</v>
      </c>
      <c r="AU929" s="21">
        <v>371</v>
      </c>
      <c r="AV929" s="21">
        <v>233</v>
      </c>
    </row>
    <row r="930" spans="1:48" x14ac:dyDescent="0.15">
      <c r="A930" s="20" t="s">
        <v>53</v>
      </c>
      <c r="B930" s="20" t="s">
        <v>127</v>
      </c>
      <c r="C930" s="21">
        <v>119</v>
      </c>
      <c r="D930" s="21">
        <v>764</v>
      </c>
      <c r="E930" s="21">
        <v>0</v>
      </c>
      <c r="F930" s="21">
        <v>884</v>
      </c>
      <c r="H930" s="21">
        <v>78</v>
      </c>
      <c r="I930" s="21">
        <v>278</v>
      </c>
      <c r="J930" s="21">
        <v>528</v>
      </c>
      <c r="K930" s="21">
        <v>0</v>
      </c>
      <c r="L930" s="21">
        <v>153</v>
      </c>
      <c r="M930" s="21">
        <v>0.57589999999999997</v>
      </c>
      <c r="N930" s="21">
        <v>8.8599999999999998E-2</v>
      </c>
      <c r="O930" s="21">
        <v>0.55700000000000005</v>
      </c>
      <c r="P930" s="21">
        <v>2684</v>
      </c>
      <c r="Q930" s="21">
        <v>4.9200000000000001E-2</v>
      </c>
      <c r="R930" s="21">
        <v>6</v>
      </c>
      <c r="S930" s="21">
        <v>0</v>
      </c>
      <c r="T930" s="21">
        <v>0.37580000000000002</v>
      </c>
      <c r="U930" s="21">
        <v>8.2199999999999995E-2</v>
      </c>
      <c r="W930" s="21">
        <v>675</v>
      </c>
      <c r="X930" s="21">
        <v>1045</v>
      </c>
      <c r="Y930" s="21">
        <v>1012</v>
      </c>
      <c r="Z930" s="21">
        <v>0.2</v>
      </c>
      <c r="AA930" s="21">
        <v>1</v>
      </c>
      <c r="AB930" s="21">
        <v>5469</v>
      </c>
      <c r="AC930" s="21">
        <v>4716</v>
      </c>
      <c r="AD930" s="21">
        <v>4974</v>
      </c>
      <c r="AE930" s="21">
        <v>1177</v>
      </c>
      <c r="AF930" s="21">
        <v>0.26269999999999999</v>
      </c>
      <c r="AG930" s="21">
        <v>188</v>
      </c>
      <c r="AH930" s="21">
        <v>4.2000000000000003E-2</v>
      </c>
      <c r="AI930" s="21">
        <v>0.68320000000000003</v>
      </c>
      <c r="AJ930" s="21">
        <v>0.86140000000000005</v>
      </c>
      <c r="AK930" s="21">
        <v>805</v>
      </c>
      <c r="AL930" s="21">
        <v>0.17510000000000001</v>
      </c>
      <c r="AM930" s="21">
        <v>618</v>
      </c>
      <c r="AN930" s="21">
        <v>0.13439999999999999</v>
      </c>
      <c r="AO930" s="21">
        <v>0.73899999999999999</v>
      </c>
      <c r="AP930" s="21">
        <v>116</v>
      </c>
      <c r="AQ930" s="21">
        <v>116</v>
      </c>
      <c r="AR930" s="21">
        <v>112</v>
      </c>
      <c r="AS930" s="21">
        <v>4</v>
      </c>
      <c r="AT930" s="21">
        <v>0</v>
      </c>
      <c r="AU930" s="21">
        <v>0</v>
      </c>
      <c r="AV930" s="21">
        <v>411</v>
      </c>
    </row>
    <row r="931" spans="1:48" x14ac:dyDescent="0.15">
      <c r="A931" s="20" t="s">
        <v>0</v>
      </c>
      <c r="B931" s="20" t="s">
        <v>127</v>
      </c>
      <c r="C931" s="21">
        <v>47321</v>
      </c>
      <c r="D931" s="21">
        <v>33250</v>
      </c>
      <c r="E931" s="21">
        <v>0</v>
      </c>
      <c r="F931" s="21">
        <v>80571</v>
      </c>
      <c r="G931" s="21">
        <v>4922</v>
      </c>
      <c r="H931" s="21">
        <v>31040</v>
      </c>
      <c r="I931" s="21">
        <v>8560</v>
      </c>
      <c r="J931" s="21">
        <v>16550</v>
      </c>
      <c r="K931" s="21">
        <v>16679</v>
      </c>
      <c r="L931" s="21">
        <v>2976</v>
      </c>
      <c r="M931" s="21">
        <v>0.69330000000000003</v>
      </c>
      <c r="N931" s="21">
        <v>0.40279999999999999</v>
      </c>
      <c r="O931" s="21">
        <v>0.6159</v>
      </c>
      <c r="P931" s="21">
        <v>19311</v>
      </c>
      <c r="Q931" s="21">
        <v>0.2412</v>
      </c>
      <c r="R931" s="21">
        <v>28</v>
      </c>
      <c r="S931" s="21">
        <v>4</v>
      </c>
      <c r="T931" s="21">
        <v>0.1885</v>
      </c>
      <c r="U931" s="21">
        <v>7.6799999999999993E-2</v>
      </c>
      <c r="V931" s="21">
        <v>0.97740000000000005</v>
      </c>
      <c r="W931" s="21">
        <v>3508</v>
      </c>
      <c r="X931" s="21">
        <v>5134</v>
      </c>
      <c r="Y931" s="21">
        <v>5531</v>
      </c>
      <c r="Z931" s="21">
        <v>0.2</v>
      </c>
      <c r="AA931" s="21">
        <v>0.9</v>
      </c>
      <c r="AB931" s="21">
        <v>30200</v>
      </c>
      <c r="AC931" s="21">
        <v>26967</v>
      </c>
      <c r="AD931" s="21">
        <v>27773</v>
      </c>
      <c r="AE931" s="21">
        <v>6109</v>
      </c>
      <c r="AF931" s="21">
        <v>0.24099999999999999</v>
      </c>
      <c r="AG931" s="21">
        <v>1255</v>
      </c>
      <c r="AH931" s="21">
        <v>4.9500000000000002E-2</v>
      </c>
      <c r="AI931" s="21">
        <v>0.46400000000000002</v>
      </c>
      <c r="AJ931" s="21">
        <v>0.81559999999999999</v>
      </c>
      <c r="AK931" s="21">
        <v>3723</v>
      </c>
      <c r="AL931" s="21">
        <v>0.14280000000000001</v>
      </c>
      <c r="AM931" s="21">
        <v>2718</v>
      </c>
      <c r="AN931" s="21">
        <v>0.1043</v>
      </c>
      <c r="AO931" s="21">
        <v>0.65249999999999997</v>
      </c>
      <c r="AP931" s="21">
        <v>2571</v>
      </c>
      <c r="AQ931" s="21">
        <v>2566</v>
      </c>
      <c r="AR931" s="21">
        <v>2279</v>
      </c>
      <c r="AS931" s="21">
        <v>95</v>
      </c>
      <c r="AT931" s="21">
        <v>192</v>
      </c>
      <c r="AU931" s="21">
        <v>2442</v>
      </c>
      <c r="AV931" s="21">
        <v>4889</v>
      </c>
    </row>
    <row r="932" spans="1:48" x14ac:dyDescent="0.15">
      <c r="A932" s="20" t="s">
        <v>54</v>
      </c>
      <c r="B932" s="20" t="s">
        <v>127</v>
      </c>
      <c r="C932" s="21">
        <v>2440</v>
      </c>
      <c r="D932" s="21">
        <v>3251</v>
      </c>
      <c r="E932" s="21">
        <v>0</v>
      </c>
      <c r="F932" s="21">
        <v>5691</v>
      </c>
      <c r="G932" s="21">
        <v>143</v>
      </c>
      <c r="H932" s="21">
        <v>1054</v>
      </c>
      <c r="I932" s="21">
        <v>915</v>
      </c>
      <c r="J932" s="21">
        <v>2085</v>
      </c>
      <c r="K932" s="21">
        <v>1331</v>
      </c>
      <c r="L932" s="21">
        <v>248</v>
      </c>
      <c r="M932" s="21">
        <v>0.84289999999999998</v>
      </c>
      <c r="N932" s="21">
        <v>0.3755</v>
      </c>
      <c r="O932" s="21">
        <v>0.751</v>
      </c>
      <c r="P932" s="21">
        <v>2418</v>
      </c>
      <c r="Q932" s="21">
        <v>0.2361</v>
      </c>
      <c r="R932" s="21">
        <v>23</v>
      </c>
      <c r="S932" s="21">
        <v>2</v>
      </c>
      <c r="T932" s="21">
        <v>0.21390000000000001</v>
      </c>
      <c r="U932" s="21">
        <v>2.4299999999999999E-2</v>
      </c>
      <c r="V932" s="21">
        <v>1</v>
      </c>
      <c r="W932" s="21">
        <v>122</v>
      </c>
      <c r="X932" s="21">
        <v>165</v>
      </c>
      <c r="Y932" s="21">
        <v>244</v>
      </c>
      <c r="Z932" s="21">
        <v>0.2</v>
      </c>
      <c r="AA932" s="21">
        <v>0.7</v>
      </c>
      <c r="AB932" s="21">
        <v>1080</v>
      </c>
      <c r="AC932" s="21">
        <v>909</v>
      </c>
      <c r="AD932" s="21">
        <v>998</v>
      </c>
      <c r="AE932" s="21">
        <v>273</v>
      </c>
      <c r="AF932" s="21">
        <v>0.29770000000000002</v>
      </c>
      <c r="AG932" s="21">
        <v>110</v>
      </c>
      <c r="AH932" s="21">
        <v>0.12</v>
      </c>
      <c r="AI932" s="21">
        <v>0.2059</v>
      </c>
      <c r="AJ932" s="21">
        <v>0.79310000000000003</v>
      </c>
      <c r="AK932" s="21">
        <v>164</v>
      </c>
      <c r="AL932" s="21">
        <v>0.17960000000000001</v>
      </c>
      <c r="AM932" s="21">
        <v>108</v>
      </c>
      <c r="AN932" s="21">
        <v>0.1183</v>
      </c>
      <c r="AO932" s="21">
        <v>0.6008</v>
      </c>
      <c r="AP932" s="21">
        <v>294</v>
      </c>
      <c r="AQ932" s="21">
        <v>294</v>
      </c>
      <c r="AR932" s="21">
        <v>256</v>
      </c>
      <c r="AS932" s="21">
        <v>3</v>
      </c>
      <c r="AT932" s="21">
        <v>35</v>
      </c>
      <c r="AU932" s="21">
        <v>2</v>
      </c>
      <c r="AV932" s="21">
        <v>112</v>
      </c>
    </row>
    <row r="933" spans="1:48" x14ac:dyDescent="0.15">
      <c r="A933" s="20" t="s">
        <v>55</v>
      </c>
      <c r="B933" s="20" t="s">
        <v>127</v>
      </c>
      <c r="C933" s="21">
        <v>1009</v>
      </c>
      <c r="D933" s="21">
        <v>99</v>
      </c>
      <c r="E933" s="21">
        <v>0</v>
      </c>
      <c r="F933" s="21">
        <v>1107</v>
      </c>
      <c r="G933" s="21">
        <v>8</v>
      </c>
      <c r="H933" s="21">
        <v>704</v>
      </c>
      <c r="I933" s="21">
        <v>395</v>
      </c>
      <c r="L933" s="21">
        <v>78</v>
      </c>
      <c r="M933" s="21">
        <v>0.67469999999999997</v>
      </c>
      <c r="N933" s="21">
        <v>0.4819</v>
      </c>
      <c r="O933" s="21">
        <v>0.45779999999999998</v>
      </c>
      <c r="P933" s="21">
        <v>1204</v>
      </c>
      <c r="Q933" s="21">
        <v>6.5600000000000006E-2</v>
      </c>
      <c r="R933" s="21">
        <v>14</v>
      </c>
      <c r="S933" s="21">
        <v>1</v>
      </c>
      <c r="T933" s="21">
        <v>0.29930000000000001</v>
      </c>
      <c r="U933" s="21">
        <v>6.4000000000000003E-3</v>
      </c>
      <c r="W933" s="21">
        <v>28</v>
      </c>
      <c r="X933" s="21">
        <v>40</v>
      </c>
      <c r="Y933" s="21">
        <v>53</v>
      </c>
      <c r="Z933" s="21">
        <v>0.1</v>
      </c>
      <c r="AA933" s="21">
        <v>0.7</v>
      </c>
      <c r="AB933" s="21">
        <v>618</v>
      </c>
      <c r="AC933" s="21">
        <v>534</v>
      </c>
      <c r="AD933" s="21">
        <v>570</v>
      </c>
      <c r="AE933" s="21">
        <v>119</v>
      </c>
      <c r="AF933" s="21">
        <v>0.22800000000000001</v>
      </c>
      <c r="AG933" s="21">
        <v>23</v>
      </c>
      <c r="AH933" s="21">
        <v>4.41E-2</v>
      </c>
      <c r="AI933" s="21">
        <v>0.21429999999999999</v>
      </c>
      <c r="AJ933" s="21">
        <v>0.78569999999999995</v>
      </c>
      <c r="AK933" s="21">
        <v>33</v>
      </c>
      <c r="AL933" s="21">
        <v>6.25E-2</v>
      </c>
      <c r="AM933" s="21">
        <v>20</v>
      </c>
      <c r="AN933" s="21">
        <v>3.7900000000000003E-2</v>
      </c>
      <c r="AP933" s="21">
        <v>46</v>
      </c>
      <c r="AQ933" s="21">
        <v>46</v>
      </c>
      <c r="AR933" s="21">
        <v>40</v>
      </c>
      <c r="AS933" s="21">
        <v>1</v>
      </c>
      <c r="AT933" s="21">
        <v>4</v>
      </c>
      <c r="AU933" s="21">
        <v>0</v>
      </c>
      <c r="AV933" s="21">
        <v>0</v>
      </c>
    </row>
    <row r="934" spans="1:48" x14ac:dyDescent="0.15">
      <c r="A934" s="20" t="s">
        <v>56</v>
      </c>
      <c r="B934" s="20" t="s">
        <v>127</v>
      </c>
      <c r="C934" s="21">
        <v>2061</v>
      </c>
      <c r="D934" s="21">
        <v>1819</v>
      </c>
      <c r="E934" s="21">
        <v>0</v>
      </c>
      <c r="F934" s="21">
        <v>3880</v>
      </c>
      <c r="G934" s="21">
        <v>0</v>
      </c>
      <c r="H934" s="21">
        <v>205</v>
      </c>
      <c r="J934" s="21">
        <v>1532</v>
      </c>
      <c r="K934" s="21">
        <v>2144</v>
      </c>
      <c r="L934" s="21">
        <v>104</v>
      </c>
      <c r="M934" s="21">
        <v>0.61260000000000003</v>
      </c>
      <c r="N934" s="21">
        <v>0.41439999999999999</v>
      </c>
      <c r="O934" s="21">
        <v>0.55859999999999999</v>
      </c>
      <c r="P934" s="21">
        <v>1516</v>
      </c>
      <c r="Q934" s="21">
        <v>0.1273</v>
      </c>
      <c r="R934" s="21">
        <v>39</v>
      </c>
      <c r="S934" s="21">
        <v>3</v>
      </c>
      <c r="T934" s="21">
        <v>9.0300000000000005E-2</v>
      </c>
      <c r="U934" s="21">
        <v>7.0300000000000001E-2</v>
      </c>
      <c r="V934" s="21">
        <v>1</v>
      </c>
      <c r="W934" s="21">
        <v>43</v>
      </c>
      <c r="X934" s="21">
        <v>40</v>
      </c>
      <c r="Y934" s="21">
        <v>61</v>
      </c>
      <c r="Z934" s="21">
        <v>0.3</v>
      </c>
      <c r="AA934" s="21">
        <v>0.7</v>
      </c>
      <c r="AB934" s="21">
        <v>149</v>
      </c>
      <c r="AC934" s="21">
        <v>141</v>
      </c>
      <c r="AD934" s="21">
        <v>142</v>
      </c>
      <c r="AE934" s="21">
        <v>17</v>
      </c>
      <c r="AF934" s="21">
        <v>0.12590000000000001</v>
      </c>
      <c r="AG934" s="21">
        <v>3</v>
      </c>
      <c r="AH934" s="21">
        <v>2.2200000000000001E-2</v>
      </c>
      <c r="AI934" s="21">
        <v>1</v>
      </c>
      <c r="AJ934" s="21">
        <v>1</v>
      </c>
      <c r="AK934" s="21">
        <v>33</v>
      </c>
      <c r="AL934" s="21">
        <v>0.23910000000000001</v>
      </c>
      <c r="AM934" s="21">
        <v>25</v>
      </c>
      <c r="AN934" s="21">
        <v>0.1812</v>
      </c>
      <c r="AO934" s="21">
        <v>0.80630000000000002</v>
      </c>
      <c r="AP934" s="21">
        <v>456</v>
      </c>
      <c r="AQ934" s="21">
        <v>451</v>
      </c>
      <c r="AR934" s="21">
        <v>448</v>
      </c>
      <c r="AS934" s="21">
        <v>3</v>
      </c>
      <c r="AT934" s="21">
        <v>0</v>
      </c>
      <c r="AU934" s="21">
        <v>31</v>
      </c>
      <c r="AV934" s="21">
        <v>90</v>
      </c>
    </row>
    <row r="935" spans="1:48" x14ac:dyDescent="0.15">
      <c r="A935" s="20" t="s">
        <v>57</v>
      </c>
      <c r="B935" s="20" t="s">
        <v>127</v>
      </c>
      <c r="C935" s="21">
        <v>4919</v>
      </c>
      <c r="D935" s="21">
        <v>4511</v>
      </c>
      <c r="E935" s="21">
        <v>0</v>
      </c>
      <c r="F935" s="21">
        <v>9430</v>
      </c>
      <c r="G935" s="21">
        <v>1214</v>
      </c>
      <c r="H935" s="21">
        <v>1240</v>
      </c>
      <c r="I935" s="21">
        <v>1601</v>
      </c>
      <c r="J935" s="21">
        <v>5339</v>
      </c>
      <c r="K935" s="21">
        <v>36</v>
      </c>
      <c r="L935" s="21">
        <v>259</v>
      </c>
      <c r="M935" s="21">
        <v>0.52610000000000001</v>
      </c>
      <c r="N935" s="21">
        <v>0.24249999999999999</v>
      </c>
      <c r="O935" s="21">
        <v>0.46639999999999998</v>
      </c>
      <c r="P935" s="21">
        <v>685</v>
      </c>
      <c r="Q935" s="21">
        <v>0.28179999999999999</v>
      </c>
      <c r="R935" s="21">
        <v>38</v>
      </c>
      <c r="S935" s="21">
        <v>14</v>
      </c>
      <c r="T935" s="21">
        <v>0.13900000000000001</v>
      </c>
      <c r="U935" s="21">
        <v>5.5100000000000003E-2</v>
      </c>
      <c r="V935" s="21">
        <v>0.99199999999999999</v>
      </c>
      <c r="W935" s="21">
        <v>223</v>
      </c>
      <c r="X935" s="21">
        <v>362</v>
      </c>
      <c r="Y935" s="21">
        <v>305</v>
      </c>
      <c r="Z935" s="21">
        <v>0.2</v>
      </c>
      <c r="AA935" s="21">
        <v>1.2</v>
      </c>
      <c r="AB935" s="21">
        <v>1774</v>
      </c>
      <c r="AC935" s="21">
        <v>1730</v>
      </c>
      <c r="AD935" s="21">
        <v>1711</v>
      </c>
      <c r="AE935" s="21">
        <v>203</v>
      </c>
      <c r="AF935" s="21">
        <v>0.1232</v>
      </c>
      <c r="AG935" s="21">
        <v>77</v>
      </c>
      <c r="AH935" s="21">
        <v>4.6699999999999998E-2</v>
      </c>
      <c r="AI935" s="21">
        <v>0.37630000000000002</v>
      </c>
      <c r="AJ935" s="21">
        <v>0.92310000000000003</v>
      </c>
      <c r="AK935" s="21">
        <v>244</v>
      </c>
      <c r="AL935" s="21">
        <v>0.14449999999999999</v>
      </c>
      <c r="AM935" s="21">
        <v>172</v>
      </c>
      <c r="AN935" s="21">
        <v>0.1018</v>
      </c>
      <c r="AO935" s="21">
        <v>0.64370000000000005</v>
      </c>
      <c r="AP935" s="21">
        <v>166</v>
      </c>
      <c r="AQ935" s="21">
        <v>166</v>
      </c>
      <c r="AR935" s="21">
        <v>109</v>
      </c>
      <c r="AS935" s="21">
        <v>47</v>
      </c>
      <c r="AT935" s="21">
        <v>10</v>
      </c>
      <c r="AU935" s="21">
        <v>994</v>
      </c>
      <c r="AV935" s="21">
        <v>313</v>
      </c>
    </row>
    <row r="936" spans="1:48" x14ac:dyDescent="0.15">
      <c r="A936" s="20" t="s">
        <v>58</v>
      </c>
      <c r="B936" s="20" t="s">
        <v>127</v>
      </c>
      <c r="C936" s="21">
        <v>18730</v>
      </c>
      <c r="D936" s="21">
        <v>3468</v>
      </c>
      <c r="E936" s="21">
        <v>0</v>
      </c>
      <c r="F936" s="21">
        <v>22198</v>
      </c>
      <c r="G936" s="21">
        <v>1215</v>
      </c>
      <c r="H936" s="21">
        <v>10293</v>
      </c>
      <c r="J936" s="21">
        <v>2048</v>
      </c>
      <c r="K936" s="21">
        <v>8642</v>
      </c>
      <c r="L936" s="21">
        <v>370</v>
      </c>
      <c r="M936" s="21">
        <v>0.82230000000000003</v>
      </c>
      <c r="N936" s="21">
        <v>0.63400000000000001</v>
      </c>
      <c r="O936" s="21">
        <v>0.75329999999999997</v>
      </c>
      <c r="P936" s="21">
        <v>3038</v>
      </c>
      <c r="Q936" s="21">
        <v>0.36370000000000002</v>
      </c>
      <c r="R936" s="21">
        <v>62</v>
      </c>
      <c r="S936" s="21">
        <v>7</v>
      </c>
      <c r="T936" s="21">
        <v>0.20499999999999999</v>
      </c>
      <c r="U936" s="21">
        <v>7.8799999999999995E-2</v>
      </c>
      <c r="V936" s="21">
        <v>0.98170000000000002</v>
      </c>
      <c r="W936" s="21">
        <v>473</v>
      </c>
      <c r="X936" s="21">
        <v>591</v>
      </c>
      <c r="Y936" s="21">
        <v>824</v>
      </c>
      <c r="Z936" s="21">
        <v>0.2</v>
      </c>
      <c r="AA936" s="21">
        <v>0.7</v>
      </c>
      <c r="AB936" s="21">
        <v>3938</v>
      </c>
      <c r="AC936" s="21">
        <v>3232</v>
      </c>
      <c r="AD936" s="21">
        <v>3524</v>
      </c>
      <c r="AE936" s="21">
        <v>908</v>
      </c>
      <c r="AF936" s="21">
        <v>0.29199999999999998</v>
      </c>
      <c r="AG936" s="21">
        <v>80</v>
      </c>
      <c r="AH936" s="21">
        <v>2.5700000000000001E-2</v>
      </c>
      <c r="AI936" s="21">
        <v>0.2056</v>
      </c>
      <c r="AJ936" s="21">
        <v>0.85289999999999999</v>
      </c>
      <c r="AK936" s="21">
        <v>502</v>
      </c>
      <c r="AL936" s="21">
        <v>0.1583</v>
      </c>
      <c r="AM936" s="21">
        <v>306</v>
      </c>
      <c r="AN936" s="21">
        <v>9.6500000000000002E-2</v>
      </c>
      <c r="AO936" s="21">
        <v>0.72140000000000004</v>
      </c>
      <c r="AP936" s="21">
        <v>136</v>
      </c>
      <c r="AQ936" s="21">
        <v>136</v>
      </c>
      <c r="AR936" s="21">
        <v>124</v>
      </c>
      <c r="AS936" s="21">
        <v>13</v>
      </c>
      <c r="AT936" s="21">
        <v>0</v>
      </c>
      <c r="AU936" s="21">
        <v>24</v>
      </c>
      <c r="AV936" s="21">
        <v>353</v>
      </c>
    </row>
    <row r="937" spans="1:48" x14ac:dyDescent="0.15">
      <c r="A937" s="20" t="s">
        <v>59</v>
      </c>
      <c r="B937" s="20" t="s">
        <v>127</v>
      </c>
      <c r="C937" s="21">
        <v>28</v>
      </c>
      <c r="D937" s="21">
        <v>1515</v>
      </c>
      <c r="E937" s="21">
        <v>0</v>
      </c>
      <c r="F937" s="21">
        <v>1544</v>
      </c>
      <c r="G937" s="21">
        <v>659</v>
      </c>
      <c r="H937" s="21">
        <v>0</v>
      </c>
      <c r="I937" s="21">
        <v>163</v>
      </c>
      <c r="J937" s="21">
        <v>364</v>
      </c>
      <c r="K937" s="21">
        <v>358</v>
      </c>
      <c r="L937" s="21">
        <v>82</v>
      </c>
      <c r="M937" s="21">
        <v>0.747</v>
      </c>
      <c r="N937" s="21">
        <v>7.2300000000000003E-2</v>
      </c>
      <c r="O937" s="21">
        <v>0.747</v>
      </c>
      <c r="P937" s="21">
        <v>1131</v>
      </c>
      <c r="Q937" s="21">
        <v>0.13789999999999999</v>
      </c>
      <c r="R937" s="21">
        <v>20</v>
      </c>
      <c r="S937" s="21">
        <v>1</v>
      </c>
      <c r="T937" s="21">
        <v>0.12889999999999999</v>
      </c>
      <c r="U937" s="21">
        <v>1.43E-2</v>
      </c>
      <c r="V937" s="21">
        <v>0.97619999999999996</v>
      </c>
      <c r="W937" s="21">
        <v>5</v>
      </c>
      <c r="X937" s="21">
        <v>4</v>
      </c>
      <c r="Y937" s="21">
        <v>9</v>
      </c>
      <c r="Z937" s="21">
        <v>0</v>
      </c>
      <c r="AA937" s="21">
        <v>0.5</v>
      </c>
      <c r="AB937" s="21">
        <v>296</v>
      </c>
      <c r="AC937" s="21">
        <v>105</v>
      </c>
      <c r="AD937" s="21">
        <v>255</v>
      </c>
      <c r="AE937" s="21">
        <v>203</v>
      </c>
      <c r="AF937" s="21">
        <v>0.9486</v>
      </c>
      <c r="AG937" s="21">
        <v>121</v>
      </c>
      <c r="AH937" s="21">
        <v>0.56540000000000001</v>
      </c>
      <c r="AI937" s="21">
        <v>0</v>
      </c>
      <c r="AJ937" s="21">
        <v>0.44</v>
      </c>
      <c r="AK937" s="21">
        <v>7</v>
      </c>
      <c r="AL937" s="21">
        <v>4.3900000000000002E-2</v>
      </c>
      <c r="AM937" s="21">
        <v>1</v>
      </c>
      <c r="AN937" s="21">
        <v>6.3E-3</v>
      </c>
      <c r="AO937" s="21">
        <v>0.7298</v>
      </c>
      <c r="AP937" s="21">
        <v>117</v>
      </c>
      <c r="AQ937" s="21">
        <v>117</v>
      </c>
      <c r="AR937" s="21">
        <v>115</v>
      </c>
      <c r="AS937" s="21">
        <v>2</v>
      </c>
      <c r="AT937" s="21">
        <v>0</v>
      </c>
      <c r="AU937" s="21">
        <v>0</v>
      </c>
      <c r="AV937" s="21">
        <v>8</v>
      </c>
    </row>
    <row r="938" spans="1:48" x14ac:dyDescent="0.15">
      <c r="A938" s="20" t="s">
        <v>60</v>
      </c>
      <c r="B938" s="20" t="s">
        <v>127</v>
      </c>
      <c r="C938" s="21">
        <v>2053</v>
      </c>
      <c r="D938" s="21">
        <v>2433</v>
      </c>
      <c r="E938" s="21">
        <v>0</v>
      </c>
      <c r="F938" s="21">
        <v>4486</v>
      </c>
      <c r="G938" s="21">
        <v>34</v>
      </c>
      <c r="H938" s="21">
        <v>2333</v>
      </c>
      <c r="I938" s="21">
        <v>908</v>
      </c>
      <c r="J938" s="21">
        <v>952</v>
      </c>
      <c r="K938" s="21">
        <v>259</v>
      </c>
      <c r="L938" s="21">
        <v>127</v>
      </c>
      <c r="M938" s="21">
        <v>0.75380000000000003</v>
      </c>
      <c r="N938" s="21">
        <v>0.5</v>
      </c>
      <c r="O938" s="21">
        <v>0.72309999999999997</v>
      </c>
      <c r="P938" s="21">
        <v>314</v>
      </c>
      <c r="Q938" s="21">
        <v>0.5796</v>
      </c>
      <c r="R938" s="21">
        <v>35</v>
      </c>
      <c r="S938" s="21">
        <v>14</v>
      </c>
      <c r="T938" s="21">
        <v>0.17249999999999999</v>
      </c>
      <c r="U938" s="21">
        <v>6.5299999999999997E-2</v>
      </c>
      <c r="V938" s="21">
        <v>0.99509999999999998</v>
      </c>
      <c r="W938" s="21">
        <v>110</v>
      </c>
      <c r="X938" s="21">
        <v>153</v>
      </c>
      <c r="Y938" s="21">
        <v>174</v>
      </c>
      <c r="Z938" s="21">
        <v>0.1</v>
      </c>
      <c r="AA938" s="21">
        <v>0.9</v>
      </c>
      <c r="AB938" s="21">
        <v>1511</v>
      </c>
      <c r="AC938" s="21">
        <v>1156</v>
      </c>
      <c r="AD938" s="21">
        <v>1350</v>
      </c>
      <c r="AE938" s="21">
        <v>413</v>
      </c>
      <c r="AF938" s="21">
        <v>0.34760000000000002</v>
      </c>
      <c r="AG938" s="21">
        <v>90</v>
      </c>
      <c r="AH938" s="21">
        <v>7.5800000000000006E-2</v>
      </c>
      <c r="AI938" s="21">
        <v>0.3125</v>
      </c>
      <c r="AJ938" s="21">
        <v>0.95520000000000005</v>
      </c>
      <c r="AK938" s="21">
        <v>95</v>
      </c>
      <c r="AL938" s="21">
        <v>8.7300000000000003E-2</v>
      </c>
      <c r="AM938" s="21">
        <v>84</v>
      </c>
      <c r="AN938" s="21">
        <v>7.7200000000000005E-2</v>
      </c>
      <c r="AO938" s="21">
        <v>0.55789999999999995</v>
      </c>
      <c r="AP938" s="21">
        <v>50</v>
      </c>
      <c r="AQ938" s="21">
        <v>50</v>
      </c>
      <c r="AR938" s="21">
        <v>27</v>
      </c>
      <c r="AS938" s="21">
        <v>2</v>
      </c>
      <c r="AT938" s="21">
        <v>21</v>
      </c>
      <c r="AU938" s="21">
        <v>66</v>
      </c>
      <c r="AV938" s="21">
        <v>730</v>
      </c>
    </row>
    <row r="939" spans="1:48" x14ac:dyDescent="0.15">
      <c r="A939" s="20" t="s">
        <v>61</v>
      </c>
      <c r="B939" s="20" t="s">
        <v>127</v>
      </c>
      <c r="C939" s="21">
        <v>1434</v>
      </c>
      <c r="D939" s="21">
        <v>1120</v>
      </c>
      <c r="E939" s="21">
        <v>0</v>
      </c>
      <c r="F939" s="21">
        <v>2554</v>
      </c>
      <c r="G939" s="21">
        <v>257</v>
      </c>
      <c r="H939" s="21">
        <v>772</v>
      </c>
      <c r="I939" s="21">
        <v>780</v>
      </c>
      <c r="J939" s="21">
        <v>579</v>
      </c>
      <c r="K939" s="21">
        <v>165</v>
      </c>
      <c r="L939" s="21">
        <v>81</v>
      </c>
      <c r="M939" s="21">
        <v>0.73809999999999998</v>
      </c>
      <c r="N939" s="21">
        <v>0.41670000000000001</v>
      </c>
      <c r="O939" s="21">
        <v>0.65480000000000005</v>
      </c>
      <c r="P939" s="21">
        <v>310</v>
      </c>
      <c r="Q939" s="21">
        <v>0.32579999999999998</v>
      </c>
      <c r="R939" s="21">
        <v>32</v>
      </c>
      <c r="S939" s="21">
        <v>8</v>
      </c>
      <c r="T939" s="21">
        <v>0.1231</v>
      </c>
      <c r="U939" s="21">
        <v>5.7200000000000001E-2</v>
      </c>
      <c r="V939" s="21">
        <v>0.98119999999999996</v>
      </c>
      <c r="W939" s="21">
        <v>30</v>
      </c>
      <c r="X939" s="21">
        <v>35</v>
      </c>
      <c r="Y939" s="21">
        <v>46</v>
      </c>
      <c r="Z939" s="21">
        <v>0.1</v>
      </c>
      <c r="AA939" s="21">
        <v>0.8</v>
      </c>
      <c r="AB939" s="21">
        <v>423</v>
      </c>
      <c r="AC939" s="21">
        <v>252</v>
      </c>
      <c r="AD939" s="21">
        <v>331</v>
      </c>
      <c r="AE939" s="21">
        <v>191</v>
      </c>
      <c r="AF939" s="21">
        <v>0.79920000000000002</v>
      </c>
      <c r="AG939" s="21">
        <v>7</v>
      </c>
      <c r="AH939" s="21">
        <v>2.93E-2</v>
      </c>
      <c r="AI939" s="21">
        <v>0.47060000000000002</v>
      </c>
      <c r="AJ939" s="21">
        <v>0.625</v>
      </c>
      <c r="AK939" s="21">
        <v>29</v>
      </c>
      <c r="AL939" s="21">
        <v>0.1181</v>
      </c>
      <c r="AM939" s="21">
        <v>17</v>
      </c>
      <c r="AN939" s="21">
        <v>6.9199999999999998E-2</v>
      </c>
      <c r="AO939" s="21">
        <v>0.31619999999999998</v>
      </c>
      <c r="AP939" s="21">
        <v>21</v>
      </c>
      <c r="AQ939" s="21">
        <v>21</v>
      </c>
      <c r="AR939" s="21">
        <v>4</v>
      </c>
      <c r="AS939" s="21">
        <v>14</v>
      </c>
      <c r="AT939" s="21">
        <v>3</v>
      </c>
      <c r="AU939" s="21">
        <v>53</v>
      </c>
      <c r="AV939" s="21">
        <v>142</v>
      </c>
    </row>
    <row r="940" spans="1:48" x14ac:dyDescent="0.15">
      <c r="A940" s="20" t="s">
        <v>48</v>
      </c>
      <c r="B940" s="20" t="s">
        <v>128</v>
      </c>
      <c r="C940" s="21">
        <v>16366</v>
      </c>
      <c r="D940" s="21">
        <v>3886</v>
      </c>
      <c r="E940" s="21">
        <v>23466</v>
      </c>
      <c r="F940" s="21">
        <v>43717</v>
      </c>
      <c r="G940" s="21">
        <v>2615</v>
      </c>
      <c r="H940" s="21">
        <v>3624</v>
      </c>
      <c r="I940" s="21">
        <v>4478</v>
      </c>
      <c r="J940" s="21">
        <v>2613</v>
      </c>
      <c r="K940" s="21">
        <v>26987</v>
      </c>
      <c r="L940" s="21">
        <v>136</v>
      </c>
      <c r="M940" s="21">
        <v>0.82069999999999999</v>
      </c>
      <c r="N940" s="21">
        <v>0.75860000000000005</v>
      </c>
      <c r="O940" s="21">
        <v>0.64139999999999997</v>
      </c>
      <c r="P940" s="21">
        <v>998</v>
      </c>
      <c r="Q940" s="21">
        <v>0.4108</v>
      </c>
      <c r="R940" s="21">
        <v>317</v>
      </c>
      <c r="S940" s="21">
        <v>44</v>
      </c>
      <c r="T940" s="21">
        <v>6.7900000000000002E-2</v>
      </c>
      <c r="U940" s="21">
        <v>7.51E-2</v>
      </c>
      <c r="V940" s="21">
        <v>1</v>
      </c>
      <c r="W940" s="21">
        <v>260</v>
      </c>
      <c r="X940" s="21">
        <v>145</v>
      </c>
      <c r="Y940" s="21">
        <v>181</v>
      </c>
      <c r="Z940" s="21">
        <v>0.3</v>
      </c>
      <c r="AA940" s="21">
        <v>0.8</v>
      </c>
      <c r="AB940" s="21">
        <v>432</v>
      </c>
      <c r="AC940" s="21">
        <v>432</v>
      </c>
      <c r="AD940" s="21">
        <v>460</v>
      </c>
      <c r="AE940" s="21">
        <v>10</v>
      </c>
      <c r="AF940" s="21">
        <v>2.0500000000000001E-2</v>
      </c>
      <c r="AG940" s="21">
        <v>65</v>
      </c>
      <c r="AH940" s="21">
        <v>0.13350000000000001</v>
      </c>
      <c r="AI940" s="21">
        <v>0.1333</v>
      </c>
      <c r="AJ940" s="21">
        <v>0.91669999999999996</v>
      </c>
      <c r="AK940" s="21">
        <v>91</v>
      </c>
      <c r="AL940" s="21">
        <v>0.19800000000000001</v>
      </c>
      <c r="AM940" s="21">
        <v>38</v>
      </c>
      <c r="AN940" s="21">
        <v>8.2699999999999996E-2</v>
      </c>
      <c r="AO940" s="21">
        <v>0.68149999999999999</v>
      </c>
      <c r="AP940" s="21">
        <v>386</v>
      </c>
      <c r="AQ940" s="21">
        <v>386</v>
      </c>
      <c r="AR940" s="21">
        <v>381</v>
      </c>
      <c r="AS940" s="21">
        <v>4</v>
      </c>
      <c r="AT940" s="21">
        <v>1</v>
      </c>
      <c r="AU940" s="21">
        <v>240</v>
      </c>
      <c r="AV940" s="21">
        <v>234</v>
      </c>
    </row>
    <row r="941" spans="1:48" x14ac:dyDescent="0.15">
      <c r="A941" s="20" t="s">
        <v>50</v>
      </c>
      <c r="B941" s="20" t="s">
        <v>128</v>
      </c>
      <c r="C941" s="21">
        <v>23080</v>
      </c>
      <c r="D941" s="21">
        <v>7243</v>
      </c>
      <c r="E941" s="21">
        <v>9990</v>
      </c>
      <c r="F941" s="21">
        <v>40314</v>
      </c>
      <c r="G941" s="21">
        <v>1459</v>
      </c>
      <c r="H941" s="21">
        <v>18098</v>
      </c>
      <c r="I941" s="21">
        <v>0</v>
      </c>
      <c r="J941" s="21">
        <v>2866</v>
      </c>
      <c r="K941" s="21">
        <v>9953</v>
      </c>
      <c r="L941" s="21">
        <v>198</v>
      </c>
      <c r="M941" s="21">
        <v>0.90339999999999998</v>
      </c>
      <c r="N941" s="21">
        <v>0.86470000000000002</v>
      </c>
      <c r="O941" s="21">
        <v>0.7198</v>
      </c>
      <c r="P941" s="21">
        <v>657</v>
      </c>
      <c r="Q941" s="21">
        <v>0.68489999999999995</v>
      </c>
      <c r="R941" s="21">
        <v>201</v>
      </c>
      <c r="S941" s="21">
        <v>61</v>
      </c>
      <c r="T941" s="21">
        <v>7.3400000000000007E-2</v>
      </c>
      <c r="U941" s="21">
        <v>4.7100000000000003E-2</v>
      </c>
      <c r="V941" s="21">
        <v>0.96679999999999999</v>
      </c>
      <c r="W941" s="21">
        <v>183</v>
      </c>
      <c r="X941" s="21">
        <v>104</v>
      </c>
      <c r="Y941" s="21">
        <v>185</v>
      </c>
      <c r="Z941" s="21">
        <v>0.2</v>
      </c>
      <c r="AA941" s="21">
        <v>0.6</v>
      </c>
      <c r="AB941" s="21">
        <v>339</v>
      </c>
      <c r="AC941" s="21">
        <v>339</v>
      </c>
      <c r="AD941" s="21">
        <v>484</v>
      </c>
      <c r="AE941" s="21">
        <v>14</v>
      </c>
      <c r="AF941" s="21">
        <v>2.23E-2</v>
      </c>
      <c r="AG941" s="21">
        <v>303</v>
      </c>
      <c r="AH941" s="21">
        <v>0.48249999999999998</v>
      </c>
      <c r="AI941" s="21">
        <v>0.27779999999999999</v>
      </c>
      <c r="AJ941" s="21">
        <v>0.14710000000000001</v>
      </c>
      <c r="AK941" s="21">
        <v>110</v>
      </c>
      <c r="AL941" s="21">
        <v>0.22750000000000001</v>
      </c>
      <c r="AM941" s="21">
        <v>26</v>
      </c>
      <c r="AN941" s="21">
        <v>5.3800000000000001E-2</v>
      </c>
      <c r="AO941" s="21">
        <v>0.57940000000000003</v>
      </c>
      <c r="AP941" s="21">
        <v>286</v>
      </c>
      <c r="AQ941" s="21">
        <v>286</v>
      </c>
      <c r="AR941" s="21">
        <v>283</v>
      </c>
      <c r="AS941" s="21">
        <v>1</v>
      </c>
      <c r="AT941" s="21">
        <v>3</v>
      </c>
      <c r="AU941" s="21">
        <v>267</v>
      </c>
      <c r="AV941" s="21">
        <v>274</v>
      </c>
    </row>
    <row r="942" spans="1:48" x14ac:dyDescent="0.15">
      <c r="A942" s="20" t="s">
        <v>51</v>
      </c>
      <c r="B942" s="20" t="s">
        <v>128</v>
      </c>
      <c r="C942" s="21">
        <v>111168</v>
      </c>
      <c r="D942" s="21">
        <v>18587</v>
      </c>
      <c r="E942" s="21">
        <v>66563</v>
      </c>
      <c r="F942" s="21">
        <v>196318</v>
      </c>
      <c r="G942" s="21">
        <v>5611</v>
      </c>
      <c r="H942" s="21">
        <v>33368</v>
      </c>
      <c r="I942" s="21">
        <v>22787</v>
      </c>
      <c r="J942" s="21">
        <v>12737</v>
      </c>
      <c r="K942" s="21">
        <v>121343</v>
      </c>
      <c r="L942" s="21">
        <v>955</v>
      </c>
      <c r="M942" s="21">
        <v>0.84940000000000004</v>
      </c>
      <c r="N942" s="21">
        <v>0.83160000000000001</v>
      </c>
      <c r="O942" s="21">
        <v>0.68100000000000005</v>
      </c>
      <c r="P942" s="21">
        <v>3321</v>
      </c>
      <c r="Q942" s="21">
        <v>0.75700000000000001</v>
      </c>
      <c r="R942" s="21">
        <v>207</v>
      </c>
      <c r="S942" s="21">
        <v>59</v>
      </c>
      <c r="T942" s="21">
        <v>0.08</v>
      </c>
      <c r="U942" s="21">
        <v>0.12089999999999999</v>
      </c>
      <c r="V942" s="21">
        <v>0.97850000000000004</v>
      </c>
      <c r="W942" s="21">
        <v>4128</v>
      </c>
      <c r="X942" s="21">
        <v>2435</v>
      </c>
      <c r="Y942" s="21">
        <v>4802</v>
      </c>
      <c r="Z942" s="21">
        <v>0.2</v>
      </c>
      <c r="AA942" s="21">
        <v>0.5</v>
      </c>
      <c r="AB942" s="21">
        <v>12988</v>
      </c>
      <c r="AC942" s="21">
        <v>12988</v>
      </c>
      <c r="AD942" s="21">
        <v>13140</v>
      </c>
      <c r="AE942" s="21">
        <v>660</v>
      </c>
      <c r="AF942" s="21">
        <v>4.9700000000000001E-2</v>
      </c>
      <c r="AG942" s="21">
        <v>965</v>
      </c>
      <c r="AH942" s="21">
        <v>7.2599999999999998E-2</v>
      </c>
      <c r="AI942" s="21">
        <v>0.32800000000000001</v>
      </c>
      <c r="AJ942" s="21">
        <v>0.8236</v>
      </c>
      <c r="AK942" s="21">
        <v>2857</v>
      </c>
      <c r="AL942" s="21">
        <v>0.21759999999999999</v>
      </c>
      <c r="AM942" s="21">
        <v>1037</v>
      </c>
      <c r="AN942" s="21">
        <v>7.9000000000000001E-2</v>
      </c>
      <c r="AO942" s="21">
        <v>0.60640000000000005</v>
      </c>
      <c r="AP942" s="21">
        <v>272</v>
      </c>
      <c r="AQ942" s="21">
        <v>272</v>
      </c>
      <c r="AR942" s="21">
        <v>122</v>
      </c>
      <c r="AS942" s="21">
        <v>102</v>
      </c>
      <c r="AT942" s="21">
        <v>48</v>
      </c>
      <c r="AU942" s="21">
        <v>1231</v>
      </c>
      <c r="AV942" s="21">
        <v>1354</v>
      </c>
    </row>
    <row r="943" spans="1:48" x14ac:dyDescent="0.15">
      <c r="A943" s="20" t="s">
        <v>52</v>
      </c>
      <c r="B943" s="20" t="s">
        <v>128</v>
      </c>
      <c r="C943" s="21">
        <v>17756</v>
      </c>
      <c r="D943" s="21">
        <v>2992</v>
      </c>
      <c r="E943" s="21">
        <v>11009</v>
      </c>
      <c r="F943" s="21">
        <v>31757</v>
      </c>
      <c r="G943" s="21">
        <v>2031</v>
      </c>
      <c r="H943" s="21">
        <v>6712</v>
      </c>
      <c r="I943" s="21">
        <v>6959</v>
      </c>
      <c r="J943" s="21">
        <v>2772</v>
      </c>
      <c r="K943" s="21">
        <v>13284</v>
      </c>
      <c r="L943" s="21">
        <v>184</v>
      </c>
      <c r="M943" s="21">
        <v>0.83150000000000002</v>
      </c>
      <c r="N943" s="21">
        <v>0.80430000000000001</v>
      </c>
      <c r="O943" s="21">
        <v>0.58150000000000002</v>
      </c>
      <c r="P943" s="21">
        <v>1119</v>
      </c>
      <c r="Q943" s="21">
        <v>0.40479999999999999</v>
      </c>
      <c r="R943" s="21">
        <v>181</v>
      </c>
      <c r="S943" s="21">
        <v>28</v>
      </c>
      <c r="T943" s="21">
        <v>6.7500000000000004E-2</v>
      </c>
      <c r="U943" s="21">
        <v>6.8000000000000005E-2</v>
      </c>
      <c r="V943" s="21">
        <v>0.97929999999999995</v>
      </c>
      <c r="W943" s="21">
        <v>1149</v>
      </c>
      <c r="X943" s="21">
        <v>420</v>
      </c>
      <c r="Y943" s="21">
        <v>263</v>
      </c>
      <c r="Z943" s="21">
        <v>0.8</v>
      </c>
      <c r="AA943" s="21">
        <v>1.6</v>
      </c>
      <c r="AB943" s="21">
        <v>455</v>
      </c>
      <c r="AC943" s="21">
        <v>455</v>
      </c>
      <c r="AD943" s="21">
        <v>494</v>
      </c>
      <c r="AE943" s="21">
        <v>16</v>
      </c>
      <c r="AF943" s="21">
        <v>0.03</v>
      </c>
      <c r="AG943" s="21">
        <v>95</v>
      </c>
      <c r="AH943" s="21">
        <v>0.1779</v>
      </c>
      <c r="AI943" s="21">
        <v>0</v>
      </c>
      <c r="AJ943" s="21">
        <v>1</v>
      </c>
      <c r="AK943" s="21">
        <v>84</v>
      </c>
      <c r="AL943" s="21">
        <v>0.1699</v>
      </c>
      <c r="AM943" s="21">
        <v>66</v>
      </c>
      <c r="AN943" s="21">
        <v>0.13350000000000001</v>
      </c>
      <c r="AO943" s="21">
        <v>0.83399999999999996</v>
      </c>
      <c r="AP943" s="21">
        <v>66</v>
      </c>
      <c r="AQ943" s="21">
        <v>66</v>
      </c>
      <c r="AR943" s="21">
        <v>65</v>
      </c>
      <c r="AS943" s="21">
        <v>1</v>
      </c>
      <c r="AT943" s="21">
        <v>0</v>
      </c>
      <c r="AU943" s="21">
        <v>44</v>
      </c>
      <c r="AV943" s="21">
        <v>409</v>
      </c>
    </row>
    <row r="944" spans="1:48" x14ac:dyDescent="0.15">
      <c r="A944" s="20" t="s">
        <v>53</v>
      </c>
      <c r="B944" s="20" t="s">
        <v>128</v>
      </c>
      <c r="C944" s="21">
        <v>4756</v>
      </c>
      <c r="D944" s="21">
        <v>10818</v>
      </c>
      <c r="E944" s="21">
        <v>58706</v>
      </c>
      <c r="F944" s="21">
        <v>74280</v>
      </c>
      <c r="H944" s="21">
        <v>1047</v>
      </c>
      <c r="I944" s="21">
        <v>1929</v>
      </c>
      <c r="J944" s="21">
        <v>9989</v>
      </c>
      <c r="K944" s="21">
        <v>61315</v>
      </c>
      <c r="L944" s="21">
        <v>150</v>
      </c>
      <c r="M944" s="21">
        <v>0.96970000000000001</v>
      </c>
      <c r="N944" s="21">
        <v>0.4909</v>
      </c>
      <c r="O944" s="21">
        <v>0.88480000000000003</v>
      </c>
      <c r="P944" s="21">
        <v>2687</v>
      </c>
      <c r="Q944" s="21">
        <v>0.57799999999999996</v>
      </c>
      <c r="R944" s="21">
        <v>504</v>
      </c>
      <c r="S944" s="21">
        <v>28</v>
      </c>
      <c r="T944" s="21">
        <v>7.7399999999999997E-2</v>
      </c>
      <c r="U944" s="21">
        <v>7.5499999999999998E-2</v>
      </c>
      <c r="W944" s="21">
        <v>1390</v>
      </c>
      <c r="X944" s="21">
        <v>1309</v>
      </c>
      <c r="Y944" s="21">
        <v>1675</v>
      </c>
      <c r="Z944" s="21">
        <v>0.2</v>
      </c>
      <c r="AA944" s="21">
        <v>0.8</v>
      </c>
      <c r="AB944" s="21">
        <v>5153</v>
      </c>
      <c r="AC944" s="21">
        <v>5153</v>
      </c>
      <c r="AD944" s="21">
        <v>5311</v>
      </c>
      <c r="AE944" s="21">
        <v>275</v>
      </c>
      <c r="AF944" s="21">
        <v>5.0299999999999997E-2</v>
      </c>
      <c r="AG944" s="21">
        <v>591</v>
      </c>
      <c r="AH944" s="21">
        <v>0.1081</v>
      </c>
      <c r="AI944" s="21">
        <v>0.4204</v>
      </c>
      <c r="AJ944" s="21">
        <v>0.71899999999999997</v>
      </c>
      <c r="AK944" s="21">
        <v>965</v>
      </c>
      <c r="AL944" s="21">
        <v>0.1817</v>
      </c>
      <c r="AM944" s="21">
        <v>556</v>
      </c>
      <c r="AN944" s="21">
        <v>0.1047</v>
      </c>
      <c r="AO944" s="21">
        <v>0.47</v>
      </c>
      <c r="AP944" s="21">
        <v>177</v>
      </c>
      <c r="AQ944" s="21">
        <v>177</v>
      </c>
      <c r="AR944" s="21">
        <v>73</v>
      </c>
      <c r="AS944" s="21">
        <v>3</v>
      </c>
      <c r="AT944" s="21">
        <v>101</v>
      </c>
      <c r="AU944" s="21">
        <v>99</v>
      </c>
      <c r="AV944" s="21">
        <v>163</v>
      </c>
    </row>
    <row r="945" spans="1:48" x14ac:dyDescent="0.15">
      <c r="A945" s="20" t="s">
        <v>0</v>
      </c>
      <c r="B945" s="20" t="s">
        <v>128</v>
      </c>
      <c r="C945" s="21">
        <v>363082</v>
      </c>
      <c r="D945" s="21">
        <v>94964</v>
      </c>
      <c r="E945" s="21">
        <v>408175</v>
      </c>
      <c r="F945" s="21">
        <v>866222</v>
      </c>
      <c r="G945" s="21">
        <v>40991</v>
      </c>
      <c r="H945" s="21">
        <v>136687</v>
      </c>
      <c r="I945" s="21">
        <v>65578</v>
      </c>
      <c r="J945" s="21">
        <v>66372</v>
      </c>
      <c r="K945" s="21">
        <v>544335</v>
      </c>
      <c r="L945" s="21">
        <v>2995</v>
      </c>
      <c r="M945" s="21">
        <v>0.87529999999999997</v>
      </c>
      <c r="N945" s="21">
        <v>0.81030000000000002</v>
      </c>
      <c r="O945" s="21">
        <v>0.72330000000000005</v>
      </c>
      <c r="P945" s="21">
        <v>19537</v>
      </c>
      <c r="Q945" s="21">
        <v>0.621</v>
      </c>
      <c r="R945" s="21">
        <v>292</v>
      </c>
      <c r="S945" s="21">
        <v>44</v>
      </c>
      <c r="T945" s="21">
        <v>7.9799999999999996E-2</v>
      </c>
      <c r="U945" s="21">
        <v>7.0900000000000005E-2</v>
      </c>
      <c r="V945" s="21">
        <v>0.97819999999999996</v>
      </c>
      <c r="W945" s="21">
        <v>12809</v>
      </c>
      <c r="X945" s="21">
        <v>7642</v>
      </c>
      <c r="Y945" s="21">
        <v>11404</v>
      </c>
      <c r="Z945" s="21">
        <v>0.3</v>
      </c>
      <c r="AA945" s="21">
        <v>0.7</v>
      </c>
      <c r="AB945" s="21">
        <v>28034</v>
      </c>
      <c r="AC945" s="21">
        <v>28034</v>
      </c>
      <c r="AD945" s="21">
        <v>29117</v>
      </c>
      <c r="AE945" s="21">
        <v>1475</v>
      </c>
      <c r="AF945" s="21">
        <v>4.8800000000000003E-2</v>
      </c>
      <c r="AG945" s="21">
        <v>3641</v>
      </c>
      <c r="AH945" s="21">
        <v>0.1206</v>
      </c>
      <c r="AI945" s="21">
        <v>0.32019999999999998</v>
      </c>
      <c r="AJ945" s="21">
        <v>0.76970000000000005</v>
      </c>
      <c r="AK945" s="21">
        <v>6141</v>
      </c>
      <c r="AL945" s="21">
        <v>0.2114</v>
      </c>
      <c r="AM945" s="21">
        <v>2803</v>
      </c>
      <c r="AN945" s="21">
        <v>9.6500000000000002E-2</v>
      </c>
      <c r="AO945" s="21">
        <v>0.53900000000000003</v>
      </c>
      <c r="AP945" s="21">
        <v>3474</v>
      </c>
      <c r="AQ945" s="21">
        <v>3305</v>
      </c>
      <c r="AR945" s="21">
        <v>2507</v>
      </c>
      <c r="AS945" s="21">
        <v>247</v>
      </c>
      <c r="AT945" s="21">
        <v>551</v>
      </c>
      <c r="AU945" s="21">
        <v>5405</v>
      </c>
      <c r="AV945" s="21">
        <v>4796</v>
      </c>
    </row>
    <row r="946" spans="1:48" x14ac:dyDescent="0.15">
      <c r="A946" s="20" t="s">
        <v>54</v>
      </c>
      <c r="B946" s="20" t="s">
        <v>128</v>
      </c>
      <c r="C946" s="21">
        <v>47216</v>
      </c>
      <c r="D946" s="21">
        <v>9919</v>
      </c>
      <c r="E946" s="21">
        <v>100676</v>
      </c>
      <c r="F946" s="21">
        <v>157811</v>
      </c>
      <c r="G946" s="21">
        <v>4226</v>
      </c>
      <c r="H946" s="21">
        <v>10407</v>
      </c>
      <c r="I946" s="21">
        <v>3912</v>
      </c>
      <c r="J946" s="21">
        <v>9752</v>
      </c>
      <c r="K946" s="21">
        <v>129064</v>
      </c>
      <c r="L946" s="21">
        <v>260</v>
      </c>
      <c r="M946" s="21">
        <v>0.98119999999999996</v>
      </c>
      <c r="N946" s="21">
        <v>0.98119999999999996</v>
      </c>
      <c r="O946" s="21">
        <v>0.84960000000000002</v>
      </c>
      <c r="P946" s="21">
        <v>2345</v>
      </c>
      <c r="Q946" s="21">
        <v>1.0264</v>
      </c>
      <c r="R946" s="21">
        <v>623</v>
      </c>
      <c r="S946" s="21">
        <v>67</v>
      </c>
      <c r="T946" s="21">
        <v>7.0900000000000005E-2</v>
      </c>
      <c r="U946" s="21">
        <v>3.0200000000000001E-2</v>
      </c>
      <c r="W946" s="21">
        <v>503</v>
      </c>
      <c r="X946" s="21">
        <v>325</v>
      </c>
      <c r="Y946" s="21">
        <v>474</v>
      </c>
      <c r="Z946" s="21">
        <v>0.3</v>
      </c>
      <c r="AA946" s="21">
        <v>0.7</v>
      </c>
      <c r="AB946" s="21">
        <v>909</v>
      </c>
      <c r="AC946" s="21">
        <v>909</v>
      </c>
      <c r="AD946" s="21">
        <v>994</v>
      </c>
      <c r="AE946" s="21">
        <v>66</v>
      </c>
      <c r="AF946" s="21">
        <v>6.1100000000000002E-2</v>
      </c>
      <c r="AG946" s="21">
        <v>237</v>
      </c>
      <c r="AH946" s="21">
        <v>0.21940000000000001</v>
      </c>
      <c r="AI946" s="21">
        <v>0.24490000000000001</v>
      </c>
      <c r="AJ946" s="21">
        <v>0.82220000000000004</v>
      </c>
      <c r="AK946" s="21">
        <v>247</v>
      </c>
      <c r="AL946" s="21">
        <v>0.24840000000000001</v>
      </c>
      <c r="AM946" s="21">
        <v>123</v>
      </c>
      <c r="AN946" s="21">
        <v>0.1237</v>
      </c>
      <c r="AO946" s="21">
        <v>0.62450000000000006</v>
      </c>
      <c r="AP946" s="21">
        <v>297</v>
      </c>
      <c r="AQ946" s="21">
        <v>297</v>
      </c>
      <c r="AR946" s="21">
        <v>258</v>
      </c>
      <c r="AS946" s="21">
        <v>-1</v>
      </c>
      <c r="AT946" s="21">
        <v>40</v>
      </c>
      <c r="AU946" s="21">
        <v>1018</v>
      </c>
      <c r="AV946" s="21">
        <v>86</v>
      </c>
    </row>
    <row r="947" spans="1:48" x14ac:dyDescent="0.15">
      <c r="A947" s="20" t="s">
        <v>55</v>
      </c>
      <c r="B947" s="20" t="s">
        <v>128</v>
      </c>
      <c r="C947" s="21">
        <v>4585</v>
      </c>
      <c r="D947" s="21">
        <v>2704</v>
      </c>
      <c r="E947" s="21">
        <v>17900</v>
      </c>
      <c r="F947" s="21">
        <v>25188</v>
      </c>
      <c r="G947" s="21">
        <v>313</v>
      </c>
      <c r="H947" s="21">
        <v>6342</v>
      </c>
      <c r="I947" s="21">
        <v>1166</v>
      </c>
      <c r="J947" s="21">
        <v>102</v>
      </c>
      <c r="K947" s="21">
        <v>17265</v>
      </c>
      <c r="L947" s="21">
        <v>78</v>
      </c>
      <c r="M947" s="21">
        <v>0.92589999999999995</v>
      </c>
      <c r="N947" s="21">
        <v>0.92589999999999995</v>
      </c>
      <c r="O947" s="21">
        <v>0.81479999999999997</v>
      </c>
      <c r="P947" s="21">
        <v>1205</v>
      </c>
      <c r="Q947" s="21">
        <v>0.35930000000000001</v>
      </c>
      <c r="R947" s="21">
        <v>323</v>
      </c>
      <c r="S947" s="21">
        <v>21</v>
      </c>
      <c r="T947" s="21">
        <v>0.14940000000000001</v>
      </c>
      <c r="U947" s="21">
        <v>8.6E-3</v>
      </c>
      <c r="W947" s="21">
        <v>128</v>
      </c>
      <c r="X947" s="21">
        <v>107</v>
      </c>
      <c r="Y947" s="21">
        <v>238</v>
      </c>
      <c r="Z947" s="21">
        <v>0.2</v>
      </c>
      <c r="AA947" s="21">
        <v>0.4</v>
      </c>
      <c r="AB947" s="21">
        <v>583</v>
      </c>
      <c r="AC947" s="21">
        <v>583</v>
      </c>
      <c r="AD947" s="21">
        <v>600</v>
      </c>
      <c r="AE947" s="21">
        <v>14</v>
      </c>
      <c r="AF947" s="21">
        <v>2.2700000000000001E-2</v>
      </c>
      <c r="AG947" s="21">
        <v>49</v>
      </c>
      <c r="AH947" s="21">
        <v>7.9299999999999995E-2</v>
      </c>
      <c r="AI947" s="21">
        <v>0.2273</v>
      </c>
      <c r="AJ947" s="21">
        <v>0.746</v>
      </c>
      <c r="AK947" s="21">
        <v>112</v>
      </c>
      <c r="AL947" s="21">
        <v>0.1865</v>
      </c>
      <c r="AM947" s="21">
        <v>33</v>
      </c>
      <c r="AN947" s="21">
        <v>5.5E-2</v>
      </c>
      <c r="AP947" s="21">
        <v>492</v>
      </c>
      <c r="AQ947" s="21">
        <v>492</v>
      </c>
      <c r="AR947" s="21">
        <v>470</v>
      </c>
      <c r="AS947" s="21">
        <v>0</v>
      </c>
      <c r="AT947" s="21">
        <v>23</v>
      </c>
      <c r="AU947" s="21">
        <v>69</v>
      </c>
      <c r="AV947" s="21">
        <v>0</v>
      </c>
    </row>
    <row r="948" spans="1:48" x14ac:dyDescent="0.15">
      <c r="A948" s="20" t="s">
        <v>56</v>
      </c>
      <c r="B948" s="20" t="s">
        <v>128</v>
      </c>
      <c r="C948" s="21">
        <v>4058</v>
      </c>
      <c r="D948" s="21">
        <v>2663</v>
      </c>
      <c r="E948" s="21">
        <v>33078</v>
      </c>
      <c r="F948" s="21">
        <v>39798</v>
      </c>
      <c r="G948" s="21">
        <v>0</v>
      </c>
      <c r="H948" s="21">
        <v>3445</v>
      </c>
      <c r="I948" s="21">
        <v>1</v>
      </c>
      <c r="J948" s="21">
        <v>2498</v>
      </c>
      <c r="K948" s="21">
        <v>33855</v>
      </c>
      <c r="L948" s="21">
        <v>104</v>
      </c>
      <c r="M948" s="21">
        <v>0.8962</v>
      </c>
      <c r="N948" s="21">
        <v>0.87739999999999996</v>
      </c>
      <c r="O948" s="21">
        <v>0.55659999999999998</v>
      </c>
      <c r="P948" s="21">
        <v>2049</v>
      </c>
      <c r="Q948" s="21">
        <v>0.22889999999999999</v>
      </c>
      <c r="R948" s="21">
        <v>383</v>
      </c>
      <c r="S948" s="21">
        <v>19</v>
      </c>
      <c r="T948" s="21">
        <v>4.3999999999999997E-2</v>
      </c>
      <c r="U948" s="21">
        <v>3.0700000000000002E-2</v>
      </c>
      <c r="W948" s="21">
        <v>697</v>
      </c>
      <c r="X948" s="21">
        <v>254</v>
      </c>
      <c r="Y948" s="21">
        <v>125</v>
      </c>
      <c r="Z948" s="21">
        <v>1.7</v>
      </c>
      <c r="AA948" s="21">
        <v>2</v>
      </c>
      <c r="AB948" s="21">
        <v>142</v>
      </c>
      <c r="AC948" s="21">
        <v>142</v>
      </c>
      <c r="AD948" s="21">
        <v>146</v>
      </c>
      <c r="AE948" s="21">
        <v>13</v>
      </c>
      <c r="AF948" s="21">
        <v>8.72E-2</v>
      </c>
      <c r="AG948" s="21">
        <v>20</v>
      </c>
      <c r="AH948" s="21">
        <v>0.13420000000000001</v>
      </c>
      <c r="AI948" s="21">
        <v>0.5</v>
      </c>
      <c r="AJ948" s="21">
        <v>0.6</v>
      </c>
      <c r="AK948" s="21">
        <v>41</v>
      </c>
      <c r="AL948" s="21">
        <v>0.28179999999999999</v>
      </c>
      <c r="AM948" s="21">
        <v>30</v>
      </c>
      <c r="AN948" s="21">
        <v>0.20619999999999999</v>
      </c>
      <c r="AO948" s="21">
        <v>0.66839999999999999</v>
      </c>
      <c r="AP948" s="21">
        <v>665</v>
      </c>
      <c r="AQ948" s="21">
        <v>665</v>
      </c>
      <c r="AR948" s="21">
        <v>641</v>
      </c>
      <c r="AS948" s="21">
        <v>25</v>
      </c>
      <c r="AT948" s="21">
        <v>0</v>
      </c>
      <c r="AU948" s="21">
        <v>410</v>
      </c>
      <c r="AV948" s="21">
        <v>127</v>
      </c>
    </row>
    <row r="949" spans="1:48" x14ac:dyDescent="0.15">
      <c r="A949" s="20" t="s">
        <v>57</v>
      </c>
      <c r="B949" s="20" t="s">
        <v>128</v>
      </c>
      <c r="C949" s="21">
        <v>26307</v>
      </c>
      <c r="D949" s="21">
        <v>9162</v>
      </c>
      <c r="E949" s="21">
        <v>1175</v>
      </c>
      <c r="F949" s="21">
        <v>36643</v>
      </c>
      <c r="G949" s="21">
        <v>7024</v>
      </c>
      <c r="H949" s="21">
        <v>6673</v>
      </c>
      <c r="I949" s="21">
        <v>6683</v>
      </c>
      <c r="J949" s="21">
        <v>6808</v>
      </c>
      <c r="K949" s="21">
        <v>9455</v>
      </c>
      <c r="L949" s="21">
        <v>242</v>
      </c>
      <c r="M949" s="21">
        <v>0.79749999999999999</v>
      </c>
      <c r="N949" s="21">
        <v>0.57440000000000002</v>
      </c>
      <c r="O949" s="21">
        <v>0.62809999999999999</v>
      </c>
      <c r="P949" s="21">
        <v>691</v>
      </c>
      <c r="Q949" s="21">
        <v>0.48909999999999998</v>
      </c>
      <c r="R949" s="21">
        <v>147</v>
      </c>
      <c r="S949" s="21">
        <v>53</v>
      </c>
      <c r="T949" s="21">
        <v>5.5899999999999998E-2</v>
      </c>
      <c r="U949" s="21">
        <v>4.53E-2</v>
      </c>
      <c r="V949" s="21">
        <v>0.95240000000000002</v>
      </c>
      <c r="W949" s="21">
        <v>469</v>
      </c>
      <c r="X949" s="21">
        <v>592</v>
      </c>
      <c r="Y949" s="21">
        <v>493</v>
      </c>
      <c r="Z949" s="21">
        <v>0.4</v>
      </c>
      <c r="AA949" s="21">
        <v>1.2</v>
      </c>
      <c r="AB949" s="21">
        <v>1592</v>
      </c>
      <c r="AC949" s="21">
        <v>1592</v>
      </c>
      <c r="AD949" s="21">
        <v>1683</v>
      </c>
      <c r="AE949" s="21">
        <v>125</v>
      </c>
      <c r="AF949" s="21">
        <v>7.0499999999999993E-2</v>
      </c>
      <c r="AG949" s="21">
        <v>307</v>
      </c>
      <c r="AH949" s="21">
        <v>0.1731</v>
      </c>
      <c r="AI949" s="21">
        <v>0.125</v>
      </c>
      <c r="AJ949" s="21">
        <v>0.71530000000000005</v>
      </c>
      <c r="AK949" s="21">
        <v>281</v>
      </c>
      <c r="AL949" s="21">
        <v>0.16700000000000001</v>
      </c>
      <c r="AM949" s="21">
        <v>175</v>
      </c>
      <c r="AN949" s="21">
        <v>0.104</v>
      </c>
      <c r="AO949" s="21">
        <v>0.27410000000000001</v>
      </c>
      <c r="AP949" s="21">
        <v>568</v>
      </c>
      <c r="AQ949" s="21">
        <v>399</v>
      </c>
      <c r="AR949" s="21">
        <v>40</v>
      </c>
      <c r="AS949" s="21">
        <v>40</v>
      </c>
      <c r="AT949" s="21">
        <v>319</v>
      </c>
      <c r="AU949" s="21">
        <v>984</v>
      </c>
      <c r="AV949" s="21">
        <v>534</v>
      </c>
    </row>
    <row r="950" spans="1:48" x14ac:dyDescent="0.15">
      <c r="A950" s="20" t="s">
        <v>58</v>
      </c>
      <c r="B950" s="20" t="s">
        <v>128</v>
      </c>
      <c r="C950" s="21">
        <v>72332</v>
      </c>
      <c r="D950" s="21">
        <v>11075</v>
      </c>
      <c r="E950" s="21">
        <v>45448</v>
      </c>
      <c r="F950" s="21">
        <v>128856</v>
      </c>
      <c r="G950" s="21">
        <v>12291</v>
      </c>
      <c r="H950" s="21">
        <v>30558</v>
      </c>
      <c r="J950" s="21">
        <v>8053</v>
      </c>
      <c r="K950" s="21">
        <v>77955</v>
      </c>
      <c r="L950" s="21">
        <v>393</v>
      </c>
      <c r="M950" s="21">
        <v>0.8972</v>
      </c>
      <c r="N950" s="21">
        <v>0.87719999999999998</v>
      </c>
      <c r="O950" s="21">
        <v>0.81200000000000006</v>
      </c>
      <c r="P950" s="21">
        <v>2773</v>
      </c>
      <c r="Q950" s="21">
        <v>0.82010000000000005</v>
      </c>
      <c r="R950" s="21">
        <v>338</v>
      </c>
      <c r="S950" s="21">
        <v>46</v>
      </c>
      <c r="T950" s="21">
        <v>0.11169999999999999</v>
      </c>
      <c r="U950" s="21">
        <v>9.7699999999999995E-2</v>
      </c>
      <c r="V950" s="21">
        <v>0.97729999999999995</v>
      </c>
      <c r="W950" s="21">
        <v>3003</v>
      </c>
      <c r="X950" s="21">
        <v>1298</v>
      </c>
      <c r="Y950" s="21">
        <v>1988</v>
      </c>
      <c r="Z950" s="21">
        <v>0.3</v>
      </c>
      <c r="AA950" s="21">
        <v>0.7</v>
      </c>
      <c r="AB950" s="21">
        <v>3696</v>
      </c>
      <c r="AC950" s="21">
        <v>3696</v>
      </c>
      <c r="AD950" s="21">
        <v>3817</v>
      </c>
      <c r="AE950" s="21">
        <v>174</v>
      </c>
      <c r="AF950" s="21">
        <v>4.4200000000000003E-2</v>
      </c>
      <c r="AG950" s="21">
        <v>416</v>
      </c>
      <c r="AH950" s="21">
        <v>0.1056</v>
      </c>
      <c r="AI950" s="21">
        <v>0.2457</v>
      </c>
      <c r="AJ950" s="21">
        <v>0.8397</v>
      </c>
      <c r="AK950" s="21">
        <v>865</v>
      </c>
      <c r="AL950" s="21">
        <v>0.2266</v>
      </c>
      <c r="AM950" s="21">
        <v>470</v>
      </c>
      <c r="AN950" s="21">
        <v>0.1231</v>
      </c>
      <c r="AO950" s="21">
        <v>0.38600000000000001</v>
      </c>
      <c r="AP950" s="21">
        <v>194</v>
      </c>
      <c r="AQ950" s="21">
        <v>194</v>
      </c>
      <c r="AR950" s="21">
        <v>127</v>
      </c>
      <c r="AS950" s="21">
        <v>67</v>
      </c>
      <c r="AT950" s="21">
        <v>0</v>
      </c>
      <c r="AU950" s="21">
        <v>610</v>
      </c>
      <c r="AV950" s="21">
        <v>689</v>
      </c>
    </row>
    <row r="951" spans="1:48" x14ac:dyDescent="0.15">
      <c r="A951" s="20" t="s">
        <v>59</v>
      </c>
      <c r="B951" s="20" t="s">
        <v>128</v>
      </c>
      <c r="C951" s="21">
        <v>10811</v>
      </c>
      <c r="D951" s="21">
        <v>5974</v>
      </c>
      <c r="E951" s="21">
        <v>22668</v>
      </c>
      <c r="F951" s="21">
        <v>39452</v>
      </c>
      <c r="G951" s="21">
        <v>2120</v>
      </c>
      <c r="H951" s="21">
        <v>2541</v>
      </c>
      <c r="I951" s="21">
        <v>1697</v>
      </c>
      <c r="J951" s="21">
        <v>2511</v>
      </c>
      <c r="K951" s="21">
        <v>30583</v>
      </c>
      <c r="L951" s="21">
        <v>86</v>
      </c>
      <c r="M951" s="21">
        <v>0.87360000000000004</v>
      </c>
      <c r="N951" s="21">
        <v>0.83909999999999996</v>
      </c>
      <c r="O951" s="21">
        <v>0.77010000000000001</v>
      </c>
      <c r="P951" s="21">
        <v>1151</v>
      </c>
      <c r="Q951" s="21">
        <v>0.37790000000000001</v>
      </c>
      <c r="R951" s="21">
        <v>470</v>
      </c>
      <c r="S951" s="21">
        <v>34</v>
      </c>
      <c r="T951" s="21">
        <v>5.04E-2</v>
      </c>
      <c r="U951" s="21">
        <v>0.15279999999999999</v>
      </c>
      <c r="V951" s="21">
        <v>0.5</v>
      </c>
      <c r="W951" s="21">
        <v>205</v>
      </c>
      <c r="X951" s="21">
        <v>150</v>
      </c>
      <c r="Y951" s="21">
        <v>253</v>
      </c>
      <c r="Z951" s="21">
        <v>0.6</v>
      </c>
      <c r="AA951" s="21">
        <v>0.6</v>
      </c>
      <c r="AB951" s="21">
        <v>195</v>
      </c>
      <c r="AC951" s="21">
        <v>195</v>
      </c>
      <c r="AD951" s="21">
        <v>246</v>
      </c>
      <c r="AE951" s="21">
        <v>30</v>
      </c>
      <c r="AF951" s="21">
        <v>0.1014</v>
      </c>
      <c r="AG951" s="21">
        <v>131</v>
      </c>
      <c r="AH951" s="21">
        <v>0.44259999999999999</v>
      </c>
      <c r="AI951" s="21">
        <v>0</v>
      </c>
      <c r="AJ951" s="21">
        <v>0</v>
      </c>
      <c r="AK951" s="21">
        <v>90</v>
      </c>
      <c r="AL951" s="21">
        <v>0.36659999999999998</v>
      </c>
      <c r="AM951" s="21">
        <v>60</v>
      </c>
      <c r="AN951" s="21">
        <v>0.24440000000000001</v>
      </c>
      <c r="AO951" s="21">
        <v>0.74229999999999996</v>
      </c>
      <c r="AP951" s="21">
        <v>14</v>
      </c>
      <c r="AQ951" s="21">
        <v>14</v>
      </c>
      <c r="AR951" s="21">
        <v>11</v>
      </c>
      <c r="AS951" s="21">
        <v>3</v>
      </c>
      <c r="AT951" s="21">
        <v>0</v>
      </c>
      <c r="AU951" s="21">
        <v>229</v>
      </c>
      <c r="AV951" s="21">
        <v>11</v>
      </c>
    </row>
    <row r="952" spans="1:48" x14ac:dyDescent="0.15">
      <c r="A952" s="20" t="s">
        <v>60</v>
      </c>
      <c r="B952" s="20" t="s">
        <v>128</v>
      </c>
      <c r="C952" s="21">
        <v>15276</v>
      </c>
      <c r="D952" s="21">
        <v>6395</v>
      </c>
      <c r="E952" s="21">
        <v>11509</v>
      </c>
      <c r="F952" s="21">
        <v>33179</v>
      </c>
      <c r="G952" s="21">
        <v>1092</v>
      </c>
      <c r="H952" s="21">
        <v>9643</v>
      </c>
      <c r="I952" s="21">
        <v>13426</v>
      </c>
      <c r="J952" s="21">
        <v>3982</v>
      </c>
      <c r="K952" s="21">
        <v>5035</v>
      </c>
      <c r="L952" s="21">
        <v>128</v>
      </c>
      <c r="M952" s="21">
        <v>0.83589999999999998</v>
      </c>
      <c r="N952" s="21">
        <v>0.75780000000000003</v>
      </c>
      <c r="O952" s="21">
        <v>0.78120000000000001</v>
      </c>
      <c r="P952" s="21">
        <v>314</v>
      </c>
      <c r="Q952" s="21">
        <v>0.77070000000000005</v>
      </c>
      <c r="R952" s="21">
        <v>261</v>
      </c>
      <c r="S952" s="21">
        <v>106</v>
      </c>
      <c r="T952" s="21">
        <v>7.2900000000000006E-2</v>
      </c>
      <c r="U952" s="21">
        <v>6.8400000000000002E-2</v>
      </c>
      <c r="V952" s="21">
        <v>0.97170000000000001</v>
      </c>
      <c r="W952" s="21">
        <v>481</v>
      </c>
      <c r="X952" s="21">
        <v>361</v>
      </c>
      <c r="Y952" s="21">
        <v>537</v>
      </c>
      <c r="Z952" s="21">
        <v>0.3</v>
      </c>
      <c r="AA952" s="21">
        <v>0.7</v>
      </c>
      <c r="AB952" s="21">
        <v>1205</v>
      </c>
      <c r="AC952" s="21">
        <v>1205</v>
      </c>
      <c r="AD952" s="21">
        <v>1358</v>
      </c>
      <c r="AE952" s="21">
        <v>67</v>
      </c>
      <c r="AF952" s="21">
        <v>4.4299999999999999E-2</v>
      </c>
      <c r="AG952" s="21">
        <v>373</v>
      </c>
      <c r="AH952" s="21">
        <v>0.24690000000000001</v>
      </c>
      <c r="AI952" s="21">
        <v>0.29409999999999997</v>
      </c>
      <c r="AJ952" s="21">
        <v>0.48209999999999997</v>
      </c>
      <c r="AK952" s="21">
        <v>296</v>
      </c>
      <c r="AL952" s="21">
        <v>0.22889999999999999</v>
      </c>
      <c r="AM952" s="21">
        <v>148</v>
      </c>
      <c r="AN952" s="21">
        <v>0.1145</v>
      </c>
      <c r="AO952" s="21">
        <v>0.48449999999999999</v>
      </c>
      <c r="AP952" s="21">
        <v>47</v>
      </c>
      <c r="AQ952" s="21">
        <v>47</v>
      </c>
      <c r="AR952" s="21">
        <v>30</v>
      </c>
      <c r="AS952" s="21">
        <v>1</v>
      </c>
      <c r="AT952" s="21">
        <v>15</v>
      </c>
      <c r="AU952" s="21">
        <v>198</v>
      </c>
      <c r="AV952" s="21">
        <v>813</v>
      </c>
    </row>
    <row r="953" spans="1:48" x14ac:dyDescent="0.15">
      <c r="A953" s="20" t="s">
        <v>61</v>
      </c>
      <c r="B953" s="20" t="s">
        <v>128</v>
      </c>
      <c r="C953" s="21">
        <v>9373</v>
      </c>
      <c r="D953" s="21">
        <v>3548</v>
      </c>
      <c r="E953" s="21">
        <v>5987</v>
      </c>
      <c r="F953" s="21">
        <v>18908</v>
      </c>
      <c r="G953" s="21">
        <v>2209</v>
      </c>
      <c r="H953" s="21">
        <v>4230</v>
      </c>
      <c r="I953" s="21">
        <v>2539</v>
      </c>
      <c r="J953" s="21">
        <v>1690</v>
      </c>
      <c r="K953" s="21">
        <v>8240</v>
      </c>
      <c r="L953" s="21">
        <v>81</v>
      </c>
      <c r="M953" s="21">
        <v>0.87649999999999995</v>
      </c>
      <c r="N953" s="21">
        <v>0.83950000000000002</v>
      </c>
      <c r="O953" s="21">
        <v>0.79010000000000002</v>
      </c>
      <c r="P953" s="21">
        <v>227</v>
      </c>
      <c r="Q953" s="21">
        <v>0.6784</v>
      </c>
      <c r="R953" s="21">
        <v>236</v>
      </c>
      <c r="S953" s="21">
        <v>83</v>
      </c>
      <c r="T953" s="21">
        <v>8.6199999999999999E-2</v>
      </c>
      <c r="U953" s="21">
        <v>5.6000000000000001E-2</v>
      </c>
      <c r="V953" s="21">
        <v>0.93149999999999999</v>
      </c>
      <c r="W953" s="21">
        <v>212</v>
      </c>
      <c r="X953" s="21">
        <v>145</v>
      </c>
      <c r="Y953" s="21">
        <v>190</v>
      </c>
      <c r="Z953" s="21">
        <v>0.4</v>
      </c>
      <c r="AA953" s="21">
        <v>0.8</v>
      </c>
      <c r="AB953" s="21">
        <v>345</v>
      </c>
      <c r="AC953" s="21">
        <v>345</v>
      </c>
      <c r="AD953" s="21">
        <v>384</v>
      </c>
      <c r="AE953" s="21">
        <v>11</v>
      </c>
      <c r="AF953" s="21">
        <v>2.5999999999999999E-2</v>
      </c>
      <c r="AG953" s="21">
        <v>89</v>
      </c>
      <c r="AH953" s="21">
        <v>0.2104</v>
      </c>
      <c r="AI953" s="21">
        <v>0.35289999999999999</v>
      </c>
      <c r="AJ953" s="21">
        <v>0.5</v>
      </c>
      <c r="AK953" s="21">
        <v>102</v>
      </c>
      <c r="AL953" s="21">
        <v>0.2656</v>
      </c>
      <c r="AM953" s="21">
        <v>41</v>
      </c>
      <c r="AN953" s="21">
        <v>0.10680000000000001</v>
      </c>
      <c r="AO953" s="21">
        <v>0.39829999999999999</v>
      </c>
      <c r="AP953" s="21">
        <v>9</v>
      </c>
      <c r="AQ953" s="21">
        <v>9</v>
      </c>
      <c r="AR953" s="21">
        <v>6</v>
      </c>
      <c r="AS953" s="21">
        <v>2</v>
      </c>
      <c r="AT953" s="21">
        <v>2</v>
      </c>
      <c r="AU953" s="21">
        <v>5</v>
      </c>
      <c r="AV953" s="21">
        <v>103</v>
      </c>
    </row>
    <row r="954" spans="1:48" x14ac:dyDescent="0.15">
      <c r="A954" s="20" t="s">
        <v>48</v>
      </c>
      <c r="B954" s="20" t="s">
        <v>129</v>
      </c>
      <c r="C954" s="21">
        <v>11487</v>
      </c>
      <c r="D954" s="21">
        <v>2857</v>
      </c>
      <c r="E954" s="21">
        <v>10019</v>
      </c>
      <c r="F954" s="21">
        <v>24364</v>
      </c>
      <c r="G954" s="21">
        <v>780</v>
      </c>
      <c r="H954" s="21">
        <v>2323</v>
      </c>
      <c r="I954" s="21">
        <v>1511</v>
      </c>
      <c r="J954" s="21">
        <v>1664</v>
      </c>
      <c r="K954" s="21">
        <v>11981</v>
      </c>
      <c r="L954" s="21">
        <v>139</v>
      </c>
      <c r="M954" s="21">
        <v>0.98560000000000003</v>
      </c>
      <c r="N954" s="21">
        <v>0.92090000000000005</v>
      </c>
      <c r="O954" s="21">
        <v>0.64749999999999996</v>
      </c>
      <c r="P954" s="21">
        <v>998</v>
      </c>
      <c r="Q954" s="21">
        <v>0.46789999999999998</v>
      </c>
      <c r="R954" s="21">
        <v>177</v>
      </c>
      <c r="S954" s="21">
        <v>24</v>
      </c>
      <c r="T954" s="21">
        <v>7.8600000000000003E-2</v>
      </c>
      <c r="U954" s="21">
        <v>5.1700000000000003E-2</v>
      </c>
      <c r="V954" s="21">
        <v>1</v>
      </c>
      <c r="W954" s="21">
        <v>27</v>
      </c>
      <c r="X954" s="21">
        <v>19</v>
      </c>
      <c r="Y954" s="21">
        <v>30</v>
      </c>
      <c r="Z954" s="21">
        <v>0</v>
      </c>
      <c r="AA954" s="21">
        <v>0.6</v>
      </c>
      <c r="AB954" s="21">
        <v>398</v>
      </c>
      <c r="AC954" s="21">
        <v>398</v>
      </c>
      <c r="AD954" s="21">
        <v>415</v>
      </c>
      <c r="AE954" s="21">
        <v>0</v>
      </c>
      <c r="AF954" s="21">
        <v>0</v>
      </c>
      <c r="AG954" s="21">
        <v>34</v>
      </c>
      <c r="AH954" s="21">
        <v>7.8700000000000006E-2</v>
      </c>
      <c r="AI954" s="21">
        <v>0.15790000000000001</v>
      </c>
      <c r="AJ954" s="21">
        <v>0.8125</v>
      </c>
      <c r="AK954" s="21">
        <v>21</v>
      </c>
      <c r="AL954" s="21">
        <v>5.0599999999999999E-2</v>
      </c>
      <c r="AM954" s="21">
        <v>11</v>
      </c>
      <c r="AN954" s="21">
        <v>2.6499999999999999E-2</v>
      </c>
      <c r="AO954" s="21">
        <v>0.5232</v>
      </c>
      <c r="AP954" s="21">
        <v>14</v>
      </c>
      <c r="AQ954" s="21">
        <v>14</v>
      </c>
      <c r="AR954" s="21">
        <v>12</v>
      </c>
      <c r="AS954" s="21">
        <v>1</v>
      </c>
      <c r="AT954" s="21">
        <v>1</v>
      </c>
      <c r="AU954" s="21">
        <v>996</v>
      </c>
      <c r="AV954" s="21">
        <v>68</v>
      </c>
    </row>
    <row r="955" spans="1:48" x14ac:dyDescent="0.15">
      <c r="A955" s="20" t="s">
        <v>50</v>
      </c>
      <c r="B955" s="20" t="s">
        <v>129</v>
      </c>
      <c r="C955" s="21">
        <v>16074</v>
      </c>
      <c r="D955" s="21">
        <v>4376</v>
      </c>
      <c r="E955" s="21">
        <v>9884</v>
      </c>
      <c r="F955" s="21">
        <v>30334</v>
      </c>
      <c r="G955" s="21">
        <v>291</v>
      </c>
      <c r="H955" s="21">
        <v>16578</v>
      </c>
      <c r="I955" s="21">
        <v>0</v>
      </c>
      <c r="J955" s="21">
        <v>1779</v>
      </c>
      <c r="K955" s="21">
        <v>7699</v>
      </c>
      <c r="L955" s="21">
        <v>194</v>
      </c>
      <c r="M955" s="21">
        <v>0.92959999999999998</v>
      </c>
      <c r="N955" s="21">
        <v>0.88439999999999996</v>
      </c>
      <c r="O955" s="21">
        <v>0.76380000000000003</v>
      </c>
      <c r="P955" s="21">
        <v>692</v>
      </c>
      <c r="Q955" s="21">
        <v>0.67200000000000004</v>
      </c>
      <c r="R955" s="21">
        <v>155</v>
      </c>
      <c r="S955" s="21">
        <v>44</v>
      </c>
      <c r="T955" s="21">
        <v>7.5499999999999998E-2</v>
      </c>
      <c r="U955" s="21">
        <v>3.3799999999999997E-2</v>
      </c>
      <c r="V955" s="21">
        <v>0.99739999999999995</v>
      </c>
      <c r="W955" s="21">
        <v>39</v>
      </c>
      <c r="X955" s="21">
        <v>27</v>
      </c>
      <c r="Y955" s="21">
        <v>75</v>
      </c>
      <c r="Z955" s="21">
        <v>0.1</v>
      </c>
      <c r="AA955" s="21">
        <v>0.4</v>
      </c>
      <c r="AB955" s="21">
        <v>272</v>
      </c>
      <c r="AC955" s="21">
        <v>272</v>
      </c>
      <c r="AD955" s="21">
        <v>306</v>
      </c>
      <c r="AE955" s="21">
        <v>7</v>
      </c>
      <c r="AF955" s="21">
        <v>2.06E-2</v>
      </c>
      <c r="AG955" s="21">
        <v>74</v>
      </c>
      <c r="AH955" s="21">
        <v>0.21829999999999999</v>
      </c>
      <c r="AI955" s="21">
        <v>0</v>
      </c>
      <c r="AJ955" s="21">
        <v>0.49249999999999999</v>
      </c>
      <c r="AK955" s="21">
        <v>61</v>
      </c>
      <c r="AL955" s="21">
        <v>0.19969999999999999</v>
      </c>
      <c r="AM955" s="21">
        <v>13</v>
      </c>
      <c r="AN955" s="21">
        <v>4.2599999999999999E-2</v>
      </c>
      <c r="AO955" s="21">
        <v>0.30099999999999999</v>
      </c>
      <c r="AP955" s="21">
        <v>11</v>
      </c>
      <c r="AQ955" s="21">
        <v>11</v>
      </c>
      <c r="AR955" s="21">
        <v>7</v>
      </c>
      <c r="AS955" s="21">
        <v>3</v>
      </c>
      <c r="AT955" s="21">
        <v>0</v>
      </c>
      <c r="AU955" s="21">
        <v>1732</v>
      </c>
      <c r="AV955" s="21">
        <v>166</v>
      </c>
    </row>
    <row r="956" spans="1:48" x14ac:dyDescent="0.15">
      <c r="A956" s="20" t="s">
        <v>51</v>
      </c>
      <c r="B956" s="20" t="s">
        <v>129</v>
      </c>
      <c r="C956" s="21">
        <v>77017</v>
      </c>
      <c r="D956" s="21">
        <v>13412</v>
      </c>
      <c r="E956" s="21">
        <v>65186</v>
      </c>
      <c r="F956" s="21">
        <v>155614</v>
      </c>
      <c r="G956" s="21">
        <v>5505</v>
      </c>
      <c r="H956" s="21">
        <v>33169</v>
      </c>
      <c r="I956" s="21">
        <v>12656</v>
      </c>
      <c r="J956" s="21">
        <v>10069</v>
      </c>
      <c r="K956" s="21">
        <v>93833</v>
      </c>
      <c r="L956" s="21">
        <v>928</v>
      </c>
      <c r="M956" s="21">
        <v>0.83160000000000001</v>
      </c>
      <c r="N956" s="21">
        <v>0.80489999999999995</v>
      </c>
      <c r="O956" s="21">
        <v>0.66420000000000001</v>
      </c>
      <c r="P956" s="21">
        <v>3052</v>
      </c>
      <c r="Q956" s="21">
        <v>0.75560000000000005</v>
      </c>
      <c r="R956" s="21">
        <v>167</v>
      </c>
      <c r="S956" s="21">
        <v>51</v>
      </c>
      <c r="T956" s="21">
        <v>7.4800000000000005E-2</v>
      </c>
      <c r="U956" s="21">
        <v>0.1082</v>
      </c>
      <c r="V956" s="21">
        <v>0.92949999999999999</v>
      </c>
      <c r="W956" s="21">
        <v>986</v>
      </c>
      <c r="X956" s="21">
        <v>1156</v>
      </c>
      <c r="Y956" s="21">
        <v>2730</v>
      </c>
      <c r="Z956" s="21">
        <v>0.1</v>
      </c>
      <c r="AA956" s="21">
        <v>0.4</v>
      </c>
      <c r="AB956" s="21">
        <v>11769</v>
      </c>
      <c r="AC956" s="21">
        <v>11769</v>
      </c>
      <c r="AD956" s="21">
        <v>12378</v>
      </c>
      <c r="AE956" s="21">
        <v>149</v>
      </c>
      <c r="AF956" s="21">
        <v>1.15E-2</v>
      </c>
      <c r="AG956" s="21">
        <v>1368</v>
      </c>
      <c r="AH956" s="21">
        <v>0.1053</v>
      </c>
      <c r="AI956" s="21">
        <v>0.1384</v>
      </c>
      <c r="AJ956" s="21">
        <v>0.86670000000000003</v>
      </c>
      <c r="AK956" s="21">
        <v>2195</v>
      </c>
      <c r="AL956" s="21">
        <v>0.1774</v>
      </c>
      <c r="AM956" s="21">
        <v>617</v>
      </c>
      <c r="AN956" s="21">
        <v>4.99E-2</v>
      </c>
      <c r="AO956" s="21">
        <v>0.52580000000000005</v>
      </c>
      <c r="AP956" s="21">
        <v>73</v>
      </c>
      <c r="AQ956" s="21">
        <v>73</v>
      </c>
      <c r="AR956" s="21">
        <v>56</v>
      </c>
      <c r="AS956" s="21">
        <v>8</v>
      </c>
      <c r="AT956" s="21">
        <v>10</v>
      </c>
      <c r="AU956" s="21">
        <v>7447</v>
      </c>
      <c r="AV956" s="21">
        <v>1073</v>
      </c>
    </row>
    <row r="957" spans="1:48" x14ac:dyDescent="0.15">
      <c r="A957" s="20" t="s">
        <v>52</v>
      </c>
      <c r="B957" s="20" t="s">
        <v>129</v>
      </c>
      <c r="C957" s="21">
        <v>11463</v>
      </c>
      <c r="D957" s="21">
        <v>1508</v>
      </c>
      <c r="E957" s="21">
        <v>9292</v>
      </c>
      <c r="F957" s="21">
        <v>22262</v>
      </c>
      <c r="G957" s="21">
        <v>1993</v>
      </c>
      <c r="H957" s="21">
        <v>6324</v>
      </c>
      <c r="I957" s="21">
        <v>3634</v>
      </c>
      <c r="J957" s="21">
        <v>1854</v>
      </c>
      <c r="K957" s="21">
        <v>8458</v>
      </c>
      <c r="L957" s="21">
        <v>186</v>
      </c>
      <c r="M957" s="21">
        <v>0.77249999999999996</v>
      </c>
      <c r="N957" s="21">
        <v>0.76719999999999999</v>
      </c>
      <c r="O957" s="21">
        <v>0.42330000000000001</v>
      </c>
      <c r="P957" s="21">
        <v>1149</v>
      </c>
      <c r="Q957" s="21">
        <v>0.39950000000000002</v>
      </c>
      <c r="R957" s="21">
        <v>122</v>
      </c>
      <c r="S957" s="21">
        <v>19</v>
      </c>
      <c r="T957" s="21">
        <v>7.3999999999999996E-2</v>
      </c>
      <c r="U957" s="21">
        <v>4.9200000000000001E-2</v>
      </c>
      <c r="V957" s="21">
        <v>1</v>
      </c>
      <c r="W957" s="21">
        <v>151</v>
      </c>
      <c r="X957" s="21">
        <v>66</v>
      </c>
      <c r="Y957" s="21">
        <v>70</v>
      </c>
      <c r="Z957" s="21">
        <v>0.1</v>
      </c>
      <c r="AA957" s="21">
        <v>0.9</v>
      </c>
      <c r="AB957" s="21">
        <v>438</v>
      </c>
      <c r="AC957" s="21">
        <v>438</v>
      </c>
      <c r="AD957" s="21">
        <v>446</v>
      </c>
      <c r="AE957" s="21">
        <v>1</v>
      </c>
      <c r="AF957" s="21">
        <v>2.2000000000000001E-3</v>
      </c>
      <c r="AG957" s="21">
        <v>18</v>
      </c>
      <c r="AH957" s="21">
        <v>3.9600000000000003E-2</v>
      </c>
      <c r="AI957" s="21">
        <v>0</v>
      </c>
      <c r="AJ957" s="21">
        <v>0.73909999999999998</v>
      </c>
      <c r="AK957" s="21">
        <v>42</v>
      </c>
      <c r="AL957" s="21">
        <v>9.4100000000000003E-2</v>
      </c>
      <c r="AM957" s="21">
        <v>32</v>
      </c>
      <c r="AN957" s="21">
        <v>7.17E-2</v>
      </c>
      <c r="AO957" s="21">
        <v>0.76539999999999997</v>
      </c>
      <c r="AP957" s="21">
        <v>89</v>
      </c>
      <c r="AQ957" s="21">
        <v>88</v>
      </c>
      <c r="AR957" s="21">
        <v>79</v>
      </c>
      <c r="AS957" s="21">
        <v>9</v>
      </c>
      <c r="AT957" s="21">
        <v>0</v>
      </c>
      <c r="AU957" s="21">
        <v>1540</v>
      </c>
      <c r="AV957" s="21">
        <v>273</v>
      </c>
    </row>
    <row r="958" spans="1:48" x14ac:dyDescent="0.15">
      <c r="A958" s="20" t="s">
        <v>53</v>
      </c>
      <c r="B958" s="20" t="s">
        <v>129</v>
      </c>
      <c r="C958" s="21">
        <v>21060</v>
      </c>
      <c r="D958" s="21">
        <v>3266</v>
      </c>
      <c r="E958" s="21">
        <v>1716</v>
      </c>
      <c r="F958" s="21">
        <v>26042</v>
      </c>
      <c r="H958" s="21">
        <v>845</v>
      </c>
      <c r="I958" s="21">
        <v>1654</v>
      </c>
      <c r="J958" s="21">
        <v>6685</v>
      </c>
      <c r="K958" s="21">
        <v>16857</v>
      </c>
      <c r="L958" s="21">
        <v>158</v>
      </c>
      <c r="M958" s="21">
        <v>0.84940000000000004</v>
      </c>
      <c r="N958" s="21">
        <v>0.74099999999999999</v>
      </c>
      <c r="O958" s="21">
        <v>0.68669999999999998</v>
      </c>
      <c r="P958" s="21">
        <v>2678</v>
      </c>
      <c r="Q958" s="21">
        <v>0.29649999999999999</v>
      </c>
      <c r="R958" s="21">
        <v>169</v>
      </c>
      <c r="S958" s="21">
        <v>10</v>
      </c>
      <c r="T958" s="21">
        <v>0.2515</v>
      </c>
      <c r="U958" s="21">
        <v>5.2400000000000002E-2</v>
      </c>
      <c r="W958" s="21">
        <v>274</v>
      </c>
      <c r="X958" s="21">
        <v>313</v>
      </c>
      <c r="Y958" s="21">
        <v>651</v>
      </c>
      <c r="Z958" s="21">
        <v>0.1</v>
      </c>
      <c r="AA958" s="21">
        <v>0.5</v>
      </c>
      <c r="AB958" s="21">
        <v>4526</v>
      </c>
      <c r="AC958" s="21">
        <v>4526</v>
      </c>
      <c r="AD958" s="21">
        <v>4840</v>
      </c>
      <c r="AE958" s="21">
        <v>46</v>
      </c>
      <c r="AF958" s="21">
        <v>8.8999999999999999E-3</v>
      </c>
      <c r="AG958" s="21">
        <v>673</v>
      </c>
      <c r="AH958" s="21">
        <v>0.13059999999999999</v>
      </c>
      <c r="AI958" s="21">
        <v>0.2626</v>
      </c>
      <c r="AJ958" s="21">
        <v>0.56920000000000004</v>
      </c>
      <c r="AK958" s="21">
        <v>499</v>
      </c>
      <c r="AL958" s="21">
        <v>0.1031</v>
      </c>
      <c r="AM958" s="21">
        <v>199</v>
      </c>
      <c r="AN958" s="21">
        <v>4.1099999999999998E-2</v>
      </c>
      <c r="AO958" s="21">
        <v>0.39829999999999999</v>
      </c>
      <c r="AP958" s="21">
        <v>86</v>
      </c>
      <c r="AQ958" s="21">
        <v>86</v>
      </c>
      <c r="AR958" s="21">
        <v>82</v>
      </c>
      <c r="AS958" s="21">
        <v>1</v>
      </c>
      <c r="AT958" s="21">
        <v>3</v>
      </c>
      <c r="AU958" s="21">
        <v>1226</v>
      </c>
      <c r="AV958" s="21">
        <v>134</v>
      </c>
    </row>
    <row r="959" spans="1:48" x14ac:dyDescent="0.15">
      <c r="A959" s="20" t="s">
        <v>0</v>
      </c>
      <c r="B959" s="20" t="s">
        <v>129</v>
      </c>
      <c r="C959" s="21">
        <v>583324</v>
      </c>
      <c r="D959" s="21">
        <v>73842</v>
      </c>
      <c r="E959" s="21">
        <v>279344</v>
      </c>
      <c r="F959" s="21">
        <v>936509</v>
      </c>
      <c r="G959" s="21">
        <v>35094</v>
      </c>
      <c r="H959" s="21">
        <v>156122</v>
      </c>
      <c r="I959" s="21">
        <v>35301</v>
      </c>
      <c r="J959" s="21">
        <v>73042</v>
      </c>
      <c r="K959" s="21">
        <v>624333</v>
      </c>
      <c r="L959" s="21">
        <v>2978</v>
      </c>
      <c r="M959" s="21">
        <v>0.8518</v>
      </c>
      <c r="N959" s="21">
        <v>0.80610000000000004</v>
      </c>
      <c r="O959" s="21">
        <v>0.68069999999999997</v>
      </c>
      <c r="P959" s="21">
        <v>19347</v>
      </c>
      <c r="Q959" s="21">
        <v>0.57220000000000004</v>
      </c>
      <c r="R959" s="21">
        <v>316</v>
      </c>
      <c r="S959" s="21">
        <v>48</v>
      </c>
      <c r="T959" s="21">
        <v>7.7399999999999997E-2</v>
      </c>
      <c r="U959" s="21">
        <v>5.4899999999999997E-2</v>
      </c>
      <c r="V959" s="21">
        <v>0.9698</v>
      </c>
      <c r="W959" s="21">
        <v>2498</v>
      </c>
      <c r="X959" s="21">
        <v>2553</v>
      </c>
      <c r="Y959" s="21">
        <v>5380</v>
      </c>
      <c r="Z959" s="21">
        <v>0.1</v>
      </c>
      <c r="AA959" s="21">
        <v>0.5</v>
      </c>
      <c r="AB959" s="21">
        <v>25276</v>
      </c>
      <c r="AC959" s="21">
        <v>25276</v>
      </c>
      <c r="AD959" s="21">
        <v>26655</v>
      </c>
      <c r="AE959" s="21">
        <v>300</v>
      </c>
      <c r="AF959" s="21">
        <v>1.0699999999999999E-2</v>
      </c>
      <c r="AG959" s="21">
        <v>3058</v>
      </c>
      <c r="AH959" s="21">
        <v>0.1091</v>
      </c>
      <c r="AI959" s="21">
        <v>0.1739</v>
      </c>
      <c r="AJ959" s="21">
        <v>0.71050000000000002</v>
      </c>
      <c r="AK959" s="21">
        <v>3991</v>
      </c>
      <c r="AL959" s="21">
        <v>0.15</v>
      </c>
      <c r="AM959" s="21">
        <v>1459</v>
      </c>
      <c r="AN959" s="21">
        <v>5.4800000000000001E-2</v>
      </c>
      <c r="AO959" s="21">
        <v>0.54549999999999998</v>
      </c>
      <c r="AP959" s="21">
        <v>1640</v>
      </c>
      <c r="AQ959" s="21">
        <v>1639</v>
      </c>
      <c r="AR959" s="21">
        <v>1142</v>
      </c>
      <c r="AS959" s="21">
        <v>349</v>
      </c>
      <c r="AT959" s="21">
        <v>148</v>
      </c>
      <c r="AU959" s="21">
        <v>36991</v>
      </c>
      <c r="AV959" s="21">
        <v>2886</v>
      </c>
    </row>
    <row r="960" spans="1:48" x14ac:dyDescent="0.15">
      <c r="A960" s="20" t="s">
        <v>54</v>
      </c>
      <c r="B960" s="20" t="s">
        <v>129</v>
      </c>
      <c r="C960" s="21">
        <v>237398</v>
      </c>
      <c r="D960" s="21">
        <v>23498</v>
      </c>
      <c r="E960" s="21">
        <v>106982</v>
      </c>
      <c r="F960" s="21">
        <v>367877</v>
      </c>
      <c r="G960" s="21">
        <v>6348</v>
      </c>
      <c r="H960" s="21">
        <v>17304</v>
      </c>
      <c r="I960" s="21">
        <v>6208</v>
      </c>
      <c r="J960" s="21">
        <v>26998</v>
      </c>
      <c r="K960" s="21">
        <v>310553</v>
      </c>
      <c r="L960" s="21">
        <v>264</v>
      </c>
      <c r="M960" s="21">
        <v>0.98880000000000001</v>
      </c>
      <c r="N960" s="21">
        <v>0.98880000000000001</v>
      </c>
      <c r="O960" s="21">
        <v>0.88060000000000005</v>
      </c>
      <c r="P960" s="21">
        <v>2193</v>
      </c>
      <c r="Q960" s="21">
        <v>1.2890999999999999</v>
      </c>
      <c r="R960" s="21">
        <v>1412</v>
      </c>
      <c r="S960" s="21">
        <v>168</v>
      </c>
      <c r="T960" s="21">
        <v>5.62E-2</v>
      </c>
      <c r="U960" s="21">
        <v>2.3199999999999998E-2</v>
      </c>
      <c r="V960" s="21">
        <v>1</v>
      </c>
      <c r="W960" s="21">
        <v>144</v>
      </c>
      <c r="X960" s="21">
        <v>171</v>
      </c>
      <c r="Y960" s="21">
        <v>306</v>
      </c>
      <c r="Z960" s="21">
        <v>0.2</v>
      </c>
      <c r="AA960" s="21">
        <v>0.6</v>
      </c>
      <c r="AB960" s="21">
        <v>828</v>
      </c>
      <c r="AC960" s="21">
        <v>828</v>
      </c>
      <c r="AD960" s="21">
        <v>868</v>
      </c>
      <c r="AE960" s="21">
        <v>28</v>
      </c>
      <c r="AF960" s="21">
        <v>3.0800000000000001E-2</v>
      </c>
      <c r="AG960" s="21">
        <v>109</v>
      </c>
      <c r="AH960" s="21">
        <v>0.11990000000000001</v>
      </c>
      <c r="AI960" s="21">
        <v>0.1163</v>
      </c>
      <c r="AJ960" s="21">
        <v>0.72219999999999995</v>
      </c>
      <c r="AK960" s="21">
        <v>175</v>
      </c>
      <c r="AL960" s="21">
        <v>0.20150000000000001</v>
      </c>
      <c r="AM960" s="21">
        <v>102</v>
      </c>
      <c r="AN960" s="21">
        <v>0.1174</v>
      </c>
      <c r="AO960" s="21">
        <v>0.88080000000000003</v>
      </c>
      <c r="AP960" s="21">
        <v>178</v>
      </c>
      <c r="AQ960" s="21">
        <v>178</v>
      </c>
      <c r="AR960" s="21">
        <v>154</v>
      </c>
      <c r="AS960" s="21">
        <v>3</v>
      </c>
      <c r="AT960" s="21">
        <v>20</v>
      </c>
      <c r="AU960" s="21">
        <v>8612</v>
      </c>
      <c r="AV960" s="21">
        <v>93</v>
      </c>
    </row>
    <row r="961" spans="1:48" x14ac:dyDescent="0.15">
      <c r="A961" s="20" t="s">
        <v>55</v>
      </c>
      <c r="B961" s="20" t="s">
        <v>129</v>
      </c>
      <c r="C961" s="21">
        <v>6398</v>
      </c>
      <c r="D961" s="21">
        <v>469</v>
      </c>
      <c r="E961" s="21">
        <v>7390</v>
      </c>
      <c r="F961" s="21">
        <v>14257</v>
      </c>
      <c r="G961" s="21">
        <v>246</v>
      </c>
      <c r="H961" s="21">
        <v>3175</v>
      </c>
      <c r="I961" s="21">
        <v>1329</v>
      </c>
      <c r="J961" s="21">
        <v>151</v>
      </c>
      <c r="K961" s="21">
        <v>9356</v>
      </c>
      <c r="L961" s="21">
        <v>78</v>
      </c>
      <c r="M961" s="21">
        <v>0.92410000000000003</v>
      </c>
      <c r="N961" s="21">
        <v>0.91139999999999999</v>
      </c>
      <c r="O961" s="21">
        <v>0.63290000000000002</v>
      </c>
      <c r="P961" s="21">
        <v>1315</v>
      </c>
      <c r="Q961" s="21">
        <v>0.29580000000000001</v>
      </c>
      <c r="R961" s="21">
        <v>183</v>
      </c>
      <c r="S961" s="21">
        <v>11</v>
      </c>
      <c r="T961" s="21">
        <v>0.12479999999999999</v>
      </c>
      <c r="U961" s="21">
        <v>7.1999999999999998E-3</v>
      </c>
      <c r="W961" s="21">
        <v>27</v>
      </c>
      <c r="X961" s="21">
        <v>30</v>
      </c>
      <c r="Y961" s="21">
        <v>70</v>
      </c>
      <c r="Z961" s="21">
        <v>0.1</v>
      </c>
      <c r="AA961" s="21">
        <v>0.4</v>
      </c>
      <c r="AB961" s="21">
        <v>562</v>
      </c>
      <c r="AC961" s="21">
        <v>562</v>
      </c>
      <c r="AD961" s="21">
        <v>572</v>
      </c>
      <c r="AE961" s="21">
        <v>11</v>
      </c>
      <c r="AF961" s="21">
        <v>1.89E-2</v>
      </c>
      <c r="AG961" s="21">
        <v>32</v>
      </c>
      <c r="AH961" s="21">
        <v>5.4899999999999997E-2</v>
      </c>
      <c r="AI961" s="21">
        <v>0.1</v>
      </c>
      <c r="AJ961" s="21">
        <v>0.70089999999999997</v>
      </c>
      <c r="AK961" s="21">
        <v>48</v>
      </c>
      <c r="AL961" s="21">
        <v>8.3799999999999999E-2</v>
      </c>
      <c r="AM961" s="21">
        <v>12</v>
      </c>
      <c r="AN961" s="21">
        <v>2.1000000000000001E-2</v>
      </c>
      <c r="AP961" s="21">
        <v>314</v>
      </c>
      <c r="AQ961" s="21">
        <v>314</v>
      </c>
      <c r="AR961" s="21">
        <v>303</v>
      </c>
      <c r="AS961" s="21">
        <v>1</v>
      </c>
      <c r="AT961" s="21">
        <v>10</v>
      </c>
      <c r="AU961" s="21">
        <v>537</v>
      </c>
      <c r="AV961" s="21">
        <v>0</v>
      </c>
    </row>
    <row r="962" spans="1:48" x14ac:dyDescent="0.15">
      <c r="A962" s="20" t="s">
        <v>56</v>
      </c>
      <c r="B962" s="20" t="s">
        <v>129</v>
      </c>
      <c r="C962" s="21">
        <v>5695</v>
      </c>
      <c r="D962" s="21">
        <v>1221</v>
      </c>
      <c r="E962" s="21">
        <v>36946</v>
      </c>
      <c r="F962" s="21">
        <v>43862</v>
      </c>
      <c r="G962" s="21">
        <v>0</v>
      </c>
      <c r="H962" s="21">
        <v>1823</v>
      </c>
      <c r="I962" s="21">
        <v>21</v>
      </c>
      <c r="J962" s="21">
        <v>2076</v>
      </c>
      <c r="K962" s="21">
        <v>39943</v>
      </c>
      <c r="L962" s="21">
        <v>100</v>
      </c>
      <c r="M962" s="21">
        <v>0.82689999999999997</v>
      </c>
      <c r="N962" s="21">
        <v>0.76919999999999999</v>
      </c>
      <c r="O962" s="21">
        <v>0.47120000000000001</v>
      </c>
      <c r="P962" s="21">
        <v>2048</v>
      </c>
      <c r="Q962" s="21">
        <v>0.22220000000000001</v>
      </c>
      <c r="R962" s="21">
        <v>432</v>
      </c>
      <c r="S962" s="21">
        <v>21</v>
      </c>
      <c r="T962" s="21">
        <v>4.4400000000000002E-2</v>
      </c>
      <c r="U962" s="21">
        <v>3.0499999999999999E-2</v>
      </c>
      <c r="V962" s="21">
        <v>1</v>
      </c>
      <c r="W962" s="21">
        <v>84</v>
      </c>
      <c r="X962" s="21">
        <v>45</v>
      </c>
      <c r="Y962" s="21">
        <v>51</v>
      </c>
      <c r="Z962" s="21">
        <v>0.4</v>
      </c>
      <c r="AA962" s="21">
        <v>0.9</v>
      </c>
      <c r="AB962" s="21">
        <v>108</v>
      </c>
      <c r="AC962" s="21">
        <v>108</v>
      </c>
      <c r="AD962" s="21">
        <v>125</v>
      </c>
      <c r="AE962" s="21">
        <v>3</v>
      </c>
      <c r="AF962" s="21">
        <v>2.1100000000000001E-2</v>
      </c>
      <c r="AG962" s="21">
        <v>37</v>
      </c>
      <c r="AH962" s="21">
        <v>0.2606</v>
      </c>
      <c r="AI962" s="21">
        <v>0.33329999999999999</v>
      </c>
      <c r="AJ962" s="21">
        <v>0.33329999999999999</v>
      </c>
      <c r="AK962" s="21">
        <v>32</v>
      </c>
      <c r="AL962" s="21">
        <v>0.25600000000000001</v>
      </c>
      <c r="AM962" s="21">
        <v>28</v>
      </c>
      <c r="AN962" s="21">
        <v>0.224</v>
      </c>
      <c r="AO962" s="21">
        <v>0.87860000000000005</v>
      </c>
      <c r="AP962" s="21">
        <v>607</v>
      </c>
      <c r="AQ962" s="21">
        <v>607</v>
      </c>
      <c r="AR962" s="21">
        <v>335</v>
      </c>
      <c r="AS962" s="21">
        <v>272</v>
      </c>
      <c r="AT962" s="21">
        <v>0</v>
      </c>
      <c r="AU962" s="21">
        <v>817</v>
      </c>
      <c r="AV962" s="21">
        <v>62</v>
      </c>
    </row>
    <row r="963" spans="1:48" x14ac:dyDescent="0.15">
      <c r="A963" s="20" t="s">
        <v>57</v>
      </c>
      <c r="B963" s="20" t="s">
        <v>129</v>
      </c>
      <c r="C963" s="21">
        <v>11224</v>
      </c>
      <c r="D963" s="21">
        <v>3709</v>
      </c>
      <c r="E963" s="21">
        <v>836</v>
      </c>
      <c r="F963" s="21">
        <v>15769</v>
      </c>
      <c r="G963" s="21">
        <v>3923</v>
      </c>
      <c r="H963" s="21">
        <v>1790</v>
      </c>
      <c r="I963" s="21">
        <v>1728</v>
      </c>
      <c r="J963" s="21">
        <v>6327</v>
      </c>
      <c r="K963" s="21">
        <v>2002</v>
      </c>
      <c r="L963" s="21">
        <v>238</v>
      </c>
      <c r="M963" s="21">
        <v>0.59660000000000002</v>
      </c>
      <c r="N963" s="21">
        <v>0.4244</v>
      </c>
      <c r="O963" s="21">
        <v>0.42859999999999998</v>
      </c>
      <c r="P963" s="21">
        <v>691</v>
      </c>
      <c r="Q963" s="21">
        <v>0.34010000000000001</v>
      </c>
      <c r="R963" s="21">
        <v>66</v>
      </c>
      <c r="S963" s="21">
        <v>23</v>
      </c>
      <c r="T963" s="21">
        <v>8.5699999999999998E-2</v>
      </c>
      <c r="U963" s="21">
        <v>3.15E-2</v>
      </c>
      <c r="V963" s="21">
        <v>0</v>
      </c>
      <c r="W963" s="21">
        <v>119</v>
      </c>
      <c r="X963" s="21">
        <v>162</v>
      </c>
      <c r="Y963" s="21">
        <v>167</v>
      </c>
      <c r="Z963" s="21">
        <v>0.1</v>
      </c>
      <c r="AA963" s="21">
        <v>1</v>
      </c>
      <c r="AB963" s="21">
        <v>1272</v>
      </c>
      <c r="AC963" s="21">
        <v>1272</v>
      </c>
      <c r="AD963" s="21">
        <v>1432</v>
      </c>
      <c r="AE963" s="21">
        <v>7</v>
      </c>
      <c r="AF963" s="21">
        <v>4.4000000000000003E-3</v>
      </c>
      <c r="AG963" s="21">
        <v>327</v>
      </c>
      <c r="AH963" s="21">
        <v>0.2054</v>
      </c>
      <c r="AI963" s="21">
        <v>0.4</v>
      </c>
      <c r="AJ963" s="21">
        <v>0.48060000000000003</v>
      </c>
      <c r="AK963" s="21">
        <v>140</v>
      </c>
      <c r="AL963" s="21">
        <v>9.7799999999999998E-2</v>
      </c>
      <c r="AM963" s="21">
        <v>82</v>
      </c>
      <c r="AN963" s="21">
        <v>5.7299999999999997E-2</v>
      </c>
      <c r="AO963" s="21">
        <v>0.56330000000000002</v>
      </c>
      <c r="AP963" s="21">
        <v>125</v>
      </c>
      <c r="AQ963" s="21">
        <v>125</v>
      </c>
      <c r="AR963" s="21">
        <v>6</v>
      </c>
      <c r="AS963" s="21">
        <v>20</v>
      </c>
      <c r="AT963" s="21">
        <v>100</v>
      </c>
      <c r="AU963" s="21">
        <v>4958</v>
      </c>
      <c r="AV963" s="21">
        <v>271</v>
      </c>
    </row>
    <row r="964" spans="1:48" x14ac:dyDescent="0.15">
      <c r="A964" s="20" t="s">
        <v>58</v>
      </c>
      <c r="B964" s="20" t="s">
        <v>129</v>
      </c>
      <c r="C964" s="21">
        <v>160776</v>
      </c>
      <c r="D964" s="21">
        <v>10099</v>
      </c>
      <c r="E964" s="21">
        <v>9780</v>
      </c>
      <c r="F964" s="21">
        <v>180655</v>
      </c>
      <c r="G964" s="21">
        <v>12387</v>
      </c>
      <c r="H964" s="21">
        <v>62320</v>
      </c>
      <c r="J964" s="21">
        <v>8888</v>
      </c>
      <c r="K964" s="21">
        <v>97059</v>
      </c>
      <c r="L964" s="21">
        <v>399</v>
      </c>
      <c r="M964" s="21">
        <v>0.88970000000000005</v>
      </c>
      <c r="N964" s="21">
        <v>0.85540000000000005</v>
      </c>
      <c r="O964" s="21">
        <v>0.81859999999999999</v>
      </c>
      <c r="P964" s="21">
        <v>2746</v>
      </c>
      <c r="Q964" s="21">
        <v>0.67079999999999995</v>
      </c>
      <c r="R964" s="21">
        <v>456</v>
      </c>
      <c r="S964" s="21">
        <v>66</v>
      </c>
      <c r="T964" s="21">
        <v>9.5899999999999999E-2</v>
      </c>
      <c r="U964" s="21">
        <v>7.8200000000000006E-2</v>
      </c>
      <c r="V964" s="21">
        <v>1</v>
      </c>
      <c r="W964" s="21">
        <v>511</v>
      </c>
      <c r="X964" s="21">
        <v>413</v>
      </c>
      <c r="Y964" s="21">
        <v>898</v>
      </c>
      <c r="Z964" s="21">
        <v>0.1</v>
      </c>
      <c r="AA964" s="21">
        <v>0.5</v>
      </c>
      <c r="AB964" s="21">
        <v>3411</v>
      </c>
      <c r="AC964" s="21">
        <v>3411</v>
      </c>
      <c r="AD964" s="21">
        <v>3554</v>
      </c>
      <c r="AE964" s="21">
        <v>16</v>
      </c>
      <c r="AF964" s="21">
        <v>4.3E-3</v>
      </c>
      <c r="AG964" s="21">
        <v>301</v>
      </c>
      <c r="AH964" s="21">
        <v>8.14E-2</v>
      </c>
      <c r="AI964" s="21">
        <v>0.16</v>
      </c>
      <c r="AJ964" s="21">
        <v>0.80510000000000004</v>
      </c>
      <c r="AK964" s="21">
        <v>533</v>
      </c>
      <c r="AL964" s="21">
        <v>0.15</v>
      </c>
      <c r="AM964" s="21">
        <v>251</v>
      </c>
      <c r="AN964" s="21">
        <v>7.0599999999999996E-2</v>
      </c>
      <c r="AO964" s="21">
        <v>0.7379</v>
      </c>
      <c r="AP964" s="21">
        <v>20</v>
      </c>
      <c r="AQ964" s="21">
        <v>20</v>
      </c>
      <c r="AR964" s="21">
        <v>14</v>
      </c>
      <c r="AS964" s="21">
        <v>6</v>
      </c>
      <c r="AT964" s="21">
        <v>1</v>
      </c>
      <c r="AU964" s="21">
        <v>5597</v>
      </c>
      <c r="AV964" s="21">
        <v>385</v>
      </c>
    </row>
    <row r="965" spans="1:48" x14ac:dyDescent="0.15">
      <c r="A965" s="20" t="s">
        <v>59</v>
      </c>
      <c r="B965" s="20" t="s">
        <v>129</v>
      </c>
      <c r="C965" s="21">
        <v>7889</v>
      </c>
      <c r="D965" s="21">
        <v>4599</v>
      </c>
      <c r="E965" s="21">
        <v>13977</v>
      </c>
      <c r="F965" s="21">
        <v>26466</v>
      </c>
      <c r="G965" s="21">
        <v>1409</v>
      </c>
      <c r="H965" s="21">
        <v>1012</v>
      </c>
      <c r="I965" s="21">
        <v>816</v>
      </c>
      <c r="J965" s="21">
        <v>2769</v>
      </c>
      <c r="K965" s="21">
        <v>20459</v>
      </c>
      <c r="L965" s="21">
        <v>85</v>
      </c>
      <c r="M965" s="21">
        <v>0.90590000000000004</v>
      </c>
      <c r="N965" s="21">
        <v>0.88239999999999996</v>
      </c>
      <c r="O965" s="21">
        <v>0.81179999999999997</v>
      </c>
      <c r="P965" s="21">
        <v>1151</v>
      </c>
      <c r="Q965" s="21">
        <v>0.3614</v>
      </c>
      <c r="R965" s="21">
        <v>311</v>
      </c>
      <c r="S965" s="21">
        <v>23</v>
      </c>
      <c r="T965" s="21">
        <v>8.0600000000000005E-2</v>
      </c>
      <c r="U965" s="21">
        <v>8.1699999999999995E-2</v>
      </c>
      <c r="W965" s="21">
        <v>17</v>
      </c>
      <c r="X965" s="21">
        <v>18</v>
      </c>
      <c r="Y965" s="21">
        <v>37</v>
      </c>
      <c r="Z965" s="21">
        <v>0.1</v>
      </c>
      <c r="AA965" s="21">
        <v>0.5</v>
      </c>
      <c r="AB965" s="21">
        <v>168</v>
      </c>
      <c r="AC965" s="21">
        <v>168</v>
      </c>
      <c r="AD965" s="21">
        <v>182</v>
      </c>
      <c r="AE965" s="21">
        <v>6</v>
      </c>
      <c r="AF965" s="21">
        <v>3.0800000000000001E-2</v>
      </c>
      <c r="AG965" s="21">
        <v>33</v>
      </c>
      <c r="AH965" s="21">
        <v>0.16919999999999999</v>
      </c>
      <c r="AI965" s="21">
        <v>0</v>
      </c>
      <c r="AJ965" s="21">
        <v>0</v>
      </c>
      <c r="AK965" s="21">
        <v>23</v>
      </c>
      <c r="AL965" s="21">
        <v>0.12670000000000001</v>
      </c>
      <c r="AM965" s="21">
        <v>10</v>
      </c>
      <c r="AN965" s="21">
        <v>5.5100000000000003E-2</v>
      </c>
      <c r="AO965" s="21">
        <v>0.69730000000000003</v>
      </c>
      <c r="AP965" s="21">
        <v>88</v>
      </c>
      <c r="AQ965" s="21">
        <v>88</v>
      </c>
      <c r="AR965" s="21">
        <v>87</v>
      </c>
      <c r="AS965" s="21">
        <v>1</v>
      </c>
      <c r="AT965" s="21">
        <v>0</v>
      </c>
      <c r="AU965" s="21">
        <v>1860</v>
      </c>
      <c r="AV965" s="21">
        <v>5</v>
      </c>
    </row>
    <row r="966" spans="1:48" x14ac:dyDescent="0.15">
      <c r="A966" s="20" t="s">
        <v>60</v>
      </c>
      <c r="B966" s="20" t="s">
        <v>129</v>
      </c>
      <c r="C966" s="21">
        <v>10618</v>
      </c>
      <c r="D966" s="21">
        <v>2892</v>
      </c>
      <c r="E966" s="21">
        <v>7310</v>
      </c>
      <c r="F966" s="21">
        <v>20819</v>
      </c>
      <c r="G966" s="21">
        <v>1014</v>
      </c>
      <c r="H966" s="21">
        <v>7588</v>
      </c>
      <c r="I966" s="21">
        <v>3726</v>
      </c>
      <c r="J966" s="21">
        <v>2601</v>
      </c>
      <c r="K966" s="21">
        <v>4214</v>
      </c>
      <c r="L966" s="21">
        <v>129</v>
      </c>
      <c r="M966" s="21">
        <v>0.89149999999999996</v>
      </c>
      <c r="N966" s="21">
        <v>0.82169999999999999</v>
      </c>
      <c r="O966" s="21">
        <v>0.80620000000000003</v>
      </c>
      <c r="P966" s="21">
        <v>407</v>
      </c>
      <c r="Q966" s="21">
        <v>0.69530000000000003</v>
      </c>
      <c r="R966" s="21">
        <v>162</v>
      </c>
      <c r="S966" s="21">
        <v>51</v>
      </c>
      <c r="T966" s="21">
        <v>5.7200000000000001E-2</v>
      </c>
      <c r="U966" s="21">
        <v>4.5699999999999998E-2</v>
      </c>
      <c r="V966" s="21">
        <v>0.90159999999999996</v>
      </c>
      <c r="W966" s="21">
        <v>104</v>
      </c>
      <c r="X966" s="21">
        <v>115</v>
      </c>
      <c r="Y966" s="21">
        <v>246</v>
      </c>
      <c r="Z966" s="21">
        <v>0.1</v>
      </c>
      <c r="AA966" s="21">
        <v>0.5</v>
      </c>
      <c r="AB966" s="21">
        <v>1186</v>
      </c>
      <c r="AC966" s="21">
        <v>1186</v>
      </c>
      <c r="AD966" s="21">
        <v>1196</v>
      </c>
      <c r="AE966" s="21">
        <v>25</v>
      </c>
      <c r="AF966" s="21">
        <v>2.07E-2</v>
      </c>
      <c r="AG966" s="21">
        <v>44</v>
      </c>
      <c r="AH966" s="21">
        <v>3.6499999999999998E-2</v>
      </c>
      <c r="AI966" s="21">
        <v>0.13789999999999999</v>
      </c>
      <c r="AJ966" s="21">
        <v>0.81969999999999998</v>
      </c>
      <c r="AK966" s="21">
        <v>183</v>
      </c>
      <c r="AL966" s="21">
        <v>0.15740000000000001</v>
      </c>
      <c r="AM966" s="21">
        <v>93</v>
      </c>
      <c r="AN966" s="21">
        <v>0.08</v>
      </c>
      <c r="AO966" s="21">
        <v>0.52939999999999998</v>
      </c>
      <c r="AP966" s="21">
        <v>26</v>
      </c>
      <c r="AQ966" s="21">
        <v>26</v>
      </c>
      <c r="AR966" s="21">
        <v>7</v>
      </c>
      <c r="AS966" s="21">
        <v>17</v>
      </c>
      <c r="AT966" s="21">
        <v>2</v>
      </c>
      <c r="AU966" s="21">
        <v>981</v>
      </c>
      <c r="AV966" s="21">
        <v>209</v>
      </c>
    </row>
    <row r="967" spans="1:48" x14ac:dyDescent="0.15">
      <c r="A967" s="20" t="s">
        <v>61</v>
      </c>
      <c r="B967" s="20" t="s">
        <v>129</v>
      </c>
      <c r="C967" s="21">
        <v>6225</v>
      </c>
      <c r="D967" s="21">
        <v>1937</v>
      </c>
      <c r="E967" s="21">
        <v>25</v>
      </c>
      <c r="F967" s="21">
        <v>8187</v>
      </c>
      <c r="G967" s="21">
        <v>1199</v>
      </c>
      <c r="H967" s="21">
        <v>1871</v>
      </c>
      <c r="I967" s="21">
        <v>2017</v>
      </c>
      <c r="J967" s="21">
        <v>1182</v>
      </c>
      <c r="K967" s="21">
        <v>1918</v>
      </c>
      <c r="L967" s="21">
        <v>80</v>
      </c>
      <c r="M967" s="21">
        <v>0.8</v>
      </c>
      <c r="N967" s="21">
        <v>0.76249999999999996</v>
      </c>
      <c r="O967" s="21">
        <v>0.67500000000000004</v>
      </c>
      <c r="P967" s="21">
        <v>227</v>
      </c>
      <c r="Q967" s="21">
        <v>0.58150000000000002</v>
      </c>
      <c r="R967" s="21">
        <v>102</v>
      </c>
      <c r="S967" s="21">
        <v>36</v>
      </c>
      <c r="T967" s="21">
        <v>8.14E-2</v>
      </c>
      <c r="U967" s="21">
        <v>3.6499999999999998E-2</v>
      </c>
      <c r="V967" s="21">
        <v>1</v>
      </c>
      <c r="W967" s="21">
        <v>17</v>
      </c>
      <c r="X967" s="21">
        <v>19</v>
      </c>
      <c r="Y967" s="21">
        <v>49</v>
      </c>
      <c r="Z967" s="21">
        <v>0.1</v>
      </c>
      <c r="AA967" s="21">
        <v>0.4</v>
      </c>
      <c r="AB967" s="21">
        <v>338</v>
      </c>
      <c r="AC967" s="21">
        <v>338</v>
      </c>
      <c r="AD967" s="21">
        <v>342</v>
      </c>
      <c r="AE967" s="21">
        <v>1</v>
      </c>
      <c r="AF967" s="21">
        <v>2.8999999999999998E-3</v>
      </c>
      <c r="AG967" s="21">
        <v>8</v>
      </c>
      <c r="AH967" s="21">
        <v>2.3199999999999998E-2</v>
      </c>
      <c r="AI967" s="21">
        <v>0.4</v>
      </c>
      <c r="AJ967" s="21">
        <v>0.58819999999999995</v>
      </c>
      <c r="AK967" s="21">
        <v>39</v>
      </c>
      <c r="AL967" s="21">
        <v>0.1142</v>
      </c>
      <c r="AM967" s="21">
        <v>9</v>
      </c>
      <c r="AN967" s="21">
        <v>2.64E-2</v>
      </c>
      <c r="AO967" s="21">
        <v>0.45490000000000003</v>
      </c>
      <c r="AP967" s="21">
        <v>9</v>
      </c>
      <c r="AQ967" s="21">
        <v>9</v>
      </c>
      <c r="AR967" s="21">
        <v>2</v>
      </c>
      <c r="AS967" s="21">
        <v>7</v>
      </c>
      <c r="AT967" s="21">
        <v>0</v>
      </c>
      <c r="AU967" s="21">
        <v>688</v>
      </c>
      <c r="AV967" s="21">
        <v>148</v>
      </c>
    </row>
    <row r="968" spans="1:48" x14ac:dyDescent="0.15">
      <c r="A968" s="20" t="s">
        <v>48</v>
      </c>
      <c r="B968" s="20" t="s">
        <v>130</v>
      </c>
      <c r="C968" s="21">
        <v>22056</v>
      </c>
      <c r="D968" s="21">
        <v>3953</v>
      </c>
      <c r="E968" s="21">
        <v>12</v>
      </c>
      <c r="F968" s="21">
        <v>26020</v>
      </c>
      <c r="G968" s="21">
        <v>3136</v>
      </c>
      <c r="H968" s="21">
        <v>3738</v>
      </c>
      <c r="I968" s="21">
        <v>5058</v>
      </c>
      <c r="J968" s="21">
        <v>922</v>
      </c>
      <c r="K968" s="21">
        <v>6801</v>
      </c>
      <c r="L968" s="21">
        <v>140</v>
      </c>
      <c r="M968" s="21">
        <v>0.8286</v>
      </c>
      <c r="N968" s="21">
        <v>0.78569999999999995</v>
      </c>
      <c r="O968" s="21">
        <v>0.62860000000000005</v>
      </c>
      <c r="P968" s="21">
        <v>1007</v>
      </c>
      <c r="Q968" s="21">
        <v>0.44490000000000002</v>
      </c>
      <c r="R968" s="21">
        <v>189</v>
      </c>
      <c r="S968" s="21">
        <v>26</v>
      </c>
      <c r="T968" s="21">
        <v>9.5299999999999996E-2</v>
      </c>
      <c r="U968" s="21">
        <v>4.9599999999999998E-2</v>
      </c>
      <c r="V968" s="21">
        <v>0.98270000000000002</v>
      </c>
      <c r="W968" s="21">
        <v>26</v>
      </c>
      <c r="X968" s="21">
        <v>27</v>
      </c>
      <c r="Y968" s="21">
        <v>53</v>
      </c>
      <c r="Z968" s="21">
        <v>0.1</v>
      </c>
      <c r="AA968" s="21">
        <v>0.5</v>
      </c>
      <c r="AB968" s="21">
        <v>378</v>
      </c>
      <c r="AC968" s="21">
        <v>378</v>
      </c>
      <c r="AD968" s="21">
        <v>388</v>
      </c>
      <c r="AE968" s="21">
        <v>1</v>
      </c>
      <c r="AF968" s="21">
        <v>2.5000000000000001E-3</v>
      </c>
      <c r="AG968" s="21">
        <v>21</v>
      </c>
      <c r="AH968" s="21">
        <v>5.28E-2</v>
      </c>
      <c r="AI968" s="21">
        <v>3.6999999999999998E-2</v>
      </c>
      <c r="AJ968" s="21">
        <v>0.85160000000000002</v>
      </c>
      <c r="AK968" s="21">
        <v>35</v>
      </c>
      <c r="AL968" s="21">
        <v>9.0200000000000002E-2</v>
      </c>
      <c r="AM968" s="21">
        <v>10</v>
      </c>
      <c r="AN968" s="21">
        <v>2.58E-2</v>
      </c>
      <c r="AO968" s="21">
        <v>0.86670000000000003</v>
      </c>
      <c r="AP968" s="21">
        <v>199</v>
      </c>
      <c r="AQ968" s="21">
        <v>199</v>
      </c>
      <c r="AR968" s="21">
        <v>195</v>
      </c>
      <c r="AS968" s="21">
        <v>4</v>
      </c>
      <c r="AT968" s="21">
        <v>0</v>
      </c>
      <c r="AU968" s="21">
        <v>5490</v>
      </c>
      <c r="AV968" s="21">
        <v>139</v>
      </c>
    </row>
    <row r="969" spans="1:48" x14ac:dyDescent="0.15">
      <c r="A969" s="20" t="s">
        <v>50</v>
      </c>
      <c r="B969" s="20" t="s">
        <v>130</v>
      </c>
      <c r="C969" s="21">
        <v>18355</v>
      </c>
      <c r="D969" s="21">
        <v>5284</v>
      </c>
      <c r="E969" s="21">
        <v>7970</v>
      </c>
      <c r="F969" s="21">
        <v>31609</v>
      </c>
      <c r="G969" s="21">
        <v>160</v>
      </c>
      <c r="H969" s="21">
        <v>15829</v>
      </c>
      <c r="I969" s="21">
        <v>0</v>
      </c>
      <c r="J969" s="21">
        <v>1720</v>
      </c>
      <c r="K969" s="21">
        <v>7512</v>
      </c>
      <c r="L969" s="21">
        <v>191</v>
      </c>
      <c r="M969" s="21">
        <v>0.94359999999999999</v>
      </c>
      <c r="N969" s="21">
        <v>0.86670000000000003</v>
      </c>
      <c r="O969" s="21">
        <v>0.84619999999999995</v>
      </c>
      <c r="P969" s="21">
        <v>610</v>
      </c>
      <c r="Q969" s="21">
        <v>0.84589999999999999</v>
      </c>
      <c r="R969" s="21">
        <v>165</v>
      </c>
      <c r="S969" s="21">
        <v>52</v>
      </c>
      <c r="T969" s="21">
        <v>0.1245</v>
      </c>
      <c r="U969" s="21">
        <v>3.56E-2</v>
      </c>
      <c r="V969" s="21">
        <v>0.97799999999999998</v>
      </c>
      <c r="W969" s="21">
        <v>37</v>
      </c>
      <c r="X969" s="21">
        <v>49</v>
      </c>
      <c r="Y969" s="21">
        <v>107</v>
      </c>
      <c r="Z969" s="21">
        <v>0.2</v>
      </c>
      <c r="AA969" s="21">
        <v>0.5</v>
      </c>
      <c r="AB969" s="21">
        <v>188</v>
      </c>
      <c r="AC969" s="21">
        <v>188</v>
      </c>
      <c r="AD969" s="21">
        <v>230</v>
      </c>
      <c r="AE969" s="21">
        <v>5</v>
      </c>
      <c r="AF969" s="21">
        <v>1.84E-2</v>
      </c>
      <c r="AG969" s="21">
        <v>89</v>
      </c>
      <c r="AH969" s="21">
        <v>0.32719999999999999</v>
      </c>
      <c r="AI969" s="21">
        <v>1.6899999999999998E-2</v>
      </c>
      <c r="AJ969" s="21">
        <v>0.32140000000000002</v>
      </c>
      <c r="AK969" s="21">
        <v>73</v>
      </c>
      <c r="AL969" s="21">
        <v>0.31740000000000002</v>
      </c>
      <c r="AM969" s="21">
        <v>19</v>
      </c>
      <c r="AN969" s="21">
        <v>8.2600000000000007E-2</v>
      </c>
      <c r="AO969" s="21">
        <v>0.31069999999999998</v>
      </c>
      <c r="AP969" s="21">
        <v>469</v>
      </c>
      <c r="AQ969" s="21">
        <v>469</v>
      </c>
      <c r="AR969" s="21">
        <v>452</v>
      </c>
      <c r="AS969" s="21">
        <v>3</v>
      </c>
      <c r="AT969" s="21">
        <v>14</v>
      </c>
      <c r="AU969" s="21">
        <v>5420</v>
      </c>
      <c r="AV969" s="21">
        <v>183</v>
      </c>
    </row>
    <row r="970" spans="1:48" x14ac:dyDescent="0.15">
      <c r="A970" s="20" t="s">
        <v>51</v>
      </c>
      <c r="B970" s="20" t="s">
        <v>130</v>
      </c>
      <c r="C970" s="21">
        <v>104386</v>
      </c>
      <c r="D970" s="21">
        <v>14495</v>
      </c>
      <c r="E970" s="21">
        <v>29871</v>
      </c>
      <c r="F970" s="21">
        <v>148752</v>
      </c>
      <c r="G970" s="21">
        <v>5148</v>
      </c>
      <c r="H970" s="21">
        <v>39072</v>
      </c>
      <c r="I970" s="21">
        <v>22438</v>
      </c>
      <c r="J970" s="21">
        <v>6356</v>
      </c>
      <c r="K970" s="21">
        <v>75117</v>
      </c>
      <c r="L970" s="21">
        <v>925</v>
      </c>
      <c r="M970" s="21">
        <v>0.87849999999999995</v>
      </c>
      <c r="N970" s="21">
        <v>0.83330000000000004</v>
      </c>
      <c r="O970" s="21">
        <v>0.75270000000000004</v>
      </c>
      <c r="P970" s="21">
        <v>3103</v>
      </c>
      <c r="Q970" s="21">
        <v>0.79700000000000004</v>
      </c>
      <c r="R970" s="21">
        <v>161</v>
      </c>
      <c r="S970" s="21">
        <v>48</v>
      </c>
      <c r="T970" s="21">
        <v>0.1002</v>
      </c>
      <c r="U970" s="21">
        <v>0.1104</v>
      </c>
      <c r="V970" s="21">
        <v>0.96709999999999996</v>
      </c>
      <c r="W970" s="21">
        <v>1922</v>
      </c>
      <c r="X970" s="21">
        <v>2766</v>
      </c>
      <c r="Y970" s="21">
        <v>4151</v>
      </c>
      <c r="Z970" s="21">
        <v>0.2</v>
      </c>
      <c r="AA970" s="21">
        <v>0.7</v>
      </c>
      <c r="AB970" s="21">
        <v>11601</v>
      </c>
      <c r="AC970" s="21">
        <v>11601</v>
      </c>
      <c r="AD970" s="21">
        <v>11685</v>
      </c>
      <c r="AE970" s="21">
        <v>1041</v>
      </c>
      <c r="AF970" s="21">
        <v>8.8499999999999995E-2</v>
      </c>
      <c r="AG970" s="21">
        <v>1209</v>
      </c>
      <c r="AH970" s="21">
        <v>0.1027</v>
      </c>
      <c r="AI970" s="21">
        <v>0.19889999999999999</v>
      </c>
      <c r="AJ970" s="21">
        <v>0.86560000000000004</v>
      </c>
      <c r="AK970" s="21">
        <v>3005</v>
      </c>
      <c r="AL970" s="21">
        <v>0.25729999999999997</v>
      </c>
      <c r="AM970" s="21">
        <v>1248</v>
      </c>
      <c r="AN970" s="21">
        <v>0.1069</v>
      </c>
      <c r="AO970" s="21">
        <v>0.60760000000000003</v>
      </c>
      <c r="AP970" s="21">
        <v>383</v>
      </c>
      <c r="AQ970" s="21">
        <v>359</v>
      </c>
      <c r="AR970" s="21">
        <v>188</v>
      </c>
      <c r="AS970" s="21">
        <v>24</v>
      </c>
      <c r="AT970" s="21">
        <v>147</v>
      </c>
      <c r="AU970" s="21">
        <v>11601</v>
      </c>
      <c r="AV970" s="21">
        <v>1506</v>
      </c>
    </row>
    <row r="971" spans="1:48" x14ac:dyDescent="0.15">
      <c r="A971" s="20" t="s">
        <v>52</v>
      </c>
      <c r="B971" s="20" t="s">
        <v>130</v>
      </c>
      <c r="C971" s="21">
        <v>30520</v>
      </c>
      <c r="D971" s="21">
        <v>2421</v>
      </c>
      <c r="E971" s="21">
        <v>8852</v>
      </c>
      <c r="F971" s="21">
        <v>41793</v>
      </c>
      <c r="G971" s="21">
        <v>6847</v>
      </c>
      <c r="H971" s="21">
        <v>13777</v>
      </c>
      <c r="I971" s="21">
        <v>7895</v>
      </c>
      <c r="J971" s="21">
        <v>2974</v>
      </c>
      <c r="K971" s="21">
        <v>10301</v>
      </c>
      <c r="L971" s="21">
        <v>215</v>
      </c>
      <c r="M971" s="21">
        <v>0.71879999999999999</v>
      </c>
      <c r="N971" s="21">
        <v>0.69199999999999995</v>
      </c>
      <c r="O971" s="21">
        <v>0.46879999999999999</v>
      </c>
      <c r="P971" s="21">
        <v>1150</v>
      </c>
      <c r="Q971" s="21">
        <v>0.4652</v>
      </c>
      <c r="R971" s="21">
        <v>208</v>
      </c>
      <c r="S971" s="21">
        <v>36</v>
      </c>
      <c r="T971" s="21">
        <v>8.6900000000000005E-2</v>
      </c>
      <c r="U971" s="21">
        <v>5.2299999999999999E-2</v>
      </c>
      <c r="W971" s="21">
        <v>234</v>
      </c>
      <c r="X971" s="21">
        <v>116</v>
      </c>
      <c r="Y971" s="21">
        <v>117</v>
      </c>
      <c r="Z971" s="21">
        <v>0.3</v>
      </c>
      <c r="AA971" s="21">
        <v>1</v>
      </c>
      <c r="AB971" s="21">
        <v>425</v>
      </c>
      <c r="AC971" s="21">
        <v>425</v>
      </c>
      <c r="AD971" s="21">
        <v>432</v>
      </c>
      <c r="AE971" s="21">
        <v>15</v>
      </c>
      <c r="AF971" s="21">
        <v>3.4200000000000001E-2</v>
      </c>
      <c r="AG971" s="21">
        <v>28</v>
      </c>
      <c r="AH971" s="21">
        <v>6.3899999999999998E-2</v>
      </c>
      <c r="AI971" s="21">
        <v>0</v>
      </c>
      <c r="AJ971" s="21">
        <v>0.84289999999999998</v>
      </c>
      <c r="AK971" s="21">
        <v>60</v>
      </c>
      <c r="AL971" s="21">
        <v>0.13900000000000001</v>
      </c>
      <c r="AM971" s="21">
        <v>35</v>
      </c>
      <c r="AN971" s="21">
        <v>8.1100000000000005E-2</v>
      </c>
      <c r="AO971" s="21">
        <v>0.87139999999999995</v>
      </c>
      <c r="AP971" s="21">
        <v>43</v>
      </c>
      <c r="AQ971" s="21">
        <v>43</v>
      </c>
      <c r="AR971" s="21">
        <v>36</v>
      </c>
      <c r="AS971" s="21">
        <v>7</v>
      </c>
      <c r="AT971" s="21">
        <v>0</v>
      </c>
      <c r="AU971" s="21">
        <v>4350</v>
      </c>
      <c r="AV971" s="21">
        <v>492</v>
      </c>
    </row>
    <row r="972" spans="1:48" x14ac:dyDescent="0.15">
      <c r="A972" s="20" t="s">
        <v>53</v>
      </c>
      <c r="B972" s="20" t="s">
        <v>130</v>
      </c>
      <c r="C972" s="21">
        <v>15377</v>
      </c>
      <c r="D972" s="21">
        <v>6682</v>
      </c>
      <c r="E972" s="21">
        <v>52385</v>
      </c>
      <c r="F972" s="21">
        <v>74444</v>
      </c>
      <c r="H972" s="21">
        <v>858</v>
      </c>
      <c r="I972" s="21">
        <v>1336</v>
      </c>
      <c r="J972" s="21">
        <v>5966</v>
      </c>
      <c r="K972" s="21">
        <v>66285</v>
      </c>
      <c r="L972" s="21">
        <v>143</v>
      </c>
      <c r="M972" s="21">
        <v>0.85799999999999998</v>
      </c>
      <c r="N972" s="21">
        <v>0.66049999999999998</v>
      </c>
      <c r="O972" s="21">
        <v>0.78400000000000003</v>
      </c>
      <c r="P972" s="21">
        <v>2681</v>
      </c>
      <c r="Q972" s="21">
        <v>0.45319999999999999</v>
      </c>
      <c r="R972" s="21">
        <v>503</v>
      </c>
      <c r="S972" s="21">
        <v>28</v>
      </c>
      <c r="T972" s="21">
        <v>0.13500000000000001</v>
      </c>
      <c r="U972" s="21">
        <v>5.0200000000000002E-2</v>
      </c>
      <c r="V972" s="21">
        <v>0.95860000000000001</v>
      </c>
      <c r="W972" s="21">
        <v>515</v>
      </c>
      <c r="X972" s="21">
        <v>770</v>
      </c>
      <c r="Y972" s="21">
        <v>1080</v>
      </c>
      <c r="Z972" s="21">
        <v>0.2</v>
      </c>
      <c r="AA972" s="21">
        <v>0.7</v>
      </c>
      <c r="AB972" s="21">
        <v>4504</v>
      </c>
      <c r="AC972" s="21">
        <v>4504</v>
      </c>
      <c r="AD972" s="21">
        <v>4515</v>
      </c>
      <c r="AE972" s="21">
        <v>304</v>
      </c>
      <c r="AF972" s="21">
        <v>6.7199999999999996E-2</v>
      </c>
      <c r="AG972" s="21">
        <v>326</v>
      </c>
      <c r="AH972" s="21">
        <v>7.1999999999999995E-2</v>
      </c>
      <c r="AI972" s="21">
        <v>0.26879999999999998</v>
      </c>
      <c r="AJ972" s="21">
        <v>0.73609999999999998</v>
      </c>
      <c r="AK972" s="21">
        <v>705</v>
      </c>
      <c r="AL972" s="21">
        <v>0.15609999999999999</v>
      </c>
      <c r="AM972" s="21">
        <v>413</v>
      </c>
      <c r="AN972" s="21">
        <v>9.1499999999999998E-2</v>
      </c>
      <c r="AO972" s="21">
        <v>0.66220000000000001</v>
      </c>
      <c r="AP972" s="21">
        <v>202</v>
      </c>
      <c r="AQ972" s="21">
        <v>202</v>
      </c>
      <c r="AR972" s="21">
        <v>70</v>
      </c>
      <c r="AS972" s="21">
        <v>3</v>
      </c>
      <c r="AT972" s="21">
        <v>129</v>
      </c>
      <c r="AU972" s="21">
        <v>1783</v>
      </c>
      <c r="AV972" s="21">
        <v>313</v>
      </c>
    </row>
    <row r="973" spans="1:48" x14ac:dyDescent="0.15">
      <c r="A973" s="20" t="s">
        <v>0</v>
      </c>
      <c r="B973" s="20" t="s">
        <v>130</v>
      </c>
      <c r="C973" s="21">
        <v>425786</v>
      </c>
      <c r="D973" s="21">
        <v>81096</v>
      </c>
      <c r="E973" s="21">
        <v>223536</v>
      </c>
      <c r="F973" s="21">
        <v>730418</v>
      </c>
      <c r="G973" s="21">
        <v>49613</v>
      </c>
      <c r="H973" s="21">
        <v>154919</v>
      </c>
      <c r="I973" s="21">
        <v>57506</v>
      </c>
      <c r="J973" s="21">
        <v>57726</v>
      </c>
      <c r="K973" s="21">
        <v>388291</v>
      </c>
      <c r="L973" s="21">
        <v>2980</v>
      </c>
      <c r="M973" s="21">
        <v>0.87050000000000005</v>
      </c>
      <c r="N973" s="21">
        <v>0.80640000000000001</v>
      </c>
      <c r="O973" s="21">
        <v>0.74</v>
      </c>
      <c r="P973" s="21">
        <v>19029</v>
      </c>
      <c r="Q973" s="21">
        <v>0.58899999999999997</v>
      </c>
      <c r="R973" s="21">
        <v>246</v>
      </c>
      <c r="S973" s="21">
        <v>38</v>
      </c>
      <c r="T973" s="21">
        <v>0.1089</v>
      </c>
      <c r="U973" s="21">
        <v>5.9299999999999999E-2</v>
      </c>
      <c r="V973" s="21">
        <v>0.97770000000000001</v>
      </c>
      <c r="W973" s="21">
        <v>4632</v>
      </c>
      <c r="X973" s="21">
        <v>5565</v>
      </c>
      <c r="Y973" s="21">
        <v>8313</v>
      </c>
      <c r="Z973" s="21">
        <v>0.2</v>
      </c>
      <c r="AA973" s="21">
        <v>0.7</v>
      </c>
      <c r="AB973" s="21">
        <v>24622</v>
      </c>
      <c r="AC973" s="21">
        <v>24622</v>
      </c>
      <c r="AD973" s="21">
        <v>24949</v>
      </c>
      <c r="AE973" s="21">
        <v>1769</v>
      </c>
      <c r="AF973" s="21">
        <v>7.0000000000000007E-2</v>
      </c>
      <c r="AG973" s="21">
        <v>2423</v>
      </c>
      <c r="AH973" s="21">
        <v>9.5899999999999999E-2</v>
      </c>
      <c r="AI973" s="21">
        <v>0.1953</v>
      </c>
      <c r="AJ973" s="21">
        <v>0.76759999999999995</v>
      </c>
      <c r="AK973" s="21">
        <v>5293</v>
      </c>
      <c r="AL973" s="21">
        <v>0.21229999999999999</v>
      </c>
      <c r="AM973" s="21">
        <v>2567</v>
      </c>
      <c r="AN973" s="21">
        <v>0.10299999999999999</v>
      </c>
      <c r="AO973" s="21">
        <v>0.64549999999999996</v>
      </c>
      <c r="AP973" s="21">
        <v>7119</v>
      </c>
      <c r="AQ973" s="21">
        <v>6999</v>
      </c>
      <c r="AR973" s="21">
        <v>4524</v>
      </c>
      <c r="AS973" s="21">
        <v>158</v>
      </c>
      <c r="AT973" s="21">
        <v>2317</v>
      </c>
      <c r="AU973" s="21">
        <v>65597</v>
      </c>
      <c r="AV973" s="21">
        <v>4855</v>
      </c>
    </row>
    <row r="974" spans="1:48" x14ac:dyDescent="0.15">
      <c r="A974" s="20" t="s">
        <v>54</v>
      </c>
      <c r="B974" s="20" t="s">
        <v>130</v>
      </c>
      <c r="C974" s="21">
        <v>70562</v>
      </c>
      <c r="D974" s="21">
        <v>14211</v>
      </c>
      <c r="E974" s="21">
        <v>100390</v>
      </c>
      <c r="F974" s="21">
        <v>185163</v>
      </c>
      <c r="G974" s="21">
        <v>5874</v>
      </c>
      <c r="H974" s="21">
        <v>12422</v>
      </c>
      <c r="I974" s="21">
        <v>4436</v>
      </c>
      <c r="J974" s="21">
        <v>10978</v>
      </c>
      <c r="K974" s="21">
        <v>150889</v>
      </c>
      <c r="L974" s="21">
        <v>263</v>
      </c>
      <c r="M974" s="21">
        <v>0.98109999999999997</v>
      </c>
      <c r="N974" s="21">
        <v>0.95850000000000002</v>
      </c>
      <c r="O974" s="21">
        <v>0.93959999999999999</v>
      </c>
      <c r="P974" s="21">
        <v>1916</v>
      </c>
      <c r="Q974" s="21">
        <v>1.298</v>
      </c>
      <c r="R974" s="21">
        <v>709</v>
      </c>
      <c r="S974" s="21">
        <v>97</v>
      </c>
      <c r="T974" s="21">
        <v>9.3700000000000006E-2</v>
      </c>
      <c r="U974" s="21">
        <v>2.1000000000000001E-2</v>
      </c>
      <c r="V974" s="21">
        <v>0.98919999999999997</v>
      </c>
      <c r="W974" s="21">
        <v>166</v>
      </c>
      <c r="X974" s="21">
        <v>165</v>
      </c>
      <c r="Y974" s="21">
        <v>281</v>
      </c>
      <c r="Z974" s="21">
        <v>0.2</v>
      </c>
      <c r="AA974" s="21">
        <v>0.6</v>
      </c>
      <c r="AB974" s="21">
        <v>788</v>
      </c>
      <c r="AC974" s="21">
        <v>788</v>
      </c>
      <c r="AD974" s="21">
        <v>808</v>
      </c>
      <c r="AE974" s="21">
        <v>30</v>
      </c>
      <c r="AF974" s="21">
        <v>3.6200000000000003E-2</v>
      </c>
      <c r="AG974" s="21">
        <v>70</v>
      </c>
      <c r="AH974" s="21">
        <v>8.4500000000000006E-2</v>
      </c>
      <c r="AI974" s="21">
        <v>5.62E-2</v>
      </c>
      <c r="AJ974" s="21">
        <v>0.58489999999999998</v>
      </c>
      <c r="AK974" s="21">
        <v>158</v>
      </c>
      <c r="AL974" s="21">
        <v>0.19550000000000001</v>
      </c>
      <c r="AM974" s="21">
        <v>93</v>
      </c>
      <c r="AN974" s="21">
        <v>0.11509999999999999</v>
      </c>
      <c r="AO974" s="21">
        <v>0.71860000000000002</v>
      </c>
      <c r="AP974" s="21">
        <v>1627</v>
      </c>
      <c r="AQ974" s="21">
        <v>1627</v>
      </c>
      <c r="AR974" s="21">
        <v>1492</v>
      </c>
      <c r="AS974" s="21">
        <v>7</v>
      </c>
      <c r="AT974" s="21">
        <v>128</v>
      </c>
      <c r="AU974" s="21">
        <v>7787</v>
      </c>
      <c r="AV974" s="21">
        <v>135</v>
      </c>
    </row>
    <row r="975" spans="1:48" x14ac:dyDescent="0.15">
      <c r="A975" s="20" t="s">
        <v>55</v>
      </c>
      <c r="B975" s="20" t="s">
        <v>130</v>
      </c>
      <c r="C975" s="21">
        <v>15802</v>
      </c>
      <c r="D975" s="21">
        <v>359</v>
      </c>
      <c r="E975" s="21">
        <v>2165</v>
      </c>
      <c r="F975" s="21">
        <v>18327</v>
      </c>
      <c r="G975" s="21">
        <v>665</v>
      </c>
      <c r="H975" s="21">
        <v>4538</v>
      </c>
      <c r="I975" s="21">
        <v>2682</v>
      </c>
      <c r="J975" s="21">
        <v>224</v>
      </c>
      <c r="K975" s="21">
        <v>10217</v>
      </c>
      <c r="L975" s="21">
        <v>79</v>
      </c>
      <c r="M975" s="21">
        <v>0.95120000000000005</v>
      </c>
      <c r="N975" s="21">
        <v>0.92679999999999996</v>
      </c>
      <c r="O975" s="21">
        <v>0.52439999999999998</v>
      </c>
      <c r="P975" s="21">
        <v>1315</v>
      </c>
      <c r="Q975" s="21">
        <v>0.34449999999999997</v>
      </c>
      <c r="R975" s="21">
        <v>233</v>
      </c>
      <c r="S975" s="21">
        <v>14</v>
      </c>
      <c r="T975" s="21">
        <v>0.1429</v>
      </c>
      <c r="U975" s="21">
        <v>8.3000000000000001E-3</v>
      </c>
      <c r="V975" s="21">
        <v>1</v>
      </c>
      <c r="W975" s="21">
        <v>55</v>
      </c>
      <c r="X975" s="21">
        <v>63</v>
      </c>
      <c r="Y975" s="21">
        <v>127</v>
      </c>
      <c r="Z975" s="21">
        <v>0.1</v>
      </c>
      <c r="AA975" s="21">
        <v>0.5</v>
      </c>
      <c r="AB975" s="21">
        <v>502</v>
      </c>
      <c r="AC975" s="21">
        <v>502</v>
      </c>
      <c r="AD975" s="21">
        <v>532</v>
      </c>
      <c r="AE975" s="21">
        <v>7</v>
      </c>
      <c r="AF975" s="21">
        <v>1.2500000000000001E-2</v>
      </c>
      <c r="AG975" s="21">
        <v>67</v>
      </c>
      <c r="AH975" s="21">
        <v>0.1192</v>
      </c>
      <c r="AI975" s="21">
        <v>2.9399999999999999E-2</v>
      </c>
      <c r="AJ975" s="21">
        <v>0.81820000000000004</v>
      </c>
      <c r="AK975" s="21">
        <v>57</v>
      </c>
      <c r="AL975" s="21">
        <v>0.1071</v>
      </c>
      <c r="AM975" s="21">
        <v>30</v>
      </c>
      <c r="AN975" s="21">
        <v>5.6399999999999999E-2</v>
      </c>
      <c r="AP975" s="21">
        <v>506</v>
      </c>
      <c r="AQ975" s="21">
        <v>506</v>
      </c>
      <c r="AR975" s="21">
        <v>479</v>
      </c>
      <c r="AS975" s="21">
        <v>2</v>
      </c>
      <c r="AT975" s="21">
        <v>26</v>
      </c>
      <c r="AU975" s="21">
        <v>944</v>
      </c>
      <c r="AV975" s="21">
        <v>0</v>
      </c>
    </row>
    <row r="976" spans="1:48" x14ac:dyDescent="0.15">
      <c r="A976" s="20" t="s">
        <v>56</v>
      </c>
      <c r="B976" s="20" t="s">
        <v>130</v>
      </c>
      <c r="C976" s="21">
        <v>5467</v>
      </c>
      <c r="D976" s="21">
        <v>738</v>
      </c>
      <c r="E976" s="21">
        <v>15125</v>
      </c>
      <c r="F976" s="21">
        <v>21330</v>
      </c>
      <c r="G976" s="21">
        <v>0</v>
      </c>
      <c r="H976" s="21">
        <v>1574</v>
      </c>
      <c r="I976" s="21">
        <v>1</v>
      </c>
      <c r="J976" s="21">
        <v>1892</v>
      </c>
      <c r="K976" s="21">
        <v>17863</v>
      </c>
      <c r="L976" s="21">
        <v>107</v>
      </c>
      <c r="M976" s="21">
        <v>0.77780000000000005</v>
      </c>
      <c r="N976" s="21">
        <v>0.72219999999999995</v>
      </c>
      <c r="O976" s="21">
        <v>0.37959999999999999</v>
      </c>
      <c r="P976" s="21">
        <v>2048</v>
      </c>
      <c r="Q976" s="21">
        <v>0.20019999999999999</v>
      </c>
      <c r="R976" s="21">
        <v>206</v>
      </c>
      <c r="S976" s="21">
        <v>10</v>
      </c>
      <c r="T976" s="21">
        <v>8.4900000000000003E-2</v>
      </c>
      <c r="U976" s="21">
        <v>4.3799999999999999E-2</v>
      </c>
      <c r="V976" s="21">
        <v>0.96960000000000002</v>
      </c>
      <c r="W976" s="21">
        <v>96</v>
      </c>
      <c r="X976" s="21">
        <v>72</v>
      </c>
      <c r="Y976" s="21">
        <v>77</v>
      </c>
      <c r="Z976" s="21">
        <v>0.7</v>
      </c>
      <c r="AA976" s="21">
        <v>0.9</v>
      </c>
      <c r="AB976" s="21">
        <v>109</v>
      </c>
      <c r="AC976" s="21">
        <v>109</v>
      </c>
      <c r="AD976" s="21">
        <v>108</v>
      </c>
      <c r="AE976" s="21">
        <v>7</v>
      </c>
      <c r="AF976" s="21">
        <v>6.4799999999999996E-2</v>
      </c>
      <c r="AG976" s="21">
        <v>6</v>
      </c>
      <c r="AH976" s="21">
        <v>5.5599999999999997E-2</v>
      </c>
      <c r="AI976" s="21">
        <v>0.33329999999999999</v>
      </c>
      <c r="AJ976" s="21">
        <v>0.44440000000000002</v>
      </c>
      <c r="AK976" s="21">
        <v>39</v>
      </c>
      <c r="AL976" s="21">
        <v>0.3594</v>
      </c>
      <c r="AM976" s="21">
        <v>32</v>
      </c>
      <c r="AN976" s="21">
        <v>0.2949</v>
      </c>
      <c r="AO976" s="21">
        <v>0.9849</v>
      </c>
      <c r="AP976" s="21">
        <v>856</v>
      </c>
      <c r="AQ976" s="21">
        <v>856</v>
      </c>
      <c r="AR976" s="21">
        <v>771</v>
      </c>
      <c r="AS976" s="21">
        <v>35</v>
      </c>
      <c r="AT976" s="21">
        <v>50</v>
      </c>
      <c r="AU976" s="21">
        <v>524</v>
      </c>
      <c r="AV976" s="21">
        <v>78</v>
      </c>
    </row>
    <row r="977" spans="1:48" x14ac:dyDescent="0.15">
      <c r="A977" s="20" t="s">
        <v>57</v>
      </c>
      <c r="B977" s="20" t="s">
        <v>130</v>
      </c>
      <c r="C977" s="21">
        <v>23206</v>
      </c>
      <c r="D977" s="21">
        <v>7685</v>
      </c>
      <c r="E977" s="21">
        <v>847</v>
      </c>
      <c r="F977" s="21">
        <v>31737</v>
      </c>
      <c r="G977" s="21">
        <v>7015</v>
      </c>
      <c r="H977" s="21">
        <v>6164</v>
      </c>
      <c r="I977" s="21">
        <v>3202</v>
      </c>
      <c r="J977" s="21">
        <v>11636</v>
      </c>
      <c r="K977" s="21">
        <v>3720</v>
      </c>
      <c r="L977" s="21">
        <v>218</v>
      </c>
      <c r="M977" s="21">
        <v>0.74550000000000005</v>
      </c>
      <c r="N977" s="21">
        <v>0.59379999999999999</v>
      </c>
      <c r="O977" s="21">
        <v>0.57140000000000002</v>
      </c>
      <c r="P977" s="21">
        <v>693</v>
      </c>
      <c r="Q977" s="21">
        <v>0.45019999999999999</v>
      </c>
      <c r="R977" s="21">
        <v>142</v>
      </c>
      <c r="S977" s="21">
        <v>46</v>
      </c>
      <c r="T977" s="21">
        <v>8.77E-2</v>
      </c>
      <c r="U977" s="21">
        <v>4.7399999999999998E-2</v>
      </c>
      <c r="V977" s="21">
        <v>0.99529999999999996</v>
      </c>
      <c r="W977" s="21">
        <v>297</v>
      </c>
      <c r="X977" s="21">
        <v>326</v>
      </c>
      <c r="Y977" s="21">
        <v>272</v>
      </c>
      <c r="Z977" s="21">
        <v>0.3</v>
      </c>
      <c r="AA977" s="21">
        <v>1.2</v>
      </c>
      <c r="AB977" s="21">
        <v>1141</v>
      </c>
      <c r="AC977" s="21">
        <v>1141</v>
      </c>
      <c r="AD977" s="21">
        <v>1206</v>
      </c>
      <c r="AE977" s="21">
        <v>63</v>
      </c>
      <c r="AF977" s="21">
        <v>4.9500000000000002E-2</v>
      </c>
      <c r="AG977" s="21">
        <v>194</v>
      </c>
      <c r="AH977" s="21">
        <v>0.1525</v>
      </c>
      <c r="AI977" s="21">
        <v>0.14860000000000001</v>
      </c>
      <c r="AJ977" s="21">
        <v>0.48699999999999999</v>
      </c>
      <c r="AK977" s="21">
        <v>183</v>
      </c>
      <c r="AL977" s="21">
        <v>0.1517</v>
      </c>
      <c r="AM977" s="21">
        <v>122</v>
      </c>
      <c r="AN977" s="21">
        <v>0.1011</v>
      </c>
      <c r="AO977" s="21">
        <v>0.73960000000000004</v>
      </c>
      <c r="AP977" s="21">
        <v>2126</v>
      </c>
      <c r="AQ977" s="21">
        <v>2030</v>
      </c>
      <c r="AR977" s="21">
        <v>202</v>
      </c>
      <c r="AS977" s="21">
        <v>26</v>
      </c>
      <c r="AT977" s="21">
        <v>1803</v>
      </c>
      <c r="AU977" s="21">
        <v>10655</v>
      </c>
      <c r="AV977" s="21">
        <v>403</v>
      </c>
    </row>
    <row r="978" spans="1:48" x14ac:dyDescent="0.15">
      <c r="A978" s="20" t="s">
        <v>58</v>
      </c>
      <c r="B978" s="20" t="s">
        <v>130</v>
      </c>
      <c r="C978" s="21">
        <v>82192</v>
      </c>
      <c r="D978" s="21">
        <v>12274</v>
      </c>
      <c r="E978" s="21">
        <v>1418</v>
      </c>
      <c r="F978" s="21">
        <v>95884</v>
      </c>
      <c r="G978" s="21">
        <v>12132</v>
      </c>
      <c r="H978" s="21">
        <v>46268</v>
      </c>
      <c r="J978" s="21">
        <v>7821</v>
      </c>
      <c r="K978" s="21">
        <v>29664</v>
      </c>
      <c r="L978" s="21">
        <v>407</v>
      </c>
      <c r="M978" s="21">
        <v>0.90869999999999995</v>
      </c>
      <c r="N978" s="21">
        <v>0.85340000000000005</v>
      </c>
      <c r="O978" s="21">
        <v>0.86539999999999995</v>
      </c>
      <c r="P978" s="21">
        <v>2665</v>
      </c>
      <c r="Q978" s="21">
        <v>0.60260000000000002</v>
      </c>
      <c r="R978" s="21">
        <v>238</v>
      </c>
      <c r="S978" s="21">
        <v>36</v>
      </c>
      <c r="T978" s="21">
        <v>0.15939999999999999</v>
      </c>
      <c r="U978" s="21">
        <v>8.6599999999999996E-2</v>
      </c>
      <c r="V978" s="21">
        <v>0.97560000000000002</v>
      </c>
      <c r="W978" s="21">
        <v>986</v>
      </c>
      <c r="X978" s="21">
        <v>908</v>
      </c>
      <c r="Y978" s="21">
        <v>1557</v>
      </c>
      <c r="Z978" s="21">
        <v>0.3</v>
      </c>
      <c r="AA978" s="21">
        <v>0.6</v>
      </c>
      <c r="AB978" s="21">
        <v>3297</v>
      </c>
      <c r="AC978" s="21">
        <v>3297</v>
      </c>
      <c r="AD978" s="21">
        <v>3354</v>
      </c>
      <c r="AE978" s="21">
        <v>183</v>
      </c>
      <c r="AF978" s="21">
        <v>5.3600000000000002E-2</v>
      </c>
      <c r="AG978" s="21">
        <v>297</v>
      </c>
      <c r="AH978" s="21">
        <v>8.7099999999999997E-2</v>
      </c>
      <c r="AI978" s="21">
        <v>0.21690000000000001</v>
      </c>
      <c r="AJ978" s="21">
        <v>0.623</v>
      </c>
      <c r="AK978" s="21">
        <v>671</v>
      </c>
      <c r="AL978" s="21">
        <v>0.2001</v>
      </c>
      <c r="AM978" s="21">
        <v>393</v>
      </c>
      <c r="AN978" s="21">
        <v>0.1172</v>
      </c>
      <c r="AO978" s="21">
        <v>0.66390000000000005</v>
      </c>
      <c r="AP978" s="21">
        <v>143</v>
      </c>
      <c r="AQ978" s="21">
        <v>143</v>
      </c>
      <c r="AR978" s="21">
        <v>119</v>
      </c>
      <c r="AS978" s="21">
        <v>22</v>
      </c>
      <c r="AT978" s="21">
        <v>2</v>
      </c>
      <c r="AU978" s="21">
        <v>8125</v>
      </c>
      <c r="AV978" s="21">
        <v>1160</v>
      </c>
    </row>
    <row r="979" spans="1:48" x14ac:dyDescent="0.15">
      <c r="A979" s="20" t="s">
        <v>59</v>
      </c>
      <c r="B979" s="20" t="s">
        <v>130</v>
      </c>
      <c r="C979" s="21">
        <v>4321</v>
      </c>
      <c r="D979" s="21">
        <v>4826</v>
      </c>
      <c r="E979" s="21">
        <v>1124</v>
      </c>
      <c r="F979" s="21">
        <v>10271</v>
      </c>
      <c r="G979" s="21">
        <v>2564</v>
      </c>
      <c r="H979" s="21">
        <v>2054</v>
      </c>
      <c r="I979" s="21">
        <v>595</v>
      </c>
      <c r="J979" s="21">
        <v>2787</v>
      </c>
      <c r="K979" s="21">
        <v>2187</v>
      </c>
      <c r="L979" s="21">
        <v>86</v>
      </c>
      <c r="M979" s="21">
        <v>0.87209999999999999</v>
      </c>
      <c r="N979" s="21">
        <v>0.6744</v>
      </c>
      <c r="O979" s="21">
        <v>0.8488</v>
      </c>
      <c r="P979" s="21">
        <v>1151</v>
      </c>
      <c r="Q979" s="21">
        <v>0.2094</v>
      </c>
      <c r="R979" s="21">
        <v>121</v>
      </c>
      <c r="S979" s="21">
        <v>9</v>
      </c>
      <c r="T979" s="21">
        <v>9.4200000000000006E-2</v>
      </c>
      <c r="U979" s="21">
        <v>6.1499999999999999E-2</v>
      </c>
      <c r="V979" s="21">
        <v>0.98499999999999999</v>
      </c>
      <c r="W979" s="21">
        <v>38</v>
      </c>
      <c r="X979" s="21">
        <v>57</v>
      </c>
      <c r="Y979" s="21">
        <v>65</v>
      </c>
      <c r="Z979" s="21">
        <v>0.3</v>
      </c>
      <c r="AA979" s="21">
        <v>0.9</v>
      </c>
      <c r="AB979" s="21">
        <v>171</v>
      </c>
      <c r="AC979" s="21">
        <v>171</v>
      </c>
      <c r="AD979" s="21">
        <v>170</v>
      </c>
      <c r="AE979" s="21">
        <v>25</v>
      </c>
      <c r="AF979" s="21">
        <v>0.14879999999999999</v>
      </c>
      <c r="AG979" s="21">
        <v>22</v>
      </c>
      <c r="AH979" s="21">
        <v>0.13100000000000001</v>
      </c>
      <c r="AI979" s="21">
        <v>0</v>
      </c>
      <c r="AJ979" s="21">
        <v>0</v>
      </c>
      <c r="AK979" s="21">
        <v>43</v>
      </c>
      <c r="AL979" s="21">
        <v>0.25369999999999998</v>
      </c>
      <c r="AM979" s="21">
        <v>31</v>
      </c>
      <c r="AN979" s="21">
        <v>0.18290000000000001</v>
      </c>
      <c r="AO979" s="21">
        <v>0.89570000000000005</v>
      </c>
      <c r="AP979" s="21">
        <v>407</v>
      </c>
      <c r="AQ979" s="21">
        <v>407</v>
      </c>
      <c r="AR979" s="21">
        <v>402</v>
      </c>
      <c r="AS979" s="21">
        <v>0</v>
      </c>
      <c r="AT979" s="21">
        <v>5</v>
      </c>
      <c r="AU979" s="21">
        <v>2266</v>
      </c>
      <c r="AV979" s="21">
        <v>8</v>
      </c>
    </row>
    <row r="980" spans="1:48" x14ac:dyDescent="0.15">
      <c r="A980" s="20" t="s">
        <v>60</v>
      </c>
      <c r="B980" s="20" t="s">
        <v>130</v>
      </c>
      <c r="C980" s="21">
        <v>19026</v>
      </c>
      <c r="D980" s="21">
        <v>5740</v>
      </c>
      <c r="E980" s="21">
        <v>2307</v>
      </c>
      <c r="F980" s="21">
        <v>27073</v>
      </c>
      <c r="G980" s="21">
        <v>751</v>
      </c>
      <c r="H980" s="21">
        <v>6290</v>
      </c>
      <c r="I980" s="21">
        <v>5717</v>
      </c>
      <c r="J980" s="21">
        <v>2198</v>
      </c>
      <c r="K980" s="21">
        <v>3777</v>
      </c>
      <c r="L980" s="21">
        <v>126</v>
      </c>
      <c r="M980" s="21">
        <v>0.93079999999999996</v>
      </c>
      <c r="N980" s="21">
        <v>0.9</v>
      </c>
      <c r="O980" s="21">
        <v>0.86150000000000004</v>
      </c>
      <c r="P980" s="21">
        <v>463</v>
      </c>
      <c r="Q980" s="21">
        <v>0.78620000000000001</v>
      </c>
      <c r="R980" s="21">
        <v>212</v>
      </c>
      <c r="S980" s="21">
        <v>58</v>
      </c>
      <c r="T980" s="21">
        <v>8.6400000000000005E-2</v>
      </c>
      <c r="U980" s="21">
        <v>4.1099999999999998E-2</v>
      </c>
      <c r="V980" s="21">
        <v>0.94850000000000001</v>
      </c>
      <c r="W980" s="21">
        <v>239</v>
      </c>
      <c r="X980" s="21">
        <v>224</v>
      </c>
      <c r="Y980" s="21">
        <v>371</v>
      </c>
      <c r="Z980" s="21">
        <v>0.2</v>
      </c>
      <c r="AA980" s="21">
        <v>0.6</v>
      </c>
      <c r="AB980" s="21">
        <v>1214</v>
      </c>
      <c r="AC980" s="21">
        <v>1214</v>
      </c>
      <c r="AD980" s="21">
        <v>1200</v>
      </c>
      <c r="AE980" s="21">
        <v>80</v>
      </c>
      <c r="AF980" s="21">
        <v>6.7500000000000004E-2</v>
      </c>
      <c r="AG980" s="21">
        <v>52</v>
      </c>
      <c r="AH980" s="21">
        <v>4.3799999999999999E-2</v>
      </c>
      <c r="AI980" s="21">
        <v>0.2</v>
      </c>
      <c r="AJ980" s="21">
        <v>0.77910000000000001</v>
      </c>
      <c r="AK980" s="21">
        <v>226</v>
      </c>
      <c r="AL980" s="21">
        <v>0.18970000000000001</v>
      </c>
      <c r="AM980" s="21">
        <v>129</v>
      </c>
      <c r="AN980" s="21">
        <v>0.10829999999999999</v>
      </c>
      <c r="AO980" s="21">
        <v>0.56820000000000004</v>
      </c>
      <c r="AP980" s="21">
        <v>132</v>
      </c>
      <c r="AQ980" s="21">
        <v>132</v>
      </c>
      <c r="AR980" s="21">
        <v>115</v>
      </c>
      <c r="AS980" s="21">
        <v>6</v>
      </c>
      <c r="AT980" s="21">
        <v>11</v>
      </c>
      <c r="AU980" s="21">
        <v>3446</v>
      </c>
      <c r="AV980" s="21">
        <v>332</v>
      </c>
    </row>
    <row r="981" spans="1:48" x14ac:dyDescent="0.15">
      <c r="A981" s="20" t="s">
        <v>61</v>
      </c>
      <c r="B981" s="20" t="s">
        <v>130</v>
      </c>
      <c r="C981" s="21">
        <v>14516</v>
      </c>
      <c r="D981" s="21">
        <v>2429</v>
      </c>
      <c r="E981" s="21">
        <v>1070</v>
      </c>
      <c r="F981" s="21">
        <v>18015</v>
      </c>
      <c r="G981" s="21">
        <v>5321</v>
      </c>
      <c r="H981" s="21">
        <v>2336</v>
      </c>
      <c r="I981" s="21">
        <v>4146</v>
      </c>
      <c r="J981" s="21">
        <v>2253</v>
      </c>
      <c r="K981" s="21">
        <v>3958</v>
      </c>
      <c r="L981" s="21">
        <v>80</v>
      </c>
      <c r="M981" s="21">
        <v>0.85</v>
      </c>
      <c r="N981" s="21">
        <v>0.82499999999999996</v>
      </c>
      <c r="O981" s="21">
        <v>0.75</v>
      </c>
      <c r="P981" s="21">
        <v>227</v>
      </c>
      <c r="Q981" s="21">
        <v>0.65639999999999998</v>
      </c>
      <c r="R981" s="21">
        <v>225</v>
      </c>
      <c r="S981" s="21">
        <v>79</v>
      </c>
      <c r="T981" s="21">
        <v>4.4900000000000002E-2</v>
      </c>
      <c r="U981" s="21">
        <v>5.62E-2</v>
      </c>
      <c r="W981" s="21">
        <v>21</v>
      </c>
      <c r="X981" s="21">
        <v>22</v>
      </c>
      <c r="Y981" s="21">
        <v>55</v>
      </c>
      <c r="Z981" s="21">
        <v>0.1</v>
      </c>
      <c r="AA981" s="21">
        <v>0.4</v>
      </c>
      <c r="AB981" s="21">
        <v>304</v>
      </c>
      <c r="AC981" s="21">
        <v>304</v>
      </c>
      <c r="AD981" s="21">
        <v>321</v>
      </c>
      <c r="AE981" s="21">
        <v>8</v>
      </c>
      <c r="AF981" s="21">
        <v>2.3699999999999999E-2</v>
      </c>
      <c r="AG981" s="21">
        <v>42</v>
      </c>
      <c r="AH981" s="21">
        <v>0.12429999999999999</v>
      </c>
      <c r="AI981" s="21">
        <v>0.3</v>
      </c>
      <c r="AJ981" s="21">
        <v>0.70589999999999997</v>
      </c>
      <c r="AK981" s="21">
        <v>38</v>
      </c>
      <c r="AL981" s="21">
        <v>0.11840000000000001</v>
      </c>
      <c r="AM981" s="21">
        <v>12</v>
      </c>
      <c r="AN981" s="21">
        <v>3.7400000000000003E-2</v>
      </c>
      <c r="AO981" s="21">
        <v>0.54759999999999998</v>
      </c>
      <c r="AP981" s="21">
        <v>25</v>
      </c>
      <c r="AQ981" s="21">
        <v>25</v>
      </c>
      <c r="AR981" s="21">
        <v>3</v>
      </c>
      <c r="AS981" s="21">
        <v>21</v>
      </c>
      <c r="AT981" s="21">
        <v>0</v>
      </c>
      <c r="AU981" s="21">
        <v>3205</v>
      </c>
      <c r="AV981" s="21">
        <v>105</v>
      </c>
    </row>
    <row r="982" spans="1:48" x14ac:dyDescent="0.15">
      <c r="A982" s="20" t="s">
        <v>48</v>
      </c>
      <c r="B982" s="20" t="s">
        <v>131</v>
      </c>
      <c r="C982" s="21">
        <v>34</v>
      </c>
      <c r="D982" s="21">
        <v>-97</v>
      </c>
      <c r="E982" s="21">
        <v>0</v>
      </c>
      <c r="F982" s="21">
        <v>-63</v>
      </c>
      <c r="G982" s="21">
        <v>190</v>
      </c>
      <c r="H982" s="21">
        <v>11</v>
      </c>
      <c r="I982" s="21">
        <v>217</v>
      </c>
      <c r="J982" s="21">
        <v>260</v>
      </c>
      <c r="K982" s="21">
        <v>-496</v>
      </c>
      <c r="L982" s="21">
        <v>141</v>
      </c>
      <c r="M982" s="21">
        <v>0.22700000000000001</v>
      </c>
      <c r="N982" s="21">
        <v>0.14180000000000001</v>
      </c>
      <c r="O982" s="21">
        <v>0.1135</v>
      </c>
      <c r="P982" s="21">
        <v>1009</v>
      </c>
      <c r="Q982" s="21">
        <v>5.3499999999999999E-2</v>
      </c>
      <c r="R982" s="21">
        <v>0</v>
      </c>
      <c r="S982" s="21">
        <v>0</v>
      </c>
      <c r="T982" s="21">
        <v>1.0583</v>
      </c>
      <c r="U982" s="21">
        <v>4.6399999999999997E-2</v>
      </c>
      <c r="V982" s="21">
        <v>0.95469999999999999</v>
      </c>
      <c r="W982" s="21">
        <v>9</v>
      </c>
      <c r="X982" s="21">
        <v>9</v>
      </c>
      <c r="Y982" s="21">
        <v>21</v>
      </c>
      <c r="Z982" s="21">
        <v>0</v>
      </c>
      <c r="AA982" s="21">
        <v>0.4</v>
      </c>
      <c r="AB982" s="21">
        <v>351</v>
      </c>
      <c r="AC982" s="21">
        <v>351</v>
      </c>
      <c r="AD982" s="21">
        <v>364</v>
      </c>
      <c r="AE982" s="21">
        <v>3</v>
      </c>
      <c r="AF982" s="21">
        <v>7.9000000000000008E-3</v>
      </c>
      <c r="AG982" s="21">
        <v>30</v>
      </c>
      <c r="AH982" s="21">
        <v>7.9399999999999998E-2</v>
      </c>
      <c r="AI982" s="21">
        <v>0</v>
      </c>
      <c r="AJ982" s="21">
        <v>0.76359999999999995</v>
      </c>
      <c r="AK982" s="21">
        <v>13</v>
      </c>
      <c r="AL982" s="21">
        <v>3.5700000000000003E-2</v>
      </c>
      <c r="AM982" s="21">
        <v>4</v>
      </c>
      <c r="AN982" s="21">
        <v>1.0999999999999999E-2</v>
      </c>
      <c r="AO982" s="21">
        <v>0.81689999999999996</v>
      </c>
      <c r="AP982" s="21">
        <v>127</v>
      </c>
      <c r="AQ982" s="21">
        <v>127</v>
      </c>
      <c r="AR982" s="21">
        <v>125</v>
      </c>
      <c r="AS982" s="21">
        <v>2</v>
      </c>
      <c r="AT982" s="21">
        <v>0</v>
      </c>
      <c r="AU982" s="21">
        <v>2919</v>
      </c>
      <c r="AV982" s="21">
        <v>112</v>
      </c>
    </row>
    <row r="983" spans="1:48" x14ac:dyDescent="0.15">
      <c r="A983" s="20" t="s">
        <v>50</v>
      </c>
      <c r="B983" s="20" t="s">
        <v>131</v>
      </c>
      <c r="C983" s="21">
        <v>1828</v>
      </c>
      <c r="D983" s="21">
        <v>56</v>
      </c>
      <c r="E983" s="21">
        <v>0</v>
      </c>
      <c r="F983" s="21">
        <v>1884</v>
      </c>
      <c r="G983" s="21">
        <v>15</v>
      </c>
      <c r="H983" s="21">
        <v>1451</v>
      </c>
      <c r="I983" s="21">
        <v>0</v>
      </c>
      <c r="J983" s="21">
        <v>594</v>
      </c>
      <c r="K983" s="21">
        <v>-15</v>
      </c>
      <c r="L983" s="21">
        <v>197</v>
      </c>
      <c r="M983" s="21">
        <v>0.43940000000000001</v>
      </c>
      <c r="N983" s="21">
        <v>0.37880000000000003</v>
      </c>
      <c r="O983" s="21">
        <v>0.18179999999999999</v>
      </c>
      <c r="P983" s="21">
        <v>608</v>
      </c>
      <c r="Q983" s="21">
        <v>0.1908</v>
      </c>
      <c r="R983" s="21">
        <v>10</v>
      </c>
      <c r="S983" s="21">
        <v>3</v>
      </c>
      <c r="T983" s="21">
        <v>0.33400000000000002</v>
      </c>
      <c r="U983" s="21">
        <v>3.39E-2</v>
      </c>
      <c r="V983" s="21">
        <v>0.97650000000000003</v>
      </c>
      <c r="W983" s="21">
        <v>11</v>
      </c>
      <c r="X983" s="21">
        <v>14</v>
      </c>
      <c r="Y983" s="21">
        <v>37</v>
      </c>
      <c r="Z983" s="21">
        <v>0.1</v>
      </c>
      <c r="AA983" s="21">
        <v>0.4</v>
      </c>
      <c r="AB983" s="21">
        <v>159</v>
      </c>
      <c r="AC983" s="21">
        <v>159</v>
      </c>
      <c r="AD983" s="21">
        <v>174</v>
      </c>
      <c r="AE983" s="21">
        <v>7</v>
      </c>
      <c r="AF983" s="21">
        <v>3.7199999999999997E-2</v>
      </c>
      <c r="AG983" s="21">
        <v>36</v>
      </c>
      <c r="AH983" s="21">
        <v>0.1915</v>
      </c>
      <c r="AI983" s="21">
        <v>0</v>
      </c>
      <c r="AJ983" s="21">
        <v>0.2</v>
      </c>
      <c r="AK983" s="21">
        <v>21</v>
      </c>
      <c r="AL983" s="21">
        <v>0.121</v>
      </c>
      <c r="AM983" s="21">
        <v>6</v>
      </c>
      <c r="AN983" s="21">
        <v>3.4599999999999999E-2</v>
      </c>
      <c r="AO983" s="21">
        <v>0.32400000000000001</v>
      </c>
      <c r="AP983" s="21">
        <v>61</v>
      </c>
      <c r="AQ983" s="21">
        <v>61</v>
      </c>
      <c r="AR983" s="21">
        <v>41</v>
      </c>
      <c r="AS983" s="21">
        <v>12</v>
      </c>
      <c r="AT983" s="21">
        <v>8</v>
      </c>
      <c r="AU983" s="21">
        <v>7306</v>
      </c>
      <c r="AV983" s="21">
        <v>109</v>
      </c>
    </row>
    <row r="984" spans="1:48" x14ac:dyDescent="0.15">
      <c r="A984" s="20" t="s">
        <v>51</v>
      </c>
      <c r="B984" s="20" t="s">
        <v>131</v>
      </c>
      <c r="C984" s="21">
        <v>40457</v>
      </c>
      <c r="D984" s="21">
        <v>507</v>
      </c>
      <c r="E984" s="21">
        <v>-40</v>
      </c>
      <c r="F984" s="21">
        <v>40924</v>
      </c>
      <c r="G984" s="21">
        <v>2920</v>
      </c>
      <c r="H984" s="21">
        <v>19073</v>
      </c>
      <c r="I984" s="21">
        <v>11583</v>
      </c>
      <c r="J984" s="21">
        <v>9380</v>
      </c>
      <c r="K984" s="21">
        <v>-1909</v>
      </c>
      <c r="L984" s="21">
        <v>911</v>
      </c>
      <c r="M984" s="21">
        <v>0.64510000000000001</v>
      </c>
      <c r="N984" s="21">
        <v>0.62760000000000005</v>
      </c>
      <c r="O984" s="21">
        <v>0.22120000000000001</v>
      </c>
      <c r="P984" s="21">
        <v>3067</v>
      </c>
      <c r="Q984" s="21">
        <v>0.3841</v>
      </c>
      <c r="R984" s="21">
        <v>45</v>
      </c>
      <c r="S984" s="21">
        <v>13</v>
      </c>
      <c r="T984" s="21">
        <v>0.1416</v>
      </c>
      <c r="U984" s="21">
        <v>0.1008</v>
      </c>
      <c r="V984" s="21">
        <v>0.96740000000000004</v>
      </c>
      <c r="W984" s="21">
        <v>703</v>
      </c>
      <c r="X984" s="21">
        <v>738</v>
      </c>
      <c r="Y984" s="21">
        <v>1944</v>
      </c>
      <c r="Z984" s="21">
        <v>0.1</v>
      </c>
      <c r="AA984" s="21">
        <v>0.4</v>
      </c>
      <c r="AB984" s="21">
        <v>11670</v>
      </c>
      <c r="AC984" s="21">
        <v>11415</v>
      </c>
      <c r="AD984" s="21">
        <v>11636</v>
      </c>
      <c r="AE984" s="21">
        <v>946</v>
      </c>
      <c r="AF984" s="21">
        <v>8.1500000000000003E-2</v>
      </c>
      <c r="AG984" s="21">
        <v>877</v>
      </c>
      <c r="AH984" s="21">
        <v>7.5600000000000001E-2</v>
      </c>
      <c r="AI984" s="21">
        <v>7.0300000000000001E-2</v>
      </c>
      <c r="AJ984" s="21">
        <v>0.82909999999999995</v>
      </c>
      <c r="AK984" s="21">
        <v>1500</v>
      </c>
      <c r="AL984" s="21">
        <v>0.13039999999999999</v>
      </c>
      <c r="AM984" s="21">
        <v>413</v>
      </c>
      <c r="AN984" s="21">
        <v>3.5900000000000001E-2</v>
      </c>
      <c r="AO984" s="21">
        <v>0.70950000000000002</v>
      </c>
      <c r="AP984" s="21">
        <v>186</v>
      </c>
      <c r="AQ984" s="21">
        <v>186</v>
      </c>
      <c r="AR984" s="21">
        <v>142</v>
      </c>
      <c r="AS984" s="21">
        <v>11</v>
      </c>
      <c r="AT984" s="21">
        <v>33</v>
      </c>
      <c r="AU984" s="21">
        <v>13453</v>
      </c>
      <c r="AV984" s="21">
        <v>1265</v>
      </c>
    </row>
    <row r="985" spans="1:48" x14ac:dyDescent="0.15">
      <c r="A985" s="20" t="s">
        <v>52</v>
      </c>
      <c r="B985" s="20" t="s">
        <v>131</v>
      </c>
      <c r="C985" s="21">
        <v>9757</v>
      </c>
      <c r="D985" s="21">
        <v>-97</v>
      </c>
      <c r="E985" s="21">
        <v>0</v>
      </c>
      <c r="F985" s="21">
        <v>9660</v>
      </c>
      <c r="G985" s="21">
        <v>1306</v>
      </c>
      <c r="H985" s="21">
        <v>3359</v>
      </c>
      <c r="I985" s="21">
        <v>2621</v>
      </c>
      <c r="J985" s="21">
        <v>2414</v>
      </c>
      <c r="K985" s="21">
        <v>-34</v>
      </c>
      <c r="L985" s="21">
        <v>244</v>
      </c>
      <c r="M985" s="21">
        <v>0.59019999999999995</v>
      </c>
      <c r="N985" s="21">
        <v>0.53280000000000005</v>
      </c>
      <c r="O985" s="21">
        <v>0.123</v>
      </c>
      <c r="P985" s="21">
        <v>1175</v>
      </c>
      <c r="Q985" s="21">
        <v>0.24940000000000001</v>
      </c>
      <c r="R985" s="21">
        <v>42</v>
      </c>
      <c r="S985" s="21">
        <v>8</v>
      </c>
      <c r="T985" s="21">
        <v>0.15160000000000001</v>
      </c>
      <c r="U985" s="21">
        <v>5.0500000000000003E-2</v>
      </c>
      <c r="V985" s="21">
        <v>0.99529999999999996</v>
      </c>
      <c r="W985" s="21">
        <v>282</v>
      </c>
      <c r="X985" s="21">
        <v>101</v>
      </c>
      <c r="Y985" s="21">
        <v>100</v>
      </c>
      <c r="Z985" s="21">
        <v>0.2</v>
      </c>
      <c r="AA985" s="21">
        <v>1</v>
      </c>
      <c r="AB985" s="21">
        <v>392</v>
      </c>
      <c r="AC985" s="21">
        <v>392</v>
      </c>
      <c r="AD985" s="21">
        <v>408</v>
      </c>
      <c r="AE985" s="21">
        <v>4</v>
      </c>
      <c r="AF985" s="21">
        <v>9.4000000000000004E-3</v>
      </c>
      <c r="AG985" s="21">
        <v>37</v>
      </c>
      <c r="AH985" s="21">
        <v>8.7099999999999997E-2</v>
      </c>
      <c r="AI985" s="21">
        <v>0</v>
      </c>
      <c r="AJ985" s="21">
        <v>0.58489999999999998</v>
      </c>
      <c r="AK985" s="21">
        <v>50</v>
      </c>
      <c r="AL985" s="21">
        <v>0.12239999999999999</v>
      </c>
      <c r="AM985" s="21">
        <v>27</v>
      </c>
      <c r="AN985" s="21">
        <v>6.6100000000000006E-2</v>
      </c>
      <c r="AO985" s="21">
        <v>0.95199999999999996</v>
      </c>
      <c r="AP985" s="21">
        <v>65</v>
      </c>
      <c r="AQ985" s="21">
        <v>65</v>
      </c>
      <c r="AR985" s="21">
        <v>54</v>
      </c>
      <c r="AS985" s="21">
        <v>11</v>
      </c>
      <c r="AT985" s="21">
        <v>0</v>
      </c>
      <c r="AU985" s="21">
        <v>6797</v>
      </c>
      <c r="AV985" s="21">
        <v>201</v>
      </c>
    </row>
    <row r="986" spans="1:48" x14ac:dyDescent="0.15">
      <c r="A986" s="20" t="s">
        <v>53</v>
      </c>
      <c r="B986" s="20" t="s">
        <v>131</v>
      </c>
      <c r="C986" s="21">
        <v>-723</v>
      </c>
      <c r="D986" s="21">
        <v>-50</v>
      </c>
      <c r="E986" s="21">
        <v>-114</v>
      </c>
      <c r="F986" s="21">
        <v>-887</v>
      </c>
      <c r="H986" s="21">
        <v>-5</v>
      </c>
      <c r="I986" s="21">
        <v>-32</v>
      </c>
      <c r="J986" s="21">
        <v>-5</v>
      </c>
      <c r="K986" s="21">
        <v>-846</v>
      </c>
      <c r="L986" s="21">
        <v>141</v>
      </c>
      <c r="M986" s="21">
        <v>0.12590000000000001</v>
      </c>
      <c r="N986" s="21">
        <v>7.0000000000000001E-3</v>
      </c>
      <c r="O986" s="21">
        <v>0.1399</v>
      </c>
      <c r="P986" s="21">
        <v>2681</v>
      </c>
      <c r="Q986" s="21">
        <v>8.2000000000000007E-3</v>
      </c>
      <c r="R986" s="21">
        <v>-6</v>
      </c>
      <c r="S986" s="21">
        <v>0</v>
      </c>
      <c r="T986" s="21">
        <v>5.2348999999999997</v>
      </c>
      <c r="U986" s="21">
        <v>4.3400000000000001E-2</v>
      </c>
      <c r="V986" s="21">
        <v>0.96440000000000003</v>
      </c>
      <c r="W986" s="21">
        <v>221</v>
      </c>
      <c r="X986" s="21">
        <v>240</v>
      </c>
      <c r="Y986" s="21">
        <v>656</v>
      </c>
      <c r="Z986" s="21">
        <v>0.1</v>
      </c>
      <c r="AA986" s="21">
        <v>0.4</v>
      </c>
      <c r="AB986" s="21">
        <v>4462</v>
      </c>
      <c r="AC986" s="21">
        <v>4223</v>
      </c>
      <c r="AD986" s="21">
        <v>4483</v>
      </c>
      <c r="AE986" s="21">
        <v>339</v>
      </c>
      <c r="AF986" s="21">
        <v>7.5300000000000006E-2</v>
      </c>
      <c r="AG986" s="21">
        <v>381</v>
      </c>
      <c r="AH986" s="21">
        <v>8.4599999999999995E-2</v>
      </c>
      <c r="AI986" s="21">
        <v>4.4400000000000002E-2</v>
      </c>
      <c r="AJ986" s="21">
        <v>0.69379999999999997</v>
      </c>
      <c r="AK986" s="21">
        <v>359</v>
      </c>
      <c r="AL986" s="21">
        <v>8.2299999999999998E-2</v>
      </c>
      <c r="AM986" s="21">
        <v>129</v>
      </c>
      <c r="AN986" s="21">
        <v>2.9600000000000001E-2</v>
      </c>
      <c r="AO986" s="21">
        <v>0.78129999999999999</v>
      </c>
      <c r="AP986" s="21">
        <v>80</v>
      </c>
      <c r="AQ986" s="21">
        <v>80</v>
      </c>
      <c r="AR986" s="21">
        <v>79</v>
      </c>
      <c r="AS986" s="21">
        <v>2</v>
      </c>
      <c r="AT986" s="21">
        <v>0</v>
      </c>
      <c r="AU986" s="21">
        <v>2182</v>
      </c>
      <c r="AV986" s="21">
        <v>163</v>
      </c>
    </row>
    <row r="987" spans="1:48" x14ac:dyDescent="0.15">
      <c r="A987" s="20" t="s">
        <v>0</v>
      </c>
      <c r="B987" s="20" t="s">
        <v>131</v>
      </c>
      <c r="C987" s="21">
        <v>85753</v>
      </c>
      <c r="D987" s="21">
        <v>121</v>
      </c>
      <c r="E987" s="21">
        <v>-189</v>
      </c>
      <c r="F987" s="21">
        <v>85685</v>
      </c>
      <c r="G987" s="21">
        <v>11756</v>
      </c>
      <c r="H987" s="21">
        <v>34124</v>
      </c>
      <c r="I987" s="21">
        <v>19713</v>
      </c>
      <c r="J987" s="21">
        <v>26959</v>
      </c>
      <c r="K987" s="21">
        <v>-5531</v>
      </c>
      <c r="L987" s="21">
        <v>3010</v>
      </c>
      <c r="M987" s="21">
        <v>0.4899</v>
      </c>
      <c r="N987" s="21">
        <v>0.435</v>
      </c>
      <c r="O987" s="21">
        <v>0.2195</v>
      </c>
      <c r="P987" s="21">
        <v>18022</v>
      </c>
      <c r="Q987" s="21">
        <v>0.1497</v>
      </c>
      <c r="R987" s="21">
        <v>29</v>
      </c>
      <c r="S987" s="21">
        <v>5</v>
      </c>
      <c r="T987" s="21">
        <v>0.21149999999999999</v>
      </c>
      <c r="U987" s="21">
        <v>5.57E-2</v>
      </c>
      <c r="V987" s="21">
        <v>0.97419999999999995</v>
      </c>
      <c r="W987" s="21">
        <v>1953</v>
      </c>
      <c r="X987" s="21">
        <v>1788</v>
      </c>
      <c r="Y987" s="21">
        <v>4186</v>
      </c>
      <c r="Z987" s="21">
        <v>0.1</v>
      </c>
      <c r="AA987" s="21">
        <v>0.4</v>
      </c>
      <c r="AB987" s="21">
        <v>24448</v>
      </c>
      <c r="AC987" s="21">
        <v>23954</v>
      </c>
      <c r="AD987" s="21">
        <v>24535</v>
      </c>
      <c r="AE987" s="21">
        <v>1690</v>
      </c>
      <c r="AF987" s="21">
        <v>6.8599999999999994E-2</v>
      </c>
      <c r="AG987" s="21">
        <v>1864</v>
      </c>
      <c r="AH987" s="21">
        <v>7.5700000000000003E-2</v>
      </c>
      <c r="AI987" s="21">
        <v>6.0699999999999997E-2</v>
      </c>
      <c r="AJ987" s="21">
        <v>0.73260000000000003</v>
      </c>
      <c r="AK987" s="21">
        <v>2863</v>
      </c>
      <c r="AL987" s="21">
        <v>0.1179</v>
      </c>
      <c r="AM987" s="21">
        <v>992</v>
      </c>
      <c r="AN987" s="21">
        <v>4.0899999999999999E-2</v>
      </c>
      <c r="AO987" s="21">
        <v>0.75</v>
      </c>
      <c r="AP987" s="21">
        <v>2026</v>
      </c>
      <c r="AQ987" s="21">
        <v>2026</v>
      </c>
      <c r="AR987" s="21">
        <v>1857</v>
      </c>
      <c r="AS987" s="21">
        <v>101</v>
      </c>
      <c r="AT987" s="21">
        <v>68</v>
      </c>
      <c r="AU987" s="21">
        <v>72374</v>
      </c>
      <c r="AV987" s="21">
        <v>3251</v>
      </c>
    </row>
    <row r="988" spans="1:48" x14ac:dyDescent="0.15">
      <c r="A988" s="20" t="s">
        <v>54</v>
      </c>
      <c r="B988" s="20" t="s">
        <v>131</v>
      </c>
      <c r="C988" s="21">
        <v>-492</v>
      </c>
      <c r="D988" s="21">
        <v>-1108</v>
      </c>
      <c r="E988" s="21">
        <v>-20</v>
      </c>
      <c r="F988" s="21">
        <v>-1620</v>
      </c>
      <c r="G988" s="21">
        <v>-230</v>
      </c>
      <c r="H988" s="21">
        <v>-61</v>
      </c>
      <c r="I988" s="21">
        <v>-13</v>
      </c>
      <c r="J988" s="21">
        <v>-336</v>
      </c>
      <c r="K988" s="21">
        <v>-977</v>
      </c>
      <c r="L988" s="21">
        <v>261</v>
      </c>
      <c r="M988" s="21">
        <v>0.25950000000000001</v>
      </c>
      <c r="N988" s="21">
        <v>6.4899999999999999E-2</v>
      </c>
      <c r="O988" s="21">
        <v>0.27100000000000002</v>
      </c>
      <c r="P988" s="21">
        <v>918</v>
      </c>
      <c r="Q988" s="21">
        <v>0.12640000000000001</v>
      </c>
      <c r="R988" s="21">
        <v>-6</v>
      </c>
      <c r="S988" s="21">
        <v>-2</v>
      </c>
      <c r="T988" s="21">
        <v>6.9294000000000002</v>
      </c>
      <c r="U988" s="21">
        <v>1.89E-2</v>
      </c>
      <c r="V988" s="21">
        <v>0.98640000000000005</v>
      </c>
      <c r="W988" s="21">
        <v>104</v>
      </c>
      <c r="X988" s="21">
        <v>111</v>
      </c>
      <c r="Y988" s="21">
        <v>205</v>
      </c>
      <c r="Z988" s="21">
        <v>0.1</v>
      </c>
      <c r="AA988" s="21">
        <v>0.5</v>
      </c>
      <c r="AB988" s="21">
        <v>771</v>
      </c>
      <c r="AC988" s="21">
        <v>771</v>
      </c>
      <c r="AD988" s="21">
        <v>780</v>
      </c>
      <c r="AE988" s="21">
        <v>83</v>
      </c>
      <c r="AF988" s="21">
        <v>0.1053</v>
      </c>
      <c r="AG988" s="21">
        <v>100</v>
      </c>
      <c r="AH988" s="21">
        <v>0.12690000000000001</v>
      </c>
      <c r="AI988" s="21">
        <v>6.5600000000000006E-2</v>
      </c>
      <c r="AJ988" s="21">
        <v>0.56000000000000005</v>
      </c>
      <c r="AK988" s="21">
        <v>139</v>
      </c>
      <c r="AL988" s="21">
        <v>0.17829999999999999</v>
      </c>
      <c r="AM988" s="21">
        <v>81</v>
      </c>
      <c r="AN988" s="21">
        <v>0.10390000000000001</v>
      </c>
      <c r="AO988" s="21">
        <v>0.78139999999999998</v>
      </c>
      <c r="AP988" s="21">
        <v>648</v>
      </c>
      <c r="AQ988" s="21">
        <v>648</v>
      </c>
      <c r="AR988" s="21">
        <v>646</v>
      </c>
      <c r="AS988" s="21">
        <v>1</v>
      </c>
      <c r="AT988" s="21">
        <v>1</v>
      </c>
      <c r="AU988" s="21">
        <v>5609</v>
      </c>
      <c r="AV988" s="21">
        <v>119</v>
      </c>
    </row>
    <row r="989" spans="1:48" x14ac:dyDescent="0.15">
      <c r="A989" s="20" t="s">
        <v>55</v>
      </c>
      <c r="B989" s="20" t="s">
        <v>131</v>
      </c>
      <c r="C989" s="21">
        <v>-66</v>
      </c>
      <c r="D989" s="21">
        <v>-3</v>
      </c>
      <c r="E989" s="21">
        <v>0</v>
      </c>
      <c r="F989" s="21">
        <v>-68</v>
      </c>
      <c r="G989" s="21">
        <v>3</v>
      </c>
      <c r="H989" s="21">
        <v>56</v>
      </c>
      <c r="I989" s="21">
        <v>168</v>
      </c>
      <c r="J989" s="21">
        <v>53</v>
      </c>
      <c r="K989" s="21">
        <v>-342</v>
      </c>
      <c r="L989" s="21">
        <v>84</v>
      </c>
      <c r="M989" s="21">
        <v>0.32140000000000002</v>
      </c>
      <c r="N989" s="21">
        <v>0.27379999999999999</v>
      </c>
      <c r="O989" s="21">
        <v>0.13100000000000001</v>
      </c>
      <c r="P989" s="21">
        <v>1315</v>
      </c>
      <c r="Q989" s="21">
        <v>3.7999999999999999E-2</v>
      </c>
      <c r="R989" s="21">
        <v>-1</v>
      </c>
      <c r="S989" s="21">
        <v>0</v>
      </c>
      <c r="T989" s="21">
        <v>1.1091</v>
      </c>
      <c r="U989" s="21">
        <v>8.2000000000000007E-3</v>
      </c>
      <c r="V989" s="21">
        <v>0.9778</v>
      </c>
      <c r="W989" s="21">
        <v>23</v>
      </c>
      <c r="X989" s="21">
        <v>19</v>
      </c>
      <c r="Y989" s="21">
        <v>49</v>
      </c>
      <c r="Z989" s="21">
        <v>0</v>
      </c>
      <c r="AA989" s="21">
        <v>0.4</v>
      </c>
      <c r="AB989" s="21">
        <v>473</v>
      </c>
      <c r="AC989" s="21">
        <v>473</v>
      </c>
      <c r="AD989" s="21">
        <v>488</v>
      </c>
      <c r="AE989" s="21">
        <v>7</v>
      </c>
      <c r="AF989" s="21">
        <v>1.3899999999999999E-2</v>
      </c>
      <c r="AG989" s="21">
        <v>36</v>
      </c>
      <c r="AH989" s="21">
        <v>7.17E-2</v>
      </c>
      <c r="AI989" s="21">
        <v>0</v>
      </c>
      <c r="AJ989" s="21">
        <v>0.83330000000000004</v>
      </c>
      <c r="AK989" s="21">
        <v>29</v>
      </c>
      <c r="AL989" s="21">
        <v>5.9499999999999997E-2</v>
      </c>
      <c r="AM989" s="21">
        <v>9</v>
      </c>
      <c r="AN989" s="21">
        <v>1.8499999999999999E-2</v>
      </c>
      <c r="AP989" s="21">
        <v>114</v>
      </c>
      <c r="AQ989" s="21">
        <v>114</v>
      </c>
      <c r="AR989" s="21">
        <v>104</v>
      </c>
      <c r="AS989" s="21">
        <v>0</v>
      </c>
      <c r="AT989" s="21">
        <v>10</v>
      </c>
      <c r="AU989" s="21">
        <v>887</v>
      </c>
      <c r="AV989" s="21">
        <v>0</v>
      </c>
    </row>
    <row r="990" spans="1:48" x14ac:dyDescent="0.15">
      <c r="A990" s="20" t="s">
        <v>56</v>
      </c>
      <c r="B990" s="20" t="s">
        <v>131</v>
      </c>
      <c r="C990" s="21">
        <v>-67</v>
      </c>
      <c r="D990" s="21">
        <v>59</v>
      </c>
      <c r="E990" s="21">
        <v>-15</v>
      </c>
      <c r="F990" s="21">
        <v>-23</v>
      </c>
      <c r="G990" s="21">
        <v>0</v>
      </c>
      <c r="H990" s="21">
        <v>-5</v>
      </c>
      <c r="I990" s="21">
        <v>0</v>
      </c>
      <c r="J990" s="21">
        <v>16</v>
      </c>
      <c r="K990" s="21">
        <v>-33</v>
      </c>
      <c r="L990" s="21">
        <v>108</v>
      </c>
      <c r="M990" s="21">
        <v>9.1700000000000004E-2</v>
      </c>
      <c r="N990" s="21">
        <v>2.75E-2</v>
      </c>
      <c r="O990" s="21">
        <v>7.3400000000000007E-2</v>
      </c>
      <c r="P990" s="21">
        <v>2048</v>
      </c>
      <c r="Q990" s="21">
        <v>7.7999999999999996E-3</v>
      </c>
      <c r="R990" s="21">
        <v>0</v>
      </c>
      <c r="S990" s="21">
        <v>0</v>
      </c>
      <c r="T990" s="21">
        <v>1.1419999999999999</v>
      </c>
      <c r="U990" s="21">
        <v>5.8200000000000002E-2</v>
      </c>
      <c r="V990" s="21">
        <v>0.99570000000000003</v>
      </c>
      <c r="W990" s="21">
        <v>48</v>
      </c>
      <c r="X990" s="21">
        <v>34</v>
      </c>
      <c r="Y990" s="21">
        <v>44</v>
      </c>
      <c r="Z990" s="21">
        <v>0.3</v>
      </c>
      <c r="AA990" s="21">
        <v>0.8</v>
      </c>
      <c r="AB990" s="21">
        <v>115</v>
      </c>
      <c r="AC990" s="21">
        <v>115</v>
      </c>
      <c r="AD990" s="21">
        <v>112</v>
      </c>
      <c r="AE990" s="21">
        <v>6</v>
      </c>
      <c r="AF990" s="21">
        <v>5.5E-2</v>
      </c>
      <c r="AG990" s="21">
        <v>0</v>
      </c>
      <c r="AH990" s="21">
        <v>0</v>
      </c>
      <c r="AI990" s="21">
        <v>0</v>
      </c>
      <c r="AJ990" s="21">
        <v>0.33329999999999999</v>
      </c>
      <c r="AK990" s="21">
        <v>30</v>
      </c>
      <c r="AL990" s="21">
        <v>0.26790000000000003</v>
      </c>
      <c r="AM990" s="21">
        <v>25</v>
      </c>
      <c r="AN990" s="21">
        <v>0.22320000000000001</v>
      </c>
      <c r="AO990" s="21">
        <v>0.75770000000000004</v>
      </c>
      <c r="AP990" s="21">
        <v>184</v>
      </c>
      <c r="AQ990" s="21">
        <v>184</v>
      </c>
      <c r="AR990" s="21">
        <v>172</v>
      </c>
      <c r="AS990" s="21">
        <v>12</v>
      </c>
      <c r="AT990" s="21">
        <v>0</v>
      </c>
      <c r="AU990" s="21">
        <v>1412</v>
      </c>
      <c r="AV990" s="21">
        <v>72</v>
      </c>
    </row>
    <row r="991" spans="1:48" x14ac:dyDescent="0.15">
      <c r="A991" s="20" t="s">
        <v>57</v>
      </c>
      <c r="B991" s="20" t="s">
        <v>131</v>
      </c>
      <c r="C991" s="21">
        <v>17558</v>
      </c>
      <c r="D991" s="21">
        <v>260</v>
      </c>
      <c r="E991" s="21">
        <v>0</v>
      </c>
      <c r="F991" s="21">
        <v>17818</v>
      </c>
      <c r="G991" s="21">
        <v>2678</v>
      </c>
      <c r="H991" s="21">
        <v>-95</v>
      </c>
      <c r="I991" s="21">
        <v>3389</v>
      </c>
      <c r="J991" s="21">
        <v>12402</v>
      </c>
      <c r="K991" s="21">
        <v>-112</v>
      </c>
      <c r="L991" s="21">
        <v>226</v>
      </c>
      <c r="M991" s="21">
        <v>0.49120000000000003</v>
      </c>
      <c r="N991" s="21">
        <v>0.47349999999999998</v>
      </c>
      <c r="O991" s="21">
        <v>0.1593</v>
      </c>
      <c r="P991" s="21">
        <v>689</v>
      </c>
      <c r="Q991" s="21">
        <v>0.25540000000000002</v>
      </c>
      <c r="R991" s="21">
        <v>80</v>
      </c>
      <c r="S991" s="21">
        <v>26</v>
      </c>
      <c r="T991" s="21">
        <v>0.107</v>
      </c>
      <c r="U991" s="21">
        <v>4.4900000000000002E-2</v>
      </c>
      <c r="V991" s="21">
        <v>0.96509999999999996</v>
      </c>
      <c r="W991" s="21">
        <v>159</v>
      </c>
      <c r="X991" s="21">
        <v>113</v>
      </c>
      <c r="Y991" s="21">
        <v>152</v>
      </c>
      <c r="Z991" s="21">
        <v>0.1</v>
      </c>
      <c r="AA991" s="21">
        <v>0.7</v>
      </c>
      <c r="AB991" s="21">
        <v>1028</v>
      </c>
      <c r="AC991" s="21">
        <v>1028</v>
      </c>
      <c r="AD991" s="21">
        <v>1084</v>
      </c>
      <c r="AE991" s="21">
        <v>50</v>
      </c>
      <c r="AF991" s="21">
        <v>4.3799999999999999E-2</v>
      </c>
      <c r="AG991" s="21">
        <v>163</v>
      </c>
      <c r="AH991" s="21">
        <v>0.1429</v>
      </c>
      <c r="AI991" s="21">
        <v>0.1759</v>
      </c>
      <c r="AJ991" s="21">
        <v>0.59019999999999995</v>
      </c>
      <c r="AK991" s="21">
        <v>102</v>
      </c>
      <c r="AL991" s="21">
        <v>9.4100000000000003E-2</v>
      </c>
      <c r="AM991" s="21">
        <v>55</v>
      </c>
      <c r="AN991" s="21">
        <v>5.0700000000000002E-2</v>
      </c>
      <c r="AO991" s="21">
        <v>0.84030000000000005</v>
      </c>
      <c r="AP991" s="21">
        <v>123</v>
      </c>
      <c r="AQ991" s="21">
        <v>123</v>
      </c>
      <c r="AR991" s="21">
        <v>96</v>
      </c>
      <c r="AS991" s="21">
        <v>18</v>
      </c>
      <c r="AT991" s="21">
        <v>10</v>
      </c>
      <c r="AU991" s="21">
        <v>14994</v>
      </c>
      <c r="AV991" s="21">
        <v>318</v>
      </c>
    </row>
    <row r="992" spans="1:48" x14ac:dyDescent="0.15">
      <c r="A992" s="20" t="s">
        <v>58</v>
      </c>
      <c r="B992" s="20" t="s">
        <v>131</v>
      </c>
      <c r="C992" s="21">
        <v>12997</v>
      </c>
      <c r="D992" s="21">
        <v>1107</v>
      </c>
      <c r="E992" s="21">
        <v>0</v>
      </c>
      <c r="F992" s="21">
        <v>14104</v>
      </c>
      <c r="G992" s="21">
        <v>4708</v>
      </c>
      <c r="H992" s="21">
        <v>9313</v>
      </c>
      <c r="J992" s="21">
        <v>806</v>
      </c>
      <c r="K992" s="21">
        <v>-679</v>
      </c>
      <c r="L992" s="21">
        <v>407</v>
      </c>
      <c r="M992" s="21">
        <v>0.69079999999999997</v>
      </c>
      <c r="N992" s="21">
        <v>0.6522</v>
      </c>
      <c r="O992" s="21">
        <v>0.43240000000000001</v>
      </c>
      <c r="P992" s="21">
        <v>2672</v>
      </c>
      <c r="Q992" s="21">
        <v>0.18709999999999999</v>
      </c>
      <c r="R992" s="21">
        <v>35</v>
      </c>
      <c r="S992" s="21">
        <v>5</v>
      </c>
      <c r="T992" s="21">
        <v>0.26</v>
      </c>
      <c r="U992" s="21">
        <v>8.2500000000000004E-2</v>
      </c>
      <c r="V992" s="21">
        <v>0.9657</v>
      </c>
      <c r="W992" s="21">
        <v>270</v>
      </c>
      <c r="X992" s="21">
        <v>288</v>
      </c>
      <c r="Y992" s="21">
        <v>704</v>
      </c>
      <c r="Z992" s="21">
        <v>0.1</v>
      </c>
      <c r="AA992" s="21">
        <v>0.4</v>
      </c>
      <c r="AB992" s="21">
        <v>3346</v>
      </c>
      <c r="AC992" s="21">
        <v>3346</v>
      </c>
      <c r="AD992" s="21">
        <v>3322</v>
      </c>
      <c r="AE992" s="21">
        <v>147</v>
      </c>
      <c r="AF992" s="21">
        <v>4.4600000000000001E-2</v>
      </c>
      <c r="AG992" s="21">
        <v>98</v>
      </c>
      <c r="AH992" s="21">
        <v>2.9700000000000001E-2</v>
      </c>
      <c r="AI992" s="21">
        <v>2.0400000000000001E-2</v>
      </c>
      <c r="AJ992" s="21">
        <v>0.74399999999999999</v>
      </c>
      <c r="AK992" s="21">
        <v>428</v>
      </c>
      <c r="AL992" s="21">
        <v>0.12889999999999999</v>
      </c>
      <c r="AM992" s="21">
        <v>184</v>
      </c>
      <c r="AN992" s="21">
        <v>5.5399999999999998E-2</v>
      </c>
      <c r="AO992" s="21">
        <v>0.80369999999999997</v>
      </c>
      <c r="AP992" s="21">
        <v>155</v>
      </c>
      <c r="AQ992" s="21">
        <v>155</v>
      </c>
      <c r="AR992" s="21">
        <v>144</v>
      </c>
      <c r="AS992" s="21">
        <v>10</v>
      </c>
      <c r="AT992" s="21">
        <v>1</v>
      </c>
      <c r="AU992" s="21">
        <v>7418</v>
      </c>
      <c r="AV992" s="21">
        <v>565</v>
      </c>
    </row>
    <row r="993" spans="1:48" x14ac:dyDescent="0.15">
      <c r="A993" s="20" t="s">
        <v>59</v>
      </c>
      <c r="B993" s="20" t="s">
        <v>131</v>
      </c>
      <c r="C993" s="21">
        <v>87</v>
      </c>
      <c r="D993" s="21">
        <v>-507</v>
      </c>
      <c r="E993" s="21">
        <v>0</v>
      </c>
      <c r="F993" s="21">
        <v>-421</v>
      </c>
      <c r="G993" s="21">
        <v>-398</v>
      </c>
      <c r="H993" s="21">
        <v>-8</v>
      </c>
      <c r="I993" s="21">
        <v>-71</v>
      </c>
      <c r="J993" s="21">
        <v>87</v>
      </c>
      <c r="K993" s="21">
        <v>-30</v>
      </c>
      <c r="L993" s="21">
        <v>86</v>
      </c>
      <c r="M993" s="21">
        <v>0.13950000000000001</v>
      </c>
      <c r="N993" s="21">
        <v>0.1163</v>
      </c>
      <c r="O993" s="21">
        <v>5.8099999999999999E-2</v>
      </c>
      <c r="P993" s="21">
        <v>1151</v>
      </c>
      <c r="Q993" s="21">
        <v>1.2999999999999999E-2</v>
      </c>
      <c r="R993" s="21">
        <v>-5</v>
      </c>
      <c r="S993" s="21">
        <v>0</v>
      </c>
      <c r="T993" s="21">
        <v>3.2147999999999999</v>
      </c>
      <c r="U993" s="21">
        <v>4.8399999999999999E-2</v>
      </c>
      <c r="V993" s="21">
        <v>0.99350000000000005</v>
      </c>
      <c r="W993" s="21">
        <v>12</v>
      </c>
      <c r="X993" s="21">
        <v>13</v>
      </c>
      <c r="Y993" s="21">
        <v>29</v>
      </c>
      <c r="Z993" s="21">
        <v>0.1</v>
      </c>
      <c r="AA993" s="21">
        <v>0.5</v>
      </c>
      <c r="AB993" s="21">
        <v>156</v>
      </c>
      <c r="AC993" s="21">
        <v>156</v>
      </c>
      <c r="AD993" s="21">
        <v>164</v>
      </c>
      <c r="AE993" s="21">
        <v>7</v>
      </c>
      <c r="AF993" s="21">
        <v>4.0899999999999999E-2</v>
      </c>
      <c r="AG993" s="21">
        <v>22</v>
      </c>
      <c r="AH993" s="21">
        <v>0.12870000000000001</v>
      </c>
      <c r="AI993" s="21">
        <v>0</v>
      </c>
      <c r="AJ993" s="21">
        <v>0.33329999999999999</v>
      </c>
      <c r="AK993" s="21">
        <v>22</v>
      </c>
      <c r="AL993" s="21">
        <v>0.1346</v>
      </c>
      <c r="AM993" s="21">
        <v>6</v>
      </c>
      <c r="AN993" s="21">
        <v>3.6700000000000003E-2</v>
      </c>
      <c r="AO993" s="21">
        <v>0.89049999999999996</v>
      </c>
      <c r="AP993" s="21">
        <v>175</v>
      </c>
      <c r="AQ993" s="21">
        <v>175</v>
      </c>
      <c r="AR993" s="21">
        <v>175</v>
      </c>
      <c r="AS993" s="21">
        <v>0</v>
      </c>
      <c r="AT993" s="21">
        <v>0</v>
      </c>
      <c r="AU993" s="21">
        <v>1768</v>
      </c>
      <c r="AV993" s="21">
        <v>8</v>
      </c>
    </row>
    <row r="994" spans="1:48" x14ac:dyDescent="0.15">
      <c r="A994" s="20" t="s">
        <v>60</v>
      </c>
      <c r="B994" s="20" t="s">
        <v>131</v>
      </c>
      <c r="C994" s="21">
        <v>1486</v>
      </c>
      <c r="D994" s="21">
        <v>56</v>
      </c>
      <c r="E994" s="21">
        <v>0</v>
      </c>
      <c r="F994" s="21">
        <v>1542</v>
      </c>
      <c r="G994" s="21">
        <v>53</v>
      </c>
      <c r="H994" s="21">
        <v>754</v>
      </c>
      <c r="I994" s="21">
        <v>920</v>
      </c>
      <c r="J994" s="21">
        <v>144</v>
      </c>
      <c r="K994" s="21">
        <v>-28</v>
      </c>
      <c r="L994" s="21">
        <v>126</v>
      </c>
      <c r="M994" s="21">
        <v>0.45240000000000002</v>
      </c>
      <c r="N994" s="21">
        <v>0.36509999999999998</v>
      </c>
      <c r="O994" s="21">
        <v>0.26190000000000002</v>
      </c>
      <c r="P994" s="21">
        <v>462</v>
      </c>
      <c r="Q994" s="21">
        <v>0.21210000000000001</v>
      </c>
      <c r="R994" s="21">
        <v>12</v>
      </c>
      <c r="S994" s="21">
        <v>3</v>
      </c>
      <c r="T994" s="21">
        <v>0.30059999999999998</v>
      </c>
      <c r="U994" s="21">
        <v>3.73E-2</v>
      </c>
      <c r="V994" s="21">
        <v>0.99209999999999998</v>
      </c>
      <c r="W994" s="21">
        <v>99</v>
      </c>
      <c r="X994" s="21">
        <v>94</v>
      </c>
      <c r="Y994" s="21">
        <v>219</v>
      </c>
      <c r="Z994" s="21">
        <v>0.1</v>
      </c>
      <c r="AA994" s="21">
        <v>0.4</v>
      </c>
      <c r="AB994" s="21">
        <v>1249</v>
      </c>
      <c r="AC994" s="21">
        <v>1249</v>
      </c>
      <c r="AD994" s="21">
        <v>1232</v>
      </c>
      <c r="AE994" s="21">
        <v>89</v>
      </c>
      <c r="AF994" s="21">
        <v>7.3300000000000004E-2</v>
      </c>
      <c r="AG994" s="21">
        <v>54</v>
      </c>
      <c r="AH994" s="21">
        <v>4.4499999999999998E-2</v>
      </c>
      <c r="AI994" s="21">
        <v>1.52E-2</v>
      </c>
      <c r="AJ994" s="21">
        <v>0.63790000000000002</v>
      </c>
      <c r="AK994" s="21">
        <v>148</v>
      </c>
      <c r="AL994" s="21">
        <v>0.1202</v>
      </c>
      <c r="AM994" s="21">
        <v>46</v>
      </c>
      <c r="AN994" s="21">
        <v>3.7400000000000003E-2</v>
      </c>
      <c r="AO994" s="21">
        <v>0.78420000000000001</v>
      </c>
      <c r="AP994" s="21">
        <v>86</v>
      </c>
      <c r="AQ994" s="21">
        <v>86</v>
      </c>
      <c r="AR994" s="21">
        <v>69</v>
      </c>
      <c r="AS994" s="21">
        <v>12</v>
      </c>
      <c r="AT994" s="21">
        <v>6</v>
      </c>
      <c r="AU994" s="21">
        <v>4283</v>
      </c>
      <c r="AV994" s="21">
        <v>263</v>
      </c>
    </row>
    <row r="995" spans="1:48" x14ac:dyDescent="0.15">
      <c r="A995" s="20" t="s">
        <v>61</v>
      </c>
      <c r="B995" s="20" t="s">
        <v>131</v>
      </c>
      <c r="C995" s="21">
        <v>2896</v>
      </c>
      <c r="D995" s="21">
        <v>-62</v>
      </c>
      <c r="E995" s="21">
        <v>0</v>
      </c>
      <c r="F995" s="21">
        <v>2834</v>
      </c>
      <c r="G995" s="21">
        <v>512</v>
      </c>
      <c r="H995" s="21">
        <v>281</v>
      </c>
      <c r="I995" s="21">
        <v>930</v>
      </c>
      <c r="J995" s="21">
        <v>1144</v>
      </c>
      <c r="K995" s="21">
        <v>-30</v>
      </c>
      <c r="L995" s="21">
        <v>78</v>
      </c>
      <c r="M995" s="21">
        <v>0.51900000000000002</v>
      </c>
      <c r="N995" s="21">
        <v>0.51900000000000002</v>
      </c>
      <c r="O995" s="21">
        <v>0.2152</v>
      </c>
      <c r="P995" s="21">
        <v>227</v>
      </c>
      <c r="Q995" s="21">
        <v>0.28189999999999998</v>
      </c>
      <c r="R995" s="21">
        <v>36</v>
      </c>
      <c r="S995" s="21">
        <v>12</v>
      </c>
      <c r="T995" s="21">
        <v>0.1741</v>
      </c>
      <c r="U995" s="21">
        <v>4.7199999999999999E-2</v>
      </c>
      <c r="V995" s="21">
        <v>0.93669999999999998</v>
      </c>
      <c r="W995" s="21">
        <v>13</v>
      </c>
      <c r="X995" s="21">
        <v>14</v>
      </c>
      <c r="Y995" s="21">
        <v>26</v>
      </c>
      <c r="Z995" s="21">
        <v>0</v>
      </c>
      <c r="AA995" s="21">
        <v>0.5</v>
      </c>
      <c r="AB995" s="21">
        <v>276</v>
      </c>
      <c r="AC995" s="21">
        <v>276</v>
      </c>
      <c r="AD995" s="21">
        <v>290</v>
      </c>
      <c r="AE995" s="21">
        <v>2</v>
      </c>
      <c r="AF995" s="21">
        <v>6.6E-3</v>
      </c>
      <c r="AG995" s="21">
        <v>30</v>
      </c>
      <c r="AH995" s="21">
        <v>9.8699999999999996E-2</v>
      </c>
      <c r="AI995" s="21">
        <v>0</v>
      </c>
      <c r="AJ995" s="21">
        <v>0.6</v>
      </c>
      <c r="AK995" s="21">
        <v>22</v>
      </c>
      <c r="AL995" s="21">
        <v>7.5899999999999995E-2</v>
      </c>
      <c r="AM995" s="21">
        <v>7</v>
      </c>
      <c r="AN995" s="21">
        <v>2.41E-2</v>
      </c>
      <c r="AO995" s="21">
        <v>0.50790000000000002</v>
      </c>
      <c r="AP995" s="21">
        <v>20</v>
      </c>
      <c r="AQ995" s="21">
        <v>20</v>
      </c>
      <c r="AR995" s="21">
        <v>9</v>
      </c>
      <c r="AS995" s="21">
        <v>11</v>
      </c>
      <c r="AT995" s="21">
        <v>0</v>
      </c>
      <c r="AU995" s="21">
        <v>3346</v>
      </c>
      <c r="AV995" s="21">
        <v>57</v>
      </c>
    </row>
    <row r="996" spans="1:48" x14ac:dyDescent="0.15">
      <c r="A996" s="20" t="s">
        <v>48</v>
      </c>
      <c r="B996" s="20" t="s">
        <v>132</v>
      </c>
      <c r="C996" s="21">
        <v>2101</v>
      </c>
      <c r="D996" s="21">
        <v>115</v>
      </c>
      <c r="E996" s="21">
        <v>0</v>
      </c>
      <c r="F996" s="21">
        <v>2216</v>
      </c>
      <c r="G996" s="21">
        <v>695</v>
      </c>
      <c r="H996" s="21">
        <v>728</v>
      </c>
      <c r="I996" s="21">
        <v>150</v>
      </c>
      <c r="J996" s="21">
        <v>619</v>
      </c>
      <c r="K996" s="21">
        <v>15</v>
      </c>
      <c r="L996" s="21">
        <v>138</v>
      </c>
      <c r="M996" s="21">
        <v>0.44290000000000002</v>
      </c>
      <c r="N996" s="21">
        <v>0.2571</v>
      </c>
      <c r="O996" s="21">
        <v>0.21429999999999999</v>
      </c>
      <c r="P996" s="21">
        <v>1009</v>
      </c>
      <c r="Q996" s="21">
        <v>9.1200000000000003E-2</v>
      </c>
      <c r="R996" s="21">
        <v>16</v>
      </c>
      <c r="S996" s="21">
        <v>2</v>
      </c>
      <c r="T996" s="21">
        <v>3.2199999999999999E-2</v>
      </c>
      <c r="U996" s="21">
        <v>4.7199999999999999E-2</v>
      </c>
      <c r="V996" s="21">
        <v>0.95820000000000005</v>
      </c>
      <c r="W996" s="21">
        <v>8</v>
      </c>
      <c r="X996" s="21">
        <v>8</v>
      </c>
      <c r="Y996" s="21">
        <v>21</v>
      </c>
      <c r="Z996" s="21">
        <v>0</v>
      </c>
      <c r="AA996" s="21">
        <v>0.4</v>
      </c>
      <c r="AB996" s="21">
        <v>287</v>
      </c>
      <c r="AC996" s="21">
        <v>287</v>
      </c>
      <c r="AD996" s="21">
        <v>319</v>
      </c>
      <c r="AE996" s="21">
        <v>0</v>
      </c>
      <c r="AF996" s="21">
        <v>0</v>
      </c>
      <c r="AG996" s="21">
        <v>64</v>
      </c>
      <c r="AH996" s="21">
        <v>0.18229999999999999</v>
      </c>
      <c r="AI996" s="21">
        <v>0</v>
      </c>
      <c r="AJ996" s="21">
        <v>0.81669999999999998</v>
      </c>
      <c r="AK996" s="21">
        <v>13</v>
      </c>
      <c r="AL996" s="21">
        <v>4.0800000000000003E-2</v>
      </c>
      <c r="AM996" s="21">
        <v>4</v>
      </c>
      <c r="AN996" s="21">
        <v>1.2500000000000001E-2</v>
      </c>
      <c r="AO996" s="21">
        <v>0.86419999999999997</v>
      </c>
      <c r="AP996" s="21">
        <v>162</v>
      </c>
      <c r="AQ996" s="21">
        <v>162</v>
      </c>
      <c r="AR996" s="21">
        <v>145</v>
      </c>
      <c r="AS996" s="21">
        <v>17</v>
      </c>
      <c r="AT996" s="21">
        <v>0</v>
      </c>
      <c r="AU996" s="21">
        <v>3702</v>
      </c>
      <c r="AV996" s="21">
        <v>497</v>
      </c>
    </row>
    <row r="997" spans="1:48" x14ac:dyDescent="0.15">
      <c r="A997" s="20" t="s">
        <v>50</v>
      </c>
      <c r="B997" s="20" t="s">
        <v>132</v>
      </c>
      <c r="C997" s="21">
        <v>5320</v>
      </c>
      <c r="D997" s="21">
        <v>1046</v>
      </c>
      <c r="E997" s="21">
        <v>0</v>
      </c>
      <c r="F997" s="21">
        <v>6366</v>
      </c>
      <c r="G997" s="21">
        <v>-8</v>
      </c>
      <c r="H997" s="21">
        <v>5513</v>
      </c>
      <c r="I997" s="21">
        <v>0</v>
      </c>
      <c r="J997" s="21">
        <v>351</v>
      </c>
      <c r="K997" s="21">
        <v>51</v>
      </c>
      <c r="L997" s="21">
        <v>175</v>
      </c>
      <c r="M997" s="21">
        <v>0.67720000000000002</v>
      </c>
      <c r="N997" s="21">
        <v>0.58730000000000004</v>
      </c>
      <c r="O997" s="21">
        <v>0.39150000000000001</v>
      </c>
      <c r="P997" s="21">
        <v>613</v>
      </c>
      <c r="Q997" s="21">
        <v>0.36220000000000002</v>
      </c>
      <c r="R997" s="21">
        <v>35</v>
      </c>
      <c r="S997" s="21">
        <v>10</v>
      </c>
      <c r="T997" s="21">
        <v>8.6800000000000002E-2</v>
      </c>
      <c r="U997" s="21">
        <v>3.49E-2</v>
      </c>
      <c r="V997" s="21">
        <v>0.98170000000000002</v>
      </c>
      <c r="W997" s="21">
        <v>21</v>
      </c>
      <c r="X997" s="21">
        <v>21</v>
      </c>
      <c r="Y997" s="21">
        <v>48</v>
      </c>
      <c r="Z997" s="21">
        <v>0.1</v>
      </c>
      <c r="AA997" s="21">
        <v>0.4</v>
      </c>
      <c r="AB997" s="21">
        <v>155</v>
      </c>
      <c r="AC997" s="21">
        <v>155</v>
      </c>
      <c r="AD997" s="21">
        <v>157</v>
      </c>
      <c r="AE997" s="21">
        <v>25</v>
      </c>
      <c r="AF997" s="21">
        <v>0.15720000000000001</v>
      </c>
      <c r="AG997" s="21">
        <v>29</v>
      </c>
      <c r="AH997" s="21">
        <v>0.18240000000000001</v>
      </c>
      <c r="AI997" s="21">
        <v>0</v>
      </c>
      <c r="AJ997" s="21">
        <v>0.13109999999999999</v>
      </c>
      <c r="AK997" s="21">
        <v>31</v>
      </c>
      <c r="AL997" s="21">
        <v>0.19750000000000001</v>
      </c>
      <c r="AM997" s="21">
        <v>13</v>
      </c>
      <c r="AN997" s="21">
        <v>8.2799999999999999E-2</v>
      </c>
      <c r="AO997" s="21">
        <v>0.37459999999999999</v>
      </c>
      <c r="AP997" s="21">
        <v>82</v>
      </c>
      <c r="AQ997" s="21">
        <v>82</v>
      </c>
      <c r="AR997" s="21">
        <v>67</v>
      </c>
      <c r="AS997" s="21">
        <v>2</v>
      </c>
      <c r="AT997" s="21">
        <v>13</v>
      </c>
      <c r="AU997" s="21">
        <v>9580</v>
      </c>
      <c r="AV997" s="21">
        <v>185</v>
      </c>
    </row>
    <row r="998" spans="1:48" x14ac:dyDescent="0.15">
      <c r="A998" s="20" t="s">
        <v>51</v>
      </c>
      <c r="B998" s="20" t="s">
        <v>132</v>
      </c>
      <c r="C998" s="21">
        <v>56488</v>
      </c>
      <c r="D998" s="21">
        <v>2339</v>
      </c>
      <c r="E998" s="21">
        <v>0</v>
      </c>
      <c r="F998" s="21">
        <v>58827</v>
      </c>
      <c r="G998" s="21">
        <v>2802</v>
      </c>
      <c r="H998" s="21">
        <v>29720</v>
      </c>
      <c r="I998" s="21">
        <v>16071</v>
      </c>
      <c r="J998" s="21">
        <v>10296</v>
      </c>
      <c r="K998" s="21">
        <v>126</v>
      </c>
      <c r="L998" s="21">
        <v>887</v>
      </c>
      <c r="M998" s="21">
        <v>0.71619999999999995</v>
      </c>
      <c r="N998" s="21">
        <v>0.68489999999999995</v>
      </c>
      <c r="O998" s="21">
        <v>0.35870000000000002</v>
      </c>
      <c r="P998" s="21">
        <v>3073</v>
      </c>
      <c r="Q998" s="21">
        <v>0.40739999999999998</v>
      </c>
      <c r="R998" s="21">
        <v>66</v>
      </c>
      <c r="S998" s="21">
        <v>19</v>
      </c>
      <c r="T998" s="21">
        <v>0.1002</v>
      </c>
      <c r="U998" s="21">
        <v>9.3299999999999994E-2</v>
      </c>
      <c r="V998" s="21">
        <v>0.96970000000000001</v>
      </c>
      <c r="W998" s="21">
        <v>950</v>
      </c>
      <c r="X998" s="21">
        <v>1031</v>
      </c>
      <c r="Y998" s="21">
        <v>2297</v>
      </c>
      <c r="Z998" s="21">
        <v>0.1</v>
      </c>
      <c r="AA998" s="21">
        <v>0.4</v>
      </c>
      <c r="AB998" s="21">
        <v>12134</v>
      </c>
      <c r="AC998" s="21">
        <v>11555</v>
      </c>
      <c r="AD998" s="21">
        <v>11902</v>
      </c>
      <c r="AE998" s="21">
        <v>1321</v>
      </c>
      <c r="AF998" s="21">
        <v>0.1132</v>
      </c>
      <c r="AG998" s="21">
        <v>857</v>
      </c>
      <c r="AH998" s="21">
        <v>7.3400000000000007E-2</v>
      </c>
      <c r="AI998" s="21">
        <v>0.13189999999999999</v>
      </c>
      <c r="AJ998" s="21">
        <v>0.80900000000000005</v>
      </c>
      <c r="AK998" s="21">
        <v>1654</v>
      </c>
      <c r="AL998" s="21">
        <v>0.14249999999999999</v>
      </c>
      <c r="AM998" s="21">
        <v>532</v>
      </c>
      <c r="AN998" s="21">
        <v>4.58E-2</v>
      </c>
      <c r="AO998" s="21">
        <v>0.56640000000000001</v>
      </c>
      <c r="AP998" s="21">
        <v>184</v>
      </c>
      <c r="AQ998" s="21">
        <v>184</v>
      </c>
      <c r="AR998" s="21">
        <v>141</v>
      </c>
      <c r="AS998" s="21">
        <v>7</v>
      </c>
      <c r="AT998" s="21">
        <v>36</v>
      </c>
      <c r="AU998" s="21">
        <v>14317</v>
      </c>
      <c r="AV998" s="21">
        <v>1434</v>
      </c>
    </row>
    <row r="999" spans="1:48" x14ac:dyDescent="0.15">
      <c r="A999" s="20" t="s">
        <v>52</v>
      </c>
      <c r="B999" s="20" t="s">
        <v>132</v>
      </c>
      <c r="C999" s="21">
        <v>29366</v>
      </c>
      <c r="D999" s="21">
        <v>270</v>
      </c>
      <c r="E999" s="21">
        <v>-4</v>
      </c>
      <c r="F999" s="21">
        <v>29632</v>
      </c>
      <c r="G999" s="21">
        <v>4495</v>
      </c>
      <c r="H999" s="21">
        <v>11776</v>
      </c>
      <c r="I999" s="21">
        <v>7531</v>
      </c>
      <c r="J999" s="21">
        <v>5950</v>
      </c>
      <c r="K999" s="21">
        <v>-2</v>
      </c>
      <c r="L999" s="21">
        <v>243</v>
      </c>
      <c r="M999" s="21">
        <v>0.72050000000000003</v>
      </c>
      <c r="N999" s="21">
        <v>0.66930000000000001</v>
      </c>
      <c r="O999" s="21">
        <v>0.21260000000000001</v>
      </c>
      <c r="P999" s="21">
        <v>1173</v>
      </c>
      <c r="Q999" s="21">
        <v>0.36570000000000003</v>
      </c>
      <c r="R999" s="21">
        <v>123</v>
      </c>
      <c r="S999" s="21">
        <v>25</v>
      </c>
      <c r="T999" s="21">
        <v>6.8099999999999994E-2</v>
      </c>
      <c r="U999" s="21">
        <v>4.7899999999999998E-2</v>
      </c>
      <c r="V999" s="21">
        <v>0.9718</v>
      </c>
      <c r="W999" s="21">
        <v>209</v>
      </c>
      <c r="X999" s="21">
        <v>78</v>
      </c>
      <c r="Y999" s="21">
        <v>89</v>
      </c>
      <c r="Z999" s="21">
        <v>0.2</v>
      </c>
      <c r="AA999" s="21">
        <v>0.9</v>
      </c>
      <c r="AB999" s="21">
        <v>379</v>
      </c>
      <c r="AC999" s="21">
        <v>379</v>
      </c>
      <c r="AD999" s="21">
        <v>386</v>
      </c>
      <c r="AE999" s="21">
        <v>13</v>
      </c>
      <c r="AF999" s="21">
        <v>3.32E-2</v>
      </c>
      <c r="AG999" s="21">
        <v>26</v>
      </c>
      <c r="AH999" s="21">
        <v>6.6299999999999998E-2</v>
      </c>
      <c r="AI999" s="21">
        <v>0</v>
      </c>
      <c r="AJ999" s="21">
        <v>0.76919999999999999</v>
      </c>
      <c r="AK999" s="21">
        <v>43</v>
      </c>
      <c r="AL999" s="21">
        <v>0.1115</v>
      </c>
      <c r="AM999" s="21">
        <v>25</v>
      </c>
      <c r="AN999" s="21">
        <v>6.4899999999999999E-2</v>
      </c>
      <c r="AO999" s="21">
        <v>0.68869999999999998</v>
      </c>
      <c r="AP999" s="21">
        <v>75</v>
      </c>
      <c r="AQ999" s="21">
        <v>75</v>
      </c>
      <c r="AR999" s="21">
        <v>74</v>
      </c>
      <c r="AS999" s="21">
        <v>1</v>
      </c>
      <c r="AT999" s="21">
        <v>0</v>
      </c>
      <c r="AU999" s="21">
        <v>9446</v>
      </c>
      <c r="AV999" s="21">
        <v>441</v>
      </c>
    </row>
    <row r="1000" spans="1:48" x14ac:dyDescent="0.15">
      <c r="A1000" s="20" t="s">
        <v>53</v>
      </c>
      <c r="B1000" s="20" t="s">
        <v>132</v>
      </c>
      <c r="C1000" s="21">
        <v>3375</v>
      </c>
      <c r="D1000" s="21">
        <v>1779</v>
      </c>
      <c r="E1000" s="21">
        <v>-10</v>
      </c>
      <c r="F1000" s="21">
        <v>5144</v>
      </c>
      <c r="H1000" s="21">
        <v>216</v>
      </c>
      <c r="I1000" s="21">
        <v>436</v>
      </c>
      <c r="J1000" s="21">
        <v>4522</v>
      </c>
      <c r="K1000" s="21">
        <v>-10</v>
      </c>
      <c r="L1000" s="21">
        <v>132</v>
      </c>
      <c r="M1000" s="21">
        <v>0.69059999999999999</v>
      </c>
      <c r="N1000" s="21">
        <v>0.49640000000000001</v>
      </c>
      <c r="O1000" s="21">
        <v>0.56830000000000003</v>
      </c>
      <c r="P1000" s="21">
        <v>2682</v>
      </c>
      <c r="Q1000" s="21">
        <v>5.33E-2</v>
      </c>
      <c r="R1000" s="21">
        <v>39</v>
      </c>
      <c r="S1000" s="21">
        <v>2</v>
      </c>
      <c r="T1000" s="21">
        <v>0.18260000000000001</v>
      </c>
      <c r="U1000" s="21">
        <v>4.3400000000000001E-2</v>
      </c>
      <c r="V1000" s="21">
        <v>0.98150000000000004</v>
      </c>
      <c r="W1000" s="21">
        <v>362</v>
      </c>
      <c r="X1000" s="21">
        <v>373</v>
      </c>
      <c r="Y1000" s="21">
        <v>825</v>
      </c>
      <c r="Z1000" s="21">
        <v>0.1</v>
      </c>
      <c r="AA1000" s="21">
        <v>0.5</v>
      </c>
      <c r="AB1000" s="21">
        <v>4491</v>
      </c>
      <c r="AC1000" s="21">
        <v>4313</v>
      </c>
      <c r="AD1000" s="21">
        <v>4476</v>
      </c>
      <c r="AE1000" s="21">
        <v>365</v>
      </c>
      <c r="AF1000" s="21">
        <v>8.1799999999999998E-2</v>
      </c>
      <c r="AG1000" s="21">
        <v>336</v>
      </c>
      <c r="AH1000" s="21">
        <v>7.5300000000000006E-2</v>
      </c>
      <c r="AI1000" s="21">
        <v>2.1700000000000001E-2</v>
      </c>
      <c r="AJ1000" s="21">
        <v>0.6653</v>
      </c>
      <c r="AK1000" s="21">
        <v>476</v>
      </c>
      <c r="AL1000" s="21">
        <v>0.1085</v>
      </c>
      <c r="AM1000" s="21">
        <v>241</v>
      </c>
      <c r="AN1000" s="21">
        <v>5.4899999999999997E-2</v>
      </c>
      <c r="AO1000" s="21">
        <v>0.55330000000000001</v>
      </c>
      <c r="AP1000" s="21">
        <v>89</v>
      </c>
      <c r="AQ1000" s="21">
        <v>89</v>
      </c>
      <c r="AR1000" s="21">
        <v>38</v>
      </c>
      <c r="AS1000" s="21">
        <v>24</v>
      </c>
      <c r="AT1000" s="21">
        <v>26</v>
      </c>
      <c r="AU1000" s="21">
        <v>2897</v>
      </c>
      <c r="AV1000" s="21">
        <v>136</v>
      </c>
    </row>
    <row r="1001" spans="1:48" x14ac:dyDescent="0.15">
      <c r="A1001" s="20" t="s">
        <v>0</v>
      </c>
      <c r="B1001" s="20" t="s">
        <v>132</v>
      </c>
      <c r="C1001" s="21">
        <v>164714</v>
      </c>
      <c r="D1001" s="21">
        <v>9558</v>
      </c>
      <c r="E1001" s="21">
        <v>-56</v>
      </c>
      <c r="F1001" s="21">
        <v>174216</v>
      </c>
      <c r="G1001" s="21">
        <v>22573</v>
      </c>
      <c r="H1001" s="21">
        <v>69532</v>
      </c>
      <c r="I1001" s="21">
        <v>32390</v>
      </c>
      <c r="J1001" s="21">
        <v>50027</v>
      </c>
      <c r="K1001" s="21">
        <v>141</v>
      </c>
      <c r="L1001" s="21">
        <v>2892</v>
      </c>
      <c r="M1001" s="21">
        <v>0.66379999999999995</v>
      </c>
      <c r="N1001" s="21">
        <v>0.58879999999999999</v>
      </c>
      <c r="O1001" s="21">
        <v>0.35270000000000001</v>
      </c>
      <c r="P1001" s="21">
        <v>17296</v>
      </c>
      <c r="Q1001" s="21">
        <v>0.21179999999999999</v>
      </c>
      <c r="R1001" s="21">
        <v>60</v>
      </c>
      <c r="S1001" s="21">
        <v>10</v>
      </c>
      <c r="T1001" s="21">
        <v>0.1043</v>
      </c>
      <c r="U1001" s="21">
        <v>5.2299999999999999E-2</v>
      </c>
      <c r="V1001" s="21">
        <v>0.97540000000000004</v>
      </c>
      <c r="W1001" s="21">
        <v>2252</v>
      </c>
      <c r="X1001" s="21">
        <v>2128</v>
      </c>
      <c r="Y1001" s="21">
        <v>4598</v>
      </c>
      <c r="Z1001" s="21">
        <v>0.1</v>
      </c>
      <c r="AA1001" s="21">
        <v>0.5</v>
      </c>
      <c r="AB1001" s="21">
        <v>25034</v>
      </c>
      <c r="AC1001" s="21">
        <v>24172</v>
      </c>
      <c r="AD1001" s="21">
        <v>24741</v>
      </c>
      <c r="AE1001" s="21">
        <v>2292</v>
      </c>
      <c r="AF1001" s="21">
        <v>9.3799999999999994E-2</v>
      </c>
      <c r="AG1001" s="21">
        <v>1706</v>
      </c>
      <c r="AH1001" s="21">
        <v>6.9800000000000001E-2</v>
      </c>
      <c r="AI1001" s="21">
        <v>9.2200000000000004E-2</v>
      </c>
      <c r="AJ1001" s="21">
        <v>0.74380000000000002</v>
      </c>
      <c r="AK1001" s="21">
        <v>3046</v>
      </c>
      <c r="AL1001" s="21">
        <v>0.12529999999999999</v>
      </c>
      <c r="AM1001" s="21">
        <v>1171</v>
      </c>
      <c r="AN1001" s="21">
        <v>4.82E-2</v>
      </c>
      <c r="AO1001" s="21">
        <v>0.59189999999999998</v>
      </c>
      <c r="AP1001" s="21">
        <v>1564</v>
      </c>
      <c r="AQ1001" s="21">
        <v>1564</v>
      </c>
      <c r="AR1001" s="21">
        <v>1393</v>
      </c>
      <c r="AS1001" s="21">
        <v>75</v>
      </c>
      <c r="AT1001" s="21">
        <v>96</v>
      </c>
      <c r="AU1001" s="21">
        <v>82894</v>
      </c>
      <c r="AV1001" s="21">
        <v>4142</v>
      </c>
    </row>
    <row r="1002" spans="1:48" x14ac:dyDescent="0.15">
      <c r="A1002" s="20" t="s">
        <v>54</v>
      </c>
      <c r="B1002" s="20" t="s">
        <v>132</v>
      </c>
      <c r="C1002" s="21">
        <v>3510</v>
      </c>
      <c r="D1002" s="21">
        <v>152</v>
      </c>
      <c r="E1002" s="21">
        <v>-22</v>
      </c>
      <c r="F1002" s="21">
        <v>3639</v>
      </c>
      <c r="G1002" s="21">
        <v>326</v>
      </c>
      <c r="H1002" s="21">
        <v>1714</v>
      </c>
      <c r="I1002" s="21">
        <v>566</v>
      </c>
      <c r="J1002" s="21">
        <v>1086</v>
      </c>
      <c r="K1002" s="21">
        <v>-34</v>
      </c>
      <c r="L1002" s="21">
        <v>240</v>
      </c>
      <c r="M1002" s="21">
        <v>0.64710000000000001</v>
      </c>
      <c r="N1002" s="21">
        <v>0.50980000000000003</v>
      </c>
      <c r="O1002" s="21">
        <v>0.2863</v>
      </c>
      <c r="P1002" s="21">
        <v>449</v>
      </c>
      <c r="Q1002" s="21">
        <v>0.5212</v>
      </c>
      <c r="R1002" s="21">
        <v>15</v>
      </c>
      <c r="S1002" s="21">
        <v>8</v>
      </c>
      <c r="T1002" s="21">
        <v>0.14549999999999999</v>
      </c>
      <c r="U1002" s="21">
        <v>1.8599999999999998E-2</v>
      </c>
      <c r="V1002" s="21">
        <v>0.96799999999999997</v>
      </c>
      <c r="W1002" s="21">
        <v>103</v>
      </c>
      <c r="X1002" s="21">
        <v>109</v>
      </c>
      <c r="Y1002" s="21">
        <v>207</v>
      </c>
      <c r="Z1002" s="21">
        <v>0.1</v>
      </c>
      <c r="AA1002" s="21">
        <v>0.5</v>
      </c>
      <c r="AB1002" s="21">
        <v>812</v>
      </c>
      <c r="AC1002" s="21">
        <v>812</v>
      </c>
      <c r="AD1002" s="21">
        <v>792</v>
      </c>
      <c r="AE1002" s="21">
        <v>85</v>
      </c>
      <c r="AF1002" s="21">
        <v>0.11020000000000001</v>
      </c>
      <c r="AG1002" s="21">
        <v>44</v>
      </c>
      <c r="AH1002" s="21">
        <v>5.7099999999999998E-2</v>
      </c>
      <c r="AI1002" s="21">
        <v>0.1852</v>
      </c>
      <c r="AJ1002" s="21">
        <v>0.58609999999999995</v>
      </c>
      <c r="AK1002" s="21">
        <v>131</v>
      </c>
      <c r="AL1002" s="21">
        <v>0.16550000000000001</v>
      </c>
      <c r="AM1002" s="21">
        <v>80</v>
      </c>
      <c r="AN1002" s="21">
        <v>0.1011</v>
      </c>
      <c r="AO1002" s="21">
        <v>0.64959999999999996</v>
      </c>
      <c r="AP1002" s="21">
        <v>355</v>
      </c>
      <c r="AQ1002" s="21">
        <v>355</v>
      </c>
      <c r="AR1002" s="21">
        <v>355</v>
      </c>
      <c r="AS1002" s="21">
        <v>0</v>
      </c>
      <c r="AT1002" s="21">
        <v>0</v>
      </c>
      <c r="AU1002" s="21">
        <v>4859</v>
      </c>
      <c r="AV1002" s="21">
        <v>121</v>
      </c>
    </row>
    <row r="1003" spans="1:48" x14ac:dyDescent="0.15">
      <c r="A1003" s="20" t="s">
        <v>55</v>
      </c>
      <c r="B1003" s="20" t="s">
        <v>132</v>
      </c>
      <c r="C1003" s="21">
        <v>1321</v>
      </c>
      <c r="D1003" s="21">
        <v>30</v>
      </c>
      <c r="E1003" s="21">
        <v>0</v>
      </c>
      <c r="F1003" s="21">
        <v>1351</v>
      </c>
      <c r="G1003" s="21">
        <v>144</v>
      </c>
      <c r="H1003" s="21">
        <v>547</v>
      </c>
      <c r="I1003" s="21">
        <v>502</v>
      </c>
      <c r="J1003" s="21">
        <v>166</v>
      </c>
      <c r="K1003" s="21">
        <v>0</v>
      </c>
      <c r="L1003" s="21">
        <v>86</v>
      </c>
      <c r="M1003" s="21">
        <v>0.59089999999999998</v>
      </c>
      <c r="N1003" s="21">
        <v>0.51139999999999997</v>
      </c>
      <c r="O1003" s="21">
        <v>0.17050000000000001</v>
      </c>
      <c r="P1003" s="21">
        <v>1315</v>
      </c>
      <c r="Q1003" s="21">
        <v>5.8599999999999999E-2</v>
      </c>
      <c r="R1003" s="21">
        <v>16</v>
      </c>
      <c r="S1003" s="21">
        <v>1</v>
      </c>
      <c r="T1003" s="21">
        <v>0.19520000000000001</v>
      </c>
      <c r="U1003" s="21">
        <v>7.4000000000000003E-3</v>
      </c>
      <c r="V1003" s="21">
        <v>0.97740000000000005</v>
      </c>
      <c r="W1003" s="21">
        <v>15</v>
      </c>
      <c r="X1003" s="21">
        <v>17</v>
      </c>
      <c r="Y1003" s="21">
        <v>36</v>
      </c>
      <c r="Z1003" s="21">
        <v>0</v>
      </c>
      <c r="AA1003" s="21">
        <v>0.5</v>
      </c>
      <c r="AB1003" s="21">
        <v>556</v>
      </c>
      <c r="AC1003" s="21">
        <v>451</v>
      </c>
      <c r="AD1003" s="21">
        <v>514</v>
      </c>
      <c r="AE1003" s="21">
        <v>127</v>
      </c>
      <c r="AF1003" s="21">
        <v>0.26850000000000002</v>
      </c>
      <c r="AG1003" s="21">
        <v>44</v>
      </c>
      <c r="AH1003" s="21">
        <v>9.2999999999999999E-2</v>
      </c>
      <c r="AI1003" s="21">
        <v>0</v>
      </c>
      <c r="AJ1003" s="21">
        <v>0.78149999999999997</v>
      </c>
      <c r="AK1003" s="21">
        <v>22</v>
      </c>
      <c r="AL1003" s="21">
        <v>4.7600000000000003E-2</v>
      </c>
      <c r="AM1003" s="21">
        <v>10</v>
      </c>
      <c r="AN1003" s="21">
        <v>2.1600000000000001E-2</v>
      </c>
      <c r="AP1003" s="21">
        <v>132</v>
      </c>
      <c r="AQ1003" s="21">
        <v>132</v>
      </c>
      <c r="AR1003" s="21">
        <v>121</v>
      </c>
      <c r="AS1003" s="21">
        <v>1</v>
      </c>
      <c r="AT1003" s="21">
        <v>9</v>
      </c>
      <c r="AU1003" s="21">
        <v>1062</v>
      </c>
      <c r="AV1003" s="21">
        <v>50</v>
      </c>
    </row>
    <row r="1004" spans="1:48" x14ac:dyDescent="0.15">
      <c r="A1004" s="20" t="s">
        <v>56</v>
      </c>
      <c r="B1004" s="20" t="s">
        <v>132</v>
      </c>
      <c r="C1004" s="21">
        <v>160</v>
      </c>
      <c r="D1004" s="21">
        <v>59</v>
      </c>
      <c r="E1004" s="21">
        <v>-3</v>
      </c>
      <c r="F1004" s="21">
        <v>215</v>
      </c>
      <c r="G1004" s="21">
        <v>0</v>
      </c>
      <c r="H1004" s="21">
        <v>3</v>
      </c>
      <c r="I1004" s="21">
        <v>0</v>
      </c>
      <c r="J1004" s="21">
        <v>215</v>
      </c>
      <c r="K1004" s="21">
        <v>-2</v>
      </c>
      <c r="L1004" s="21">
        <v>107</v>
      </c>
      <c r="M1004" s="21">
        <v>0.26850000000000002</v>
      </c>
      <c r="N1004" s="21">
        <v>8.3299999999999999E-2</v>
      </c>
      <c r="O1004" s="21">
        <v>0.2407</v>
      </c>
      <c r="P1004" s="21">
        <v>2048</v>
      </c>
      <c r="Q1004" s="21">
        <v>1.8100000000000002E-2</v>
      </c>
      <c r="R1004" s="21">
        <v>2</v>
      </c>
      <c r="S1004" s="21">
        <v>0</v>
      </c>
      <c r="T1004" s="21">
        <v>9.2600000000000002E-2</v>
      </c>
      <c r="U1004" s="21">
        <v>4.9000000000000002E-2</v>
      </c>
      <c r="V1004" s="21">
        <v>0.999</v>
      </c>
      <c r="W1004" s="21">
        <v>32</v>
      </c>
      <c r="X1004" s="21">
        <v>30</v>
      </c>
      <c r="Y1004" s="21">
        <v>46</v>
      </c>
      <c r="Z1004" s="21">
        <v>0.3</v>
      </c>
      <c r="AA1004" s="21">
        <v>0.6</v>
      </c>
      <c r="AB1004" s="21">
        <v>122</v>
      </c>
      <c r="AC1004" s="21">
        <v>122</v>
      </c>
      <c r="AD1004" s="21">
        <v>118</v>
      </c>
      <c r="AE1004" s="21">
        <v>19</v>
      </c>
      <c r="AF1004" s="21">
        <v>0.16520000000000001</v>
      </c>
      <c r="AG1004" s="21">
        <v>12</v>
      </c>
      <c r="AH1004" s="21">
        <v>0.1043</v>
      </c>
      <c r="AI1004" s="21">
        <v>0.66669999999999996</v>
      </c>
      <c r="AJ1004" s="21">
        <v>0.52939999999999998</v>
      </c>
      <c r="AK1004" s="21">
        <v>29</v>
      </c>
      <c r="AL1004" s="21">
        <v>0.2447</v>
      </c>
      <c r="AM1004" s="21">
        <v>20</v>
      </c>
      <c r="AN1004" s="21">
        <v>0.16880000000000001</v>
      </c>
      <c r="AO1004" s="21">
        <v>0.92800000000000005</v>
      </c>
      <c r="AP1004" s="21">
        <v>139</v>
      </c>
      <c r="AQ1004" s="21">
        <v>139</v>
      </c>
      <c r="AR1004" s="21">
        <v>136</v>
      </c>
      <c r="AS1004" s="21">
        <v>3</v>
      </c>
      <c r="AT1004" s="21">
        <v>0</v>
      </c>
      <c r="AU1004" s="21">
        <v>1251</v>
      </c>
      <c r="AV1004" s="21">
        <v>93</v>
      </c>
    </row>
    <row r="1005" spans="1:48" x14ac:dyDescent="0.15">
      <c r="A1005" s="20" t="s">
        <v>57</v>
      </c>
      <c r="B1005" s="20" t="s">
        <v>132</v>
      </c>
      <c r="C1005" s="21">
        <v>27681</v>
      </c>
      <c r="D1005" s="21">
        <v>822</v>
      </c>
      <c r="E1005" s="21">
        <v>0</v>
      </c>
      <c r="F1005" s="21">
        <v>28503</v>
      </c>
      <c r="G1005" s="21">
        <v>8206</v>
      </c>
      <c r="H1005" s="21">
        <v>0</v>
      </c>
      <c r="I1005" s="21">
        <v>3680</v>
      </c>
      <c r="J1005" s="21">
        <v>17355</v>
      </c>
      <c r="K1005" s="21">
        <v>1</v>
      </c>
      <c r="L1005" s="21">
        <v>207</v>
      </c>
      <c r="M1005" s="21">
        <v>0.58450000000000002</v>
      </c>
      <c r="N1005" s="21">
        <v>0.54110000000000003</v>
      </c>
      <c r="O1005" s="21">
        <v>0.21740000000000001</v>
      </c>
      <c r="P1005" s="21">
        <v>683</v>
      </c>
      <c r="Q1005" s="21">
        <v>0.32650000000000001</v>
      </c>
      <c r="R1005" s="21">
        <v>136</v>
      </c>
      <c r="S1005" s="21">
        <v>42</v>
      </c>
      <c r="T1005" s="21">
        <v>5.7799999999999997E-2</v>
      </c>
      <c r="U1005" s="21">
        <v>4.0800000000000003E-2</v>
      </c>
      <c r="V1005" s="21">
        <v>0.98470000000000002</v>
      </c>
      <c r="W1005" s="21">
        <v>62</v>
      </c>
      <c r="X1005" s="21">
        <v>69</v>
      </c>
      <c r="Y1005" s="21">
        <v>116</v>
      </c>
      <c r="Z1005" s="21">
        <v>0.1</v>
      </c>
      <c r="AA1005" s="21">
        <v>0.6</v>
      </c>
      <c r="AB1005" s="21">
        <v>1051</v>
      </c>
      <c r="AC1005" s="21">
        <v>1051</v>
      </c>
      <c r="AD1005" s="21">
        <v>1040</v>
      </c>
      <c r="AE1005" s="21">
        <v>75</v>
      </c>
      <c r="AF1005" s="21">
        <v>7.2999999999999995E-2</v>
      </c>
      <c r="AG1005" s="21">
        <v>52</v>
      </c>
      <c r="AH1005" s="21">
        <v>5.0599999999999999E-2</v>
      </c>
      <c r="AI1005" s="21">
        <v>0</v>
      </c>
      <c r="AJ1005" s="21">
        <v>0.52710000000000001</v>
      </c>
      <c r="AK1005" s="21">
        <v>85</v>
      </c>
      <c r="AL1005" s="21">
        <v>8.1799999999999998E-2</v>
      </c>
      <c r="AM1005" s="21">
        <v>46</v>
      </c>
      <c r="AN1005" s="21">
        <v>4.4299999999999999E-2</v>
      </c>
      <c r="AO1005" s="21">
        <v>0.5746</v>
      </c>
      <c r="AP1005" s="21">
        <v>16</v>
      </c>
      <c r="AQ1005" s="21">
        <v>16</v>
      </c>
      <c r="AR1005" s="21">
        <v>10</v>
      </c>
      <c r="AS1005" s="21">
        <v>4</v>
      </c>
      <c r="AT1005" s="21">
        <v>1</v>
      </c>
      <c r="AU1005" s="21">
        <v>17523</v>
      </c>
      <c r="AV1005" s="21">
        <v>282</v>
      </c>
    </row>
    <row r="1006" spans="1:48" x14ac:dyDescent="0.15">
      <c r="A1006" s="20" t="s">
        <v>58</v>
      </c>
      <c r="B1006" s="20" t="s">
        <v>132</v>
      </c>
      <c r="C1006" s="21">
        <v>22607</v>
      </c>
      <c r="D1006" s="21">
        <v>2284</v>
      </c>
      <c r="E1006" s="21">
        <v>-16</v>
      </c>
      <c r="F1006" s="21">
        <v>24875</v>
      </c>
      <c r="G1006" s="21">
        <v>5294</v>
      </c>
      <c r="H1006" s="21">
        <v>15520</v>
      </c>
      <c r="J1006" s="21">
        <v>4136</v>
      </c>
      <c r="K1006" s="21">
        <v>-10</v>
      </c>
      <c r="L1006" s="21">
        <v>398</v>
      </c>
      <c r="M1006" s="21">
        <v>0.78949999999999998</v>
      </c>
      <c r="N1006" s="21">
        <v>0.73680000000000001</v>
      </c>
      <c r="O1006" s="21">
        <v>0.61240000000000006</v>
      </c>
      <c r="P1006" s="21">
        <v>2408</v>
      </c>
      <c r="Q1006" s="21">
        <v>0.27489999999999998</v>
      </c>
      <c r="R1006" s="21">
        <v>62</v>
      </c>
      <c r="S1006" s="21">
        <v>10</v>
      </c>
      <c r="T1006" s="21">
        <v>0.1943</v>
      </c>
      <c r="U1006" s="21">
        <v>7.9699999999999993E-2</v>
      </c>
      <c r="V1006" s="21">
        <v>0.97970000000000002</v>
      </c>
      <c r="W1006" s="21">
        <v>355</v>
      </c>
      <c r="X1006" s="21">
        <v>286</v>
      </c>
      <c r="Y1006" s="21">
        <v>664</v>
      </c>
      <c r="Z1006" s="21">
        <v>0.1</v>
      </c>
      <c r="AA1006" s="21">
        <v>0.4</v>
      </c>
      <c r="AB1006" s="21">
        <v>3378</v>
      </c>
      <c r="AC1006" s="21">
        <v>3378</v>
      </c>
      <c r="AD1006" s="21">
        <v>3362</v>
      </c>
      <c r="AE1006" s="21">
        <v>175</v>
      </c>
      <c r="AF1006" s="21">
        <v>5.2299999999999999E-2</v>
      </c>
      <c r="AG1006" s="21">
        <v>143</v>
      </c>
      <c r="AH1006" s="21">
        <v>4.2700000000000002E-2</v>
      </c>
      <c r="AI1006" s="21">
        <v>0</v>
      </c>
      <c r="AJ1006" s="21">
        <v>0.81169999999999998</v>
      </c>
      <c r="AK1006" s="21">
        <v>394</v>
      </c>
      <c r="AL1006" s="21">
        <v>0.1172</v>
      </c>
      <c r="AM1006" s="21">
        <v>151</v>
      </c>
      <c r="AN1006" s="21">
        <v>4.4900000000000002E-2</v>
      </c>
      <c r="AO1006" s="21">
        <v>0.68389999999999995</v>
      </c>
      <c r="AP1006" s="21">
        <v>139</v>
      </c>
      <c r="AQ1006" s="21">
        <v>139</v>
      </c>
      <c r="AR1006" s="21">
        <v>135</v>
      </c>
      <c r="AS1006" s="21">
        <v>3</v>
      </c>
      <c r="AT1006" s="21">
        <v>2</v>
      </c>
      <c r="AU1006" s="21">
        <v>6201</v>
      </c>
      <c r="AV1006" s="21">
        <v>660</v>
      </c>
    </row>
    <row r="1007" spans="1:48" x14ac:dyDescent="0.15">
      <c r="A1007" s="20" t="s">
        <v>59</v>
      </c>
      <c r="B1007" s="20" t="s">
        <v>132</v>
      </c>
      <c r="C1007" s="21">
        <v>3940</v>
      </c>
      <c r="D1007" s="21">
        <v>60</v>
      </c>
      <c r="E1007" s="21">
        <v>0</v>
      </c>
      <c r="F1007" s="21">
        <v>4001</v>
      </c>
      <c r="G1007" s="21">
        <v>252</v>
      </c>
      <c r="H1007" s="21">
        <v>419</v>
      </c>
      <c r="I1007" s="21">
        <v>36</v>
      </c>
      <c r="J1007" s="21">
        <v>3312</v>
      </c>
      <c r="K1007" s="21">
        <v>0</v>
      </c>
      <c r="L1007" s="21">
        <v>81</v>
      </c>
      <c r="M1007" s="21">
        <v>0.49409999999999998</v>
      </c>
      <c r="N1007" s="21">
        <v>0.38819999999999999</v>
      </c>
      <c r="O1007" s="21">
        <v>0.17649999999999999</v>
      </c>
      <c r="P1007" s="21">
        <v>1151</v>
      </c>
      <c r="Q1007" s="21">
        <v>5.9900000000000002E-2</v>
      </c>
      <c r="R1007" s="21">
        <v>48</v>
      </c>
      <c r="S1007" s="21">
        <v>3</v>
      </c>
      <c r="T1007" s="21">
        <v>1.3299999999999999E-2</v>
      </c>
      <c r="U1007" s="21">
        <v>4.6399999999999997E-2</v>
      </c>
      <c r="V1007" s="21">
        <v>0.98309999999999997</v>
      </c>
      <c r="W1007" s="21">
        <v>7</v>
      </c>
      <c r="X1007" s="21">
        <v>7</v>
      </c>
      <c r="Y1007" s="21">
        <v>23</v>
      </c>
      <c r="Z1007" s="21">
        <v>0</v>
      </c>
      <c r="AA1007" s="21">
        <v>0.3</v>
      </c>
      <c r="AB1007" s="21">
        <v>144</v>
      </c>
      <c r="AC1007" s="21">
        <v>144</v>
      </c>
      <c r="AD1007" s="21">
        <v>150</v>
      </c>
      <c r="AE1007" s="21">
        <v>18</v>
      </c>
      <c r="AF1007" s="21">
        <v>0.1154</v>
      </c>
      <c r="AG1007" s="21">
        <v>30</v>
      </c>
      <c r="AH1007" s="21">
        <v>0.1923</v>
      </c>
      <c r="AI1007" s="21">
        <v>0</v>
      </c>
      <c r="AJ1007" s="21">
        <v>0.40889999999999999</v>
      </c>
      <c r="AK1007" s="21">
        <v>16</v>
      </c>
      <c r="AL1007" s="21">
        <v>0.1067</v>
      </c>
      <c r="AM1007" s="21">
        <v>1</v>
      </c>
      <c r="AN1007" s="21">
        <v>6.7000000000000002E-3</v>
      </c>
      <c r="AO1007" s="21">
        <v>0.8407</v>
      </c>
      <c r="AP1007" s="21">
        <v>126</v>
      </c>
      <c r="AQ1007" s="21">
        <v>126</v>
      </c>
      <c r="AR1007" s="21">
        <v>125</v>
      </c>
      <c r="AS1007" s="21">
        <v>1</v>
      </c>
      <c r="AT1007" s="21">
        <v>0</v>
      </c>
      <c r="AU1007" s="21">
        <v>2218</v>
      </c>
      <c r="AV1007" s="21">
        <v>5</v>
      </c>
    </row>
    <row r="1008" spans="1:48" x14ac:dyDescent="0.15">
      <c r="A1008" s="20" t="s">
        <v>60</v>
      </c>
      <c r="B1008" s="20" t="s">
        <v>132</v>
      </c>
      <c r="C1008" s="21">
        <v>2945</v>
      </c>
      <c r="D1008" s="21">
        <v>430</v>
      </c>
      <c r="E1008" s="21">
        <v>0</v>
      </c>
      <c r="F1008" s="21">
        <v>3375</v>
      </c>
      <c r="G1008" s="21">
        <v>6</v>
      </c>
      <c r="H1008" s="21">
        <v>1996</v>
      </c>
      <c r="I1008" s="21">
        <v>946</v>
      </c>
      <c r="J1008" s="21">
        <v>158</v>
      </c>
      <c r="K1008" s="21">
        <v>1</v>
      </c>
      <c r="L1008" s="21">
        <v>122</v>
      </c>
      <c r="M1008" s="21">
        <v>0.60980000000000001</v>
      </c>
      <c r="N1008" s="21">
        <v>0.52849999999999997</v>
      </c>
      <c r="O1008" s="21">
        <v>0.34150000000000003</v>
      </c>
      <c r="P1008" s="21">
        <v>463</v>
      </c>
      <c r="Q1008" s="21">
        <v>0.28939999999999999</v>
      </c>
      <c r="R1008" s="21">
        <v>28</v>
      </c>
      <c r="S1008" s="21">
        <v>7</v>
      </c>
      <c r="T1008" s="21">
        <v>9.0999999999999998E-2</v>
      </c>
      <c r="U1008" s="21">
        <v>3.4200000000000001E-2</v>
      </c>
      <c r="V1008" s="21">
        <v>0.97160000000000002</v>
      </c>
      <c r="W1008" s="21">
        <v>115</v>
      </c>
      <c r="X1008" s="21">
        <v>87</v>
      </c>
      <c r="Y1008" s="21">
        <v>198</v>
      </c>
      <c r="Z1008" s="21">
        <v>0.1</v>
      </c>
      <c r="AA1008" s="21">
        <v>0.4</v>
      </c>
      <c r="AB1008" s="21">
        <v>1270</v>
      </c>
      <c r="AC1008" s="21">
        <v>1270</v>
      </c>
      <c r="AD1008" s="21">
        <v>1260</v>
      </c>
      <c r="AE1008" s="21">
        <v>56</v>
      </c>
      <c r="AF1008" s="21">
        <v>4.48E-2</v>
      </c>
      <c r="AG1008" s="21">
        <v>35</v>
      </c>
      <c r="AH1008" s="21">
        <v>2.8000000000000001E-2</v>
      </c>
      <c r="AI1008" s="21">
        <v>0</v>
      </c>
      <c r="AJ1008" s="21">
        <v>0.89100000000000001</v>
      </c>
      <c r="AK1008" s="21">
        <v>130</v>
      </c>
      <c r="AL1008" s="21">
        <v>0.1032</v>
      </c>
      <c r="AM1008" s="21">
        <v>43</v>
      </c>
      <c r="AN1008" s="21">
        <v>3.4099999999999998E-2</v>
      </c>
      <c r="AO1008" s="21">
        <v>0.56669999999999998</v>
      </c>
      <c r="AP1008" s="21">
        <v>54</v>
      </c>
      <c r="AQ1008" s="21">
        <v>54</v>
      </c>
      <c r="AR1008" s="21">
        <v>42</v>
      </c>
      <c r="AS1008" s="21">
        <v>4</v>
      </c>
      <c r="AT1008" s="21">
        <v>8</v>
      </c>
      <c r="AU1008" s="21">
        <v>6278</v>
      </c>
      <c r="AV1008" s="21">
        <v>191</v>
      </c>
    </row>
    <row r="1009" spans="1:48" x14ac:dyDescent="0.15">
      <c r="A1009" s="20" t="s">
        <v>61</v>
      </c>
      <c r="B1009" s="20" t="s">
        <v>132</v>
      </c>
      <c r="C1009" s="21">
        <v>5899</v>
      </c>
      <c r="D1009" s="21">
        <v>173</v>
      </c>
      <c r="E1009" s="21">
        <v>0</v>
      </c>
      <c r="F1009" s="21">
        <v>6072</v>
      </c>
      <c r="G1009" s="21">
        <v>362</v>
      </c>
      <c r="H1009" s="21">
        <v>1380</v>
      </c>
      <c r="I1009" s="21">
        <v>2472</v>
      </c>
      <c r="J1009" s="21">
        <v>1861</v>
      </c>
      <c r="K1009" s="21">
        <v>4</v>
      </c>
      <c r="L1009" s="21">
        <v>76</v>
      </c>
      <c r="M1009" s="21">
        <v>0.68420000000000003</v>
      </c>
      <c r="N1009" s="21">
        <v>0.68420000000000003</v>
      </c>
      <c r="O1009" s="21">
        <v>0.26319999999999999</v>
      </c>
      <c r="P1009" s="21">
        <v>229</v>
      </c>
      <c r="Q1009" s="21">
        <v>0.3886</v>
      </c>
      <c r="R1009" s="21">
        <v>80</v>
      </c>
      <c r="S1009" s="21">
        <v>27</v>
      </c>
      <c r="T1009" s="21">
        <v>9.8199999999999996E-2</v>
      </c>
      <c r="U1009" s="21">
        <v>4.3499999999999997E-2</v>
      </c>
      <c r="V1009" s="21">
        <v>0.98229999999999995</v>
      </c>
      <c r="W1009" s="21">
        <v>12</v>
      </c>
      <c r="X1009" s="21">
        <v>12</v>
      </c>
      <c r="Y1009" s="21">
        <v>28</v>
      </c>
      <c r="Z1009" s="21">
        <v>0</v>
      </c>
      <c r="AA1009" s="21">
        <v>0.4</v>
      </c>
      <c r="AB1009" s="21">
        <v>255</v>
      </c>
      <c r="AC1009" s="21">
        <v>255</v>
      </c>
      <c r="AD1009" s="21">
        <v>266</v>
      </c>
      <c r="AE1009" s="21">
        <v>13</v>
      </c>
      <c r="AF1009" s="21">
        <v>4.7100000000000003E-2</v>
      </c>
      <c r="AG1009" s="21">
        <v>34</v>
      </c>
      <c r="AH1009" s="21">
        <v>0.1232</v>
      </c>
      <c r="AI1009" s="21">
        <v>0</v>
      </c>
      <c r="AJ1009" s="21">
        <v>0.72250000000000003</v>
      </c>
      <c r="AK1009" s="21">
        <v>22</v>
      </c>
      <c r="AL1009" s="21">
        <v>8.2900000000000001E-2</v>
      </c>
      <c r="AM1009" s="21">
        <v>5</v>
      </c>
      <c r="AN1009" s="21">
        <v>1.8800000000000001E-2</v>
      </c>
      <c r="AO1009" s="21">
        <v>0.45679999999999998</v>
      </c>
      <c r="AP1009" s="21">
        <v>11</v>
      </c>
      <c r="AQ1009" s="21">
        <v>11</v>
      </c>
      <c r="AR1009" s="21">
        <v>3</v>
      </c>
      <c r="AS1009" s="21">
        <v>8</v>
      </c>
      <c r="AT1009" s="21">
        <v>0</v>
      </c>
      <c r="AU1009" s="21">
        <v>3559</v>
      </c>
      <c r="AV1009" s="21">
        <v>47</v>
      </c>
    </row>
    <row r="1010" spans="1:48" x14ac:dyDescent="0.15">
      <c r="A1010" s="20" t="s">
        <v>48</v>
      </c>
      <c r="B1010" s="20" t="s">
        <v>133</v>
      </c>
      <c r="C1010" s="21">
        <v>4535</v>
      </c>
      <c r="D1010" s="21">
        <v>103</v>
      </c>
      <c r="E1010" s="21">
        <v>0</v>
      </c>
      <c r="F1010" s="21">
        <v>4638</v>
      </c>
      <c r="G1010" s="21">
        <v>506</v>
      </c>
      <c r="H1010" s="21">
        <v>539</v>
      </c>
      <c r="I1010" s="21">
        <v>1019</v>
      </c>
      <c r="J1010" s="21">
        <v>2539</v>
      </c>
      <c r="K1010" s="21">
        <v>32</v>
      </c>
      <c r="L1010" s="21">
        <v>133</v>
      </c>
      <c r="M1010" s="21">
        <v>0.54010000000000002</v>
      </c>
      <c r="N1010" s="21">
        <v>0.35039999999999999</v>
      </c>
      <c r="O1010" s="21">
        <v>0.2336</v>
      </c>
      <c r="P1010" s="21">
        <v>1009</v>
      </c>
      <c r="Q1010" s="21">
        <v>0.1249</v>
      </c>
      <c r="R1010" s="21">
        <v>34</v>
      </c>
      <c r="S1010" s="21">
        <v>5</v>
      </c>
      <c r="T1010" s="21">
        <v>6.4299999999999996E-2</v>
      </c>
      <c r="U1010" s="21">
        <v>4.5900000000000003E-2</v>
      </c>
      <c r="V1010" s="21">
        <v>0.95750000000000002</v>
      </c>
      <c r="W1010" s="21">
        <v>16</v>
      </c>
      <c r="X1010" s="21">
        <v>20</v>
      </c>
      <c r="Y1010" s="21">
        <v>32</v>
      </c>
      <c r="Z1010" s="21">
        <v>0.1</v>
      </c>
      <c r="AA1010" s="21">
        <v>0.6</v>
      </c>
      <c r="AB1010" s="21">
        <v>303</v>
      </c>
      <c r="AC1010" s="21">
        <v>247</v>
      </c>
      <c r="AD1010" s="21">
        <v>295</v>
      </c>
      <c r="AE1010" s="21">
        <v>62</v>
      </c>
      <c r="AF1010" s="21">
        <v>0.216</v>
      </c>
      <c r="AG1010" s="21">
        <v>46</v>
      </c>
      <c r="AH1010" s="21">
        <v>0.1603</v>
      </c>
      <c r="AI1010" s="21">
        <v>0</v>
      </c>
      <c r="AJ1010" s="21">
        <v>0.9</v>
      </c>
      <c r="AK1010" s="21">
        <v>21</v>
      </c>
      <c r="AL1010" s="21">
        <v>7.8700000000000006E-2</v>
      </c>
      <c r="AM1010" s="21">
        <v>7</v>
      </c>
      <c r="AN1010" s="21">
        <v>2.6200000000000001E-2</v>
      </c>
      <c r="AO1010" s="21">
        <v>0.90439999999999998</v>
      </c>
      <c r="AP1010" s="21">
        <v>71</v>
      </c>
      <c r="AQ1010" s="21">
        <v>71</v>
      </c>
      <c r="AR1010" s="21">
        <v>63</v>
      </c>
      <c r="AS1010" s="21">
        <v>8</v>
      </c>
      <c r="AT1010" s="21">
        <v>0</v>
      </c>
      <c r="AU1010" s="21">
        <v>3670</v>
      </c>
      <c r="AV1010" s="21">
        <v>283</v>
      </c>
    </row>
    <row r="1011" spans="1:48" x14ac:dyDescent="0.15">
      <c r="A1011" s="20" t="s">
        <v>50</v>
      </c>
      <c r="B1011" s="20" t="s">
        <v>133</v>
      </c>
      <c r="C1011" s="21">
        <v>7323</v>
      </c>
      <c r="D1011" s="21">
        <v>1078</v>
      </c>
      <c r="E1011" s="21">
        <v>0</v>
      </c>
      <c r="F1011" s="21">
        <v>8401</v>
      </c>
      <c r="G1011" s="21">
        <v>17</v>
      </c>
      <c r="H1011" s="21">
        <v>7018</v>
      </c>
      <c r="I1011" s="21">
        <v>0</v>
      </c>
      <c r="J1011" s="21">
        <v>724</v>
      </c>
      <c r="K1011" s="21">
        <v>12</v>
      </c>
      <c r="L1011" s="21">
        <v>174</v>
      </c>
      <c r="M1011" s="21">
        <v>0.69059999999999999</v>
      </c>
      <c r="N1011" s="21">
        <v>0.54139999999999999</v>
      </c>
      <c r="O1011" s="21">
        <v>0.34810000000000002</v>
      </c>
      <c r="P1011" s="21">
        <v>617</v>
      </c>
      <c r="Q1011" s="21">
        <v>0.3387</v>
      </c>
      <c r="R1011" s="21">
        <v>48</v>
      </c>
      <c r="S1011" s="21">
        <v>14</v>
      </c>
      <c r="T1011" s="21">
        <v>7.2999999999999995E-2</v>
      </c>
      <c r="U1011" s="21">
        <v>3.3000000000000002E-2</v>
      </c>
      <c r="V1011" s="21">
        <v>0.98089999999999999</v>
      </c>
      <c r="W1011" s="21">
        <v>109</v>
      </c>
      <c r="X1011" s="21">
        <v>71</v>
      </c>
      <c r="Y1011" s="21">
        <v>145</v>
      </c>
      <c r="Z1011" s="21">
        <v>0.5</v>
      </c>
      <c r="AA1011" s="21">
        <v>0.5</v>
      </c>
      <c r="AB1011" s="21">
        <v>146</v>
      </c>
      <c r="AC1011" s="21">
        <v>146</v>
      </c>
      <c r="AD1011" s="21">
        <v>150</v>
      </c>
      <c r="AE1011" s="21">
        <v>24</v>
      </c>
      <c r="AF1011" s="21">
        <v>0.15479999999999999</v>
      </c>
      <c r="AG1011" s="21">
        <v>33</v>
      </c>
      <c r="AH1011" s="21">
        <v>0.21290000000000001</v>
      </c>
      <c r="AI1011" s="21">
        <v>0</v>
      </c>
      <c r="AJ1011" s="21">
        <v>0.28570000000000001</v>
      </c>
      <c r="AK1011" s="21">
        <v>54</v>
      </c>
      <c r="AL1011" s="21">
        <v>0.35880000000000001</v>
      </c>
      <c r="AM1011" s="21">
        <v>32</v>
      </c>
      <c r="AN1011" s="21">
        <v>0.21260000000000001</v>
      </c>
      <c r="AO1011" s="21">
        <v>0.23130000000000001</v>
      </c>
      <c r="AP1011" s="21">
        <v>175</v>
      </c>
      <c r="AQ1011" s="21">
        <v>175</v>
      </c>
      <c r="AR1011" s="21">
        <v>155</v>
      </c>
      <c r="AS1011" s="21">
        <v>13</v>
      </c>
      <c r="AT1011" s="21">
        <v>8</v>
      </c>
      <c r="AU1011" s="21">
        <v>6468</v>
      </c>
      <c r="AV1011" s="21">
        <v>260</v>
      </c>
    </row>
    <row r="1012" spans="1:48" x14ac:dyDescent="0.15">
      <c r="A1012" s="20" t="s">
        <v>51</v>
      </c>
      <c r="B1012" s="20" t="s">
        <v>133</v>
      </c>
      <c r="C1012" s="21">
        <v>49520</v>
      </c>
      <c r="D1012" s="21">
        <v>3051</v>
      </c>
      <c r="E1012" s="21">
        <v>0</v>
      </c>
      <c r="F1012" s="21">
        <v>52571</v>
      </c>
      <c r="G1012" s="21">
        <v>3212</v>
      </c>
      <c r="H1012" s="21">
        <v>26175</v>
      </c>
      <c r="I1012" s="21">
        <v>13259</v>
      </c>
      <c r="J1012" s="21">
        <v>10173</v>
      </c>
      <c r="K1012" s="21">
        <v>43</v>
      </c>
      <c r="L1012" s="21">
        <v>858</v>
      </c>
      <c r="M1012" s="21">
        <v>0.69930000000000003</v>
      </c>
      <c r="N1012" s="21">
        <v>0.6532</v>
      </c>
      <c r="O1012" s="21">
        <v>0.37790000000000001</v>
      </c>
      <c r="P1012" s="21">
        <v>3073</v>
      </c>
      <c r="Q1012" s="21">
        <v>0.3957</v>
      </c>
      <c r="R1012" s="21">
        <v>61</v>
      </c>
      <c r="S1012" s="21">
        <v>17</v>
      </c>
      <c r="T1012" s="21">
        <v>0.10970000000000001</v>
      </c>
      <c r="U1012" s="21">
        <v>8.5199999999999998E-2</v>
      </c>
      <c r="V1012" s="21">
        <v>0.97160000000000002</v>
      </c>
      <c r="W1012" s="21">
        <v>2537</v>
      </c>
      <c r="X1012" s="21">
        <v>2257</v>
      </c>
      <c r="Y1012" s="21">
        <v>4312</v>
      </c>
      <c r="Z1012" s="21">
        <v>0.2</v>
      </c>
      <c r="AA1012" s="21">
        <v>0.5</v>
      </c>
      <c r="AB1012" s="21">
        <v>12251</v>
      </c>
      <c r="AC1012" s="21">
        <v>12047</v>
      </c>
      <c r="AD1012" s="21">
        <v>12192</v>
      </c>
      <c r="AE1012" s="21">
        <v>577</v>
      </c>
      <c r="AF1012" s="21">
        <v>4.7600000000000003E-2</v>
      </c>
      <c r="AG1012" s="21">
        <v>460</v>
      </c>
      <c r="AH1012" s="21">
        <v>3.7900000000000003E-2</v>
      </c>
      <c r="AI1012" s="21">
        <v>0.13550000000000001</v>
      </c>
      <c r="AJ1012" s="21">
        <v>0.83030000000000004</v>
      </c>
      <c r="AK1012" s="21">
        <v>2245</v>
      </c>
      <c r="AL1012" s="21">
        <v>0.18579999999999999</v>
      </c>
      <c r="AM1012" s="21">
        <v>1175</v>
      </c>
      <c r="AN1012" s="21">
        <v>9.7199999999999995E-2</v>
      </c>
      <c r="AO1012" s="21">
        <v>0.58779999999999999</v>
      </c>
      <c r="AP1012" s="21">
        <v>572</v>
      </c>
      <c r="AQ1012" s="21">
        <v>572</v>
      </c>
      <c r="AR1012" s="21">
        <v>246</v>
      </c>
      <c r="AS1012" s="21">
        <v>198</v>
      </c>
      <c r="AT1012" s="21">
        <v>128</v>
      </c>
      <c r="AU1012" s="21">
        <v>16193</v>
      </c>
      <c r="AV1012" s="21">
        <v>1953</v>
      </c>
    </row>
    <row r="1013" spans="1:48" x14ac:dyDescent="0.15">
      <c r="A1013" s="20" t="s">
        <v>52</v>
      </c>
      <c r="B1013" s="20" t="s">
        <v>133</v>
      </c>
      <c r="C1013" s="21">
        <v>28600</v>
      </c>
      <c r="D1013" s="21">
        <v>655</v>
      </c>
      <c r="E1013" s="21">
        <v>0</v>
      </c>
      <c r="F1013" s="21">
        <v>29255</v>
      </c>
      <c r="G1013" s="21">
        <v>3910</v>
      </c>
      <c r="H1013" s="21">
        <v>11332</v>
      </c>
      <c r="I1013" s="21">
        <v>6505</v>
      </c>
      <c r="J1013" s="21">
        <v>7951</v>
      </c>
      <c r="K1013" s="21">
        <v>9</v>
      </c>
      <c r="L1013" s="21">
        <v>232</v>
      </c>
      <c r="M1013" s="21">
        <v>0.73250000000000004</v>
      </c>
      <c r="N1013" s="21">
        <v>0.68310000000000004</v>
      </c>
      <c r="O1013" s="21">
        <v>0.32100000000000001</v>
      </c>
      <c r="P1013" s="21">
        <v>1175</v>
      </c>
      <c r="Q1013" s="21">
        <v>0.3745</v>
      </c>
      <c r="R1013" s="21">
        <v>125</v>
      </c>
      <c r="S1013" s="21">
        <v>25</v>
      </c>
      <c r="T1013" s="21">
        <v>7.17E-2</v>
      </c>
      <c r="U1013" s="21">
        <v>4.4999999999999998E-2</v>
      </c>
      <c r="V1013" s="21">
        <v>0.99070000000000003</v>
      </c>
      <c r="W1013" s="21">
        <v>440</v>
      </c>
      <c r="X1013" s="21">
        <v>211</v>
      </c>
      <c r="Y1013" s="21">
        <v>186</v>
      </c>
      <c r="Z1013" s="21">
        <v>0.6</v>
      </c>
      <c r="AA1013" s="21">
        <v>1.1000000000000001</v>
      </c>
      <c r="AB1013" s="21">
        <v>357</v>
      </c>
      <c r="AC1013" s="21">
        <v>357</v>
      </c>
      <c r="AD1013" s="21">
        <v>368</v>
      </c>
      <c r="AE1013" s="21">
        <v>6</v>
      </c>
      <c r="AF1013" s="21">
        <v>1.5800000000000002E-2</v>
      </c>
      <c r="AG1013" s="21">
        <v>28</v>
      </c>
      <c r="AH1013" s="21">
        <v>7.3899999999999993E-2</v>
      </c>
      <c r="AI1013" s="21">
        <v>0.42859999999999998</v>
      </c>
      <c r="AJ1013" s="21">
        <v>0.75</v>
      </c>
      <c r="AK1013" s="21">
        <v>66</v>
      </c>
      <c r="AL1013" s="21">
        <v>0.17929999999999999</v>
      </c>
      <c r="AM1013" s="21">
        <v>48</v>
      </c>
      <c r="AN1013" s="21">
        <v>0.13039999999999999</v>
      </c>
      <c r="AO1013" s="21">
        <v>0.82620000000000005</v>
      </c>
      <c r="AP1013" s="21">
        <v>115</v>
      </c>
      <c r="AQ1013" s="21">
        <v>115</v>
      </c>
      <c r="AR1013" s="21">
        <v>52</v>
      </c>
      <c r="AS1013" s="21">
        <v>63</v>
      </c>
      <c r="AT1013" s="21">
        <v>0</v>
      </c>
      <c r="AU1013" s="21">
        <v>6447</v>
      </c>
      <c r="AV1013" s="21">
        <v>932</v>
      </c>
    </row>
    <row r="1014" spans="1:48" x14ac:dyDescent="0.15">
      <c r="A1014" s="20" t="s">
        <v>53</v>
      </c>
      <c r="B1014" s="20" t="s">
        <v>133</v>
      </c>
      <c r="C1014" s="21">
        <v>6246</v>
      </c>
      <c r="D1014" s="21">
        <v>843</v>
      </c>
      <c r="E1014" s="21">
        <v>-8</v>
      </c>
      <c r="F1014" s="21">
        <v>7081</v>
      </c>
      <c r="H1014" s="21">
        <v>37</v>
      </c>
      <c r="I1014" s="21">
        <v>1538</v>
      </c>
      <c r="J1014" s="21">
        <v>5518</v>
      </c>
      <c r="K1014" s="21">
        <v>-8</v>
      </c>
      <c r="L1014" s="21">
        <v>120</v>
      </c>
      <c r="M1014" s="21">
        <v>0.71760000000000002</v>
      </c>
      <c r="N1014" s="21">
        <v>0.65649999999999997</v>
      </c>
      <c r="O1014" s="21">
        <v>0.45040000000000002</v>
      </c>
      <c r="P1014" s="21">
        <v>2413</v>
      </c>
      <c r="Q1014" s="21">
        <v>5.4699999999999999E-2</v>
      </c>
      <c r="R1014" s="21">
        <v>57</v>
      </c>
      <c r="S1014" s="21">
        <v>3</v>
      </c>
      <c r="T1014" s="21">
        <v>0.14050000000000001</v>
      </c>
      <c r="U1014" s="21">
        <v>4.1000000000000002E-2</v>
      </c>
      <c r="V1014" s="21">
        <v>0.97599999999999998</v>
      </c>
      <c r="W1014" s="21">
        <v>1054</v>
      </c>
      <c r="X1014" s="21">
        <v>873</v>
      </c>
      <c r="Y1014" s="21">
        <v>1697</v>
      </c>
      <c r="Z1014" s="21">
        <v>0.2</v>
      </c>
      <c r="AA1014" s="21">
        <v>0.5</v>
      </c>
      <c r="AB1014" s="21">
        <v>4656</v>
      </c>
      <c r="AC1014" s="21">
        <v>4277</v>
      </c>
      <c r="AD1014" s="21">
        <v>4574</v>
      </c>
      <c r="AE1014" s="21">
        <v>502</v>
      </c>
      <c r="AF1014" s="21">
        <v>0.1118</v>
      </c>
      <c r="AG1014" s="21">
        <v>337</v>
      </c>
      <c r="AH1014" s="21">
        <v>7.4999999999999997E-2</v>
      </c>
      <c r="AI1014" s="21">
        <v>0.1502</v>
      </c>
      <c r="AJ1014" s="21">
        <v>0.68359999999999999</v>
      </c>
      <c r="AK1014" s="21">
        <v>673</v>
      </c>
      <c r="AL1014" s="21">
        <v>0.1535</v>
      </c>
      <c r="AM1014" s="21">
        <v>442</v>
      </c>
      <c r="AN1014" s="21">
        <v>0.1008</v>
      </c>
      <c r="AO1014" s="21">
        <v>0.53359999999999996</v>
      </c>
      <c r="AP1014" s="21">
        <v>73</v>
      </c>
      <c r="AQ1014" s="21">
        <v>73</v>
      </c>
      <c r="AR1014" s="21">
        <v>39</v>
      </c>
      <c r="AS1014" s="21">
        <v>13</v>
      </c>
      <c r="AT1014" s="21">
        <v>21</v>
      </c>
      <c r="AU1014" s="21">
        <v>1963</v>
      </c>
      <c r="AV1014" s="21">
        <v>396</v>
      </c>
    </row>
    <row r="1015" spans="1:48" x14ac:dyDescent="0.15">
      <c r="A1015" s="20" t="s">
        <v>0</v>
      </c>
      <c r="B1015" s="20" t="s">
        <v>133</v>
      </c>
      <c r="C1015" s="21">
        <v>147840</v>
      </c>
      <c r="D1015" s="21">
        <v>9791</v>
      </c>
      <c r="E1015" s="21">
        <v>-8</v>
      </c>
      <c r="F1015" s="21">
        <v>157623</v>
      </c>
      <c r="G1015" s="21">
        <v>16578</v>
      </c>
      <c r="H1015" s="21">
        <v>63816</v>
      </c>
      <c r="I1015" s="21">
        <v>28810</v>
      </c>
      <c r="J1015" s="21">
        <v>48745</v>
      </c>
      <c r="K1015" s="21">
        <v>79</v>
      </c>
      <c r="L1015" s="21">
        <v>2826</v>
      </c>
      <c r="M1015" s="21">
        <v>0.67689999999999995</v>
      </c>
      <c r="N1015" s="21">
        <v>0.58440000000000003</v>
      </c>
      <c r="O1015" s="21">
        <v>0.38940000000000002</v>
      </c>
      <c r="P1015" s="21">
        <v>17045</v>
      </c>
      <c r="Q1015" s="21">
        <v>0.2114</v>
      </c>
      <c r="R1015" s="21">
        <v>56</v>
      </c>
      <c r="S1015" s="21">
        <v>9</v>
      </c>
      <c r="T1015" s="21">
        <v>0.111</v>
      </c>
      <c r="U1015" s="21">
        <v>4.9099999999999998E-2</v>
      </c>
      <c r="V1015" s="21">
        <v>0.97640000000000005</v>
      </c>
      <c r="W1015" s="21">
        <v>6837</v>
      </c>
      <c r="X1015" s="21">
        <v>5347</v>
      </c>
      <c r="Y1015" s="21">
        <v>9455</v>
      </c>
      <c r="Z1015" s="21">
        <v>0.2</v>
      </c>
      <c r="AA1015" s="21">
        <v>0.6</v>
      </c>
      <c r="AB1015" s="21">
        <v>25340</v>
      </c>
      <c r="AC1015" s="21">
        <v>24057</v>
      </c>
      <c r="AD1015" s="21">
        <v>25187</v>
      </c>
      <c r="AE1015" s="21">
        <v>2031</v>
      </c>
      <c r="AF1015" s="21">
        <v>8.1100000000000005E-2</v>
      </c>
      <c r="AG1015" s="21">
        <v>1725</v>
      </c>
      <c r="AH1015" s="21">
        <v>6.8900000000000003E-2</v>
      </c>
      <c r="AI1015" s="21">
        <v>0.1424</v>
      </c>
      <c r="AJ1015" s="21">
        <v>0.74309999999999998</v>
      </c>
      <c r="AK1015" s="21">
        <v>4281</v>
      </c>
      <c r="AL1015" s="21">
        <v>0.17449999999999999</v>
      </c>
      <c r="AM1015" s="21">
        <v>2487</v>
      </c>
      <c r="AN1015" s="21">
        <v>0.1014</v>
      </c>
      <c r="AO1015" s="21">
        <v>0.6351</v>
      </c>
      <c r="AP1015" s="21">
        <v>2174</v>
      </c>
      <c r="AQ1015" s="21">
        <v>2173</v>
      </c>
      <c r="AR1015" s="21">
        <v>1517</v>
      </c>
      <c r="AS1015" s="21">
        <v>423</v>
      </c>
      <c r="AT1015" s="21">
        <v>232</v>
      </c>
      <c r="AU1015" s="21">
        <v>68503</v>
      </c>
      <c r="AV1015" s="21">
        <v>5994</v>
      </c>
    </row>
    <row r="1016" spans="1:48" x14ac:dyDescent="0.15">
      <c r="A1016" s="20" t="s">
        <v>54</v>
      </c>
      <c r="B1016" s="20" t="s">
        <v>133</v>
      </c>
      <c r="C1016" s="21">
        <v>2905</v>
      </c>
      <c r="D1016" s="21">
        <v>339</v>
      </c>
      <c r="E1016" s="21">
        <v>0</v>
      </c>
      <c r="F1016" s="21">
        <v>3244</v>
      </c>
      <c r="G1016" s="21">
        <v>329</v>
      </c>
      <c r="H1016" s="21">
        <v>1402</v>
      </c>
      <c r="I1016" s="21">
        <v>535</v>
      </c>
      <c r="J1016" s="21">
        <v>1091</v>
      </c>
      <c r="K1016" s="21">
        <v>0</v>
      </c>
      <c r="L1016" s="21">
        <v>230</v>
      </c>
      <c r="M1016" s="21">
        <v>0.75629999999999997</v>
      </c>
      <c r="N1016" s="21">
        <v>0.42859999999999998</v>
      </c>
      <c r="O1016" s="21">
        <v>0.63449999999999995</v>
      </c>
      <c r="P1016" s="21">
        <v>451</v>
      </c>
      <c r="Q1016" s="21">
        <v>0.59870000000000001</v>
      </c>
      <c r="R1016" s="21">
        <v>14</v>
      </c>
      <c r="S1016" s="21">
        <v>7</v>
      </c>
      <c r="T1016" s="21">
        <v>0.13200000000000001</v>
      </c>
      <c r="U1016" s="21">
        <v>1.7299999999999999E-2</v>
      </c>
      <c r="V1016" s="21">
        <v>0.97789999999999999</v>
      </c>
      <c r="W1016" s="21">
        <v>328</v>
      </c>
      <c r="X1016" s="21">
        <v>217</v>
      </c>
      <c r="Y1016" s="21">
        <v>327</v>
      </c>
      <c r="Z1016" s="21">
        <v>0.3</v>
      </c>
      <c r="AA1016" s="21">
        <v>0.7</v>
      </c>
      <c r="AB1016" s="21">
        <v>830</v>
      </c>
      <c r="AC1016" s="21">
        <v>698</v>
      </c>
      <c r="AD1016" s="21">
        <v>821</v>
      </c>
      <c r="AE1016" s="21">
        <v>169</v>
      </c>
      <c r="AF1016" s="21">
        <v>0.20810000000000001</v>
      </c>
      <c r="AG1016" s="21">
        <v>151</v>
      </c>
      <c r="AH1016" s="21">
        <v>0.186</v>
      </c>
      <c r="AI1016" s="21">
        <v>0.1</v>
      </c>
      <c r="AJ1016" s="21">
        <v>0.46970000000000001</v>
      </c>
      <c r="AK1016" s="21">
        <v>160</v>
      </c>
      <c r="AL1016" s="21">
        <v>0.21190000000000001</v>
      </c>
      <c r="AM1016" s="21">
        <v>105</v>
      </c>
      <c r="AN1016" s="21">
        <v>0.1391</v>
      </c>
      <c r="AO1016" s="21">
        <v>0.78500000000000003</v>
      </c>
      <c r="AP1016" s="21">
        <v>318</v>
      </c>
      <c r="AQ1016" s="21">
        <v>318</v>
      </c>
      <c r="AR1016" s="21">
        <v>298</v>
      </c>
      <c r="AS1016" s="21">
        <v>2</v>
      </c>
      <c r="AT1016" s="21">
        <v>17</v>
      </c>
      <c r="AU1016" s="21">
        <v>5026</v>
      </c>
      <c r="AV1016" s="21">
        <v>135</v>
      </c>
    </row>
    <row r="1017" spans="1:48" x14ac:dyDescent="0.15">
      <c r="A1017" s="20" t="s">
        <v>55</v>
      </c>
      <c r="B1017" s="20" t="s">
        <v>133</v>
      </c>
      <c r="C1017" s="21">
        <v>1172</v>
      </c>
      <c r="D1017" s="21">
        <v>77</v>
      </c>
      <c r="E1017" s="21">
        <v>0</v>
      </c>
      <c r="F1017" s="21">
        <v>1249</v>
      </c>
      <c r="G1017" s="21">
        <v>212</v>
      </c>
      <c r="H1017" s="21">
        <v>569</v>
      </c>
      <c r="I1017" s="21">
        <v>279</v>
      </c>
      <c r="J1017" s="21">
        <v>195</v>
      </c>
      <c r="K1017" s="21">
        <v>-3</v>
      </c>
      <c r="L1017" s="21">
        <v>98</v>
      </c>
      <c r="M1017" s="21">
        <v>0.57840000000000003</v>
      </c>
      <c r="N1017" s="21">
        <v>0.42159999999999997</v>
      </c>
      <c r="O1017" s="21">
        <v>0.32350000000000001</v>
      </c>
      <c r="P1017" s="21">
        <v>1315</v>
      </c>
      <c r="Q1017" s="21">
        <v>7.0000000000000007E-2</v>
      </c>
      <c r="R1017" s="21">
        <v>14</v>
      </c>
      <c r="S1017" s="21">
        <v>1</v>
      </c>
      <c r="T1017" s="21">
        <v>0.14249999999999999</v>
      </c>
      <c r="U1017" s="21">
        <v>7.0000000000000001E-3</v>
      </c>
      <c r="V1017" s="21">
        <v>0.97140000000000004</v>
      </c>
      <c r="W1017" s="21">
        <v>116</v>
      </c>
      <c r="X1017" s="21">
        <v>99</v>
      </c>
      <c r="Y1017" s="21">
        <v>173</v>
      </c>
      <c r="Z1017" s="21">
        <v>0.2</v>
      </c>
      <c r="AA1017" s="21">
        <v>0.6</v>
      </c>
      <c r="AB1017" s="21">
        <v>565</v>
      </c>
      <c r="AC1017" s="21">
        <v>471</v>
      </c>
      <c r="AD1017" s="21">
        <v>560</v>
      </c>
      <c r="AE1017" s="21">
        <v>109</v>
      </c>
      <c r="AF1017" s="21">
        <v>0.19600000000000001</v>
      </c>
      <c r="AG1017" s="21">
        <v>100</v>
      </c>
      <c r="AH1017" s="21">
        <v>0.1799</v>
      </c>
      <c r="AI1017" s="21">
        <v>0.16669999999999999</v>
      </c>
      <c r="AJ1017" s="21">
        <v>0.5</v>
      </c>
      <c r="AK1017" s="21">
        <v>69</v>
      </c>
      <c r="AL1017" s="21">
        <v>0.13439999999999999</v>
      </c>
      <c r="AM1017" s="21">
        <v>45</v>
      </c>
      <c r="AN1017" s="21">
        <v>8.7599999999999997E-2</v>
      </c>
      <c r="AP1017" s="21">
        <v>115</v>
      </c>
      <c r="AQ1017" s="21">
        <v>115</v>
      </c>
      <c r="AR1017" s="21">
        <v>83</v>
      </c>
      <c r="AS1017" s="21">
        <v>11</v>
      </c>
      <c r="AT1017" s="21">
        <v>21</v>
      </c>
      <c r="AU1017" s="21">
        <v>738</v>
      </c>
      <c r="AV1017" s="21">
        <v>44</v>
      </c>
    </row>
    <row r="1018" spans="1:48" x14ac:dyDescent="0.15">
      <c r="A1018" s="20" t="s">
        <v>56</v>
      </c>
      <c r="B1018" s="20" t="s">
        <v>133</v>
      </c>
      <c r="C1018" s="21">
        <v>170</v>
      </c>
      <c r="D1018" s="21">
        <v>18</v>
      </c>
      <c r="E1018" s="21">
        <v>0</v>
      </c>
      <c r="F1018" s="21">
        <v>188</v>
      </c>
      <c r="G1018" s="21">
        <v>0</v>
      </c>
      <c r="H1018" s="21">
        <v>16</v>
      </c>
      <c r="I1018" s="21">
        <v>0</v>
      </c>
      <c r="J1018" s="21">
        <v>174</v>
      </c>
      <c r="K1018" s="21">
        <v>1</v>
      </c>
      <c r="L1018" s="21">
        <v>102</v>
      </c>
      <c r="M1018" s="21">
        <v>0.26169999999999999</v>
      </c>
      <c r="N1018" s="21">
        <v>0.17760000000000001</v>
      </c>
      <c r="O1018" s="21">
        <v>0.14019999999999999</v>
      </c>
      <c r="P1018" s="21">
        <v>2048</v>
      </c>
      <c r="Q1018" s="21">
        <v>2.0500000000000001E-2</v>
      </c>
      <c r="R1018" s="21">
        <v>2</v>
      </c>
      <c r="S1018" s="21">
        <v>0</v>
      </c>
      <c r="T1018" s="21">
        <v>1.5800000000000002E-2</v>
      </c>
      <c r="U1018" s="21">
        <v>4.2900000000000001E-2</v>
      </c>
      <c r="V1018" s="21">
        <v>0.98470000000000002</v>
      </c>
      <c r="W1018" s="21">
        <v>339</v>
      </c>
      <c r="X1018" s="21">
        <v>177</v>
      </c>
      <c r="Y1018" s="21">
        <v>73</v>
      </c>
      <c r="Z1018" s="21">
        <v>1.5</v>
      </c>
      <c r="AA1018" s="21">
        <v>2.4</v>
      </c>
      <c r="AB1018" s="21">
        <v>121</v>
      </c>
      <c r="AC1018" s="21">
        <v>121</v>
      </c>
      <c r="AD1018" s="21">
        <v>122</v>
      </c>
      <c r="AE1018" s="21">
        <v>3</v>
      </c>
      <c r="AF1018" s="21">
        <v>2.46E-2</v>
      </c>
      <c r="AG1018" s="21">
        <v>4</v>
      </c>
      <c r="AH1018" s="21">
        <v>3.2800000000000003E-2</v>
      </c>
      <c r="AI1018" s="21">
        <v>0</v>
      </c>
      <c r="AJ1018" s="21">
        <v>0.69230000000000003</v>
      </c>
      <c r="AK1018" s="21">
        <v>36</v>
      </c>
      <c r="AL1018" s="21">
        <v>0.29630000000000001</v>
      </c>
      <c r="AM1018" s="21">
        <v>32</v>
      </c>
      <c r="AN1018" s="21">
        <v>0.26340000000000002</v>
      </c>
      <c r="AO1018" s="21">
        <v>0.97050000000000003</v>
      </c>
      <c r="AP1018" s="21">
        <v>234</v>
      </c>
      <c r="AQ1018" s="21">
        <v>234</v>
      </c>
      <c r="AR1018" s="21">
        <v>210</v>
      </c>
      <c r="AS1018" s="21">
        <v>4</v>
      </c>
      <c r="AT1018" s="21">
        <v>20</v>
      </c>
      <c r="AU1018" s="21">
        <v>1154</v>
      </c>
      <c r="AV1018" s="21">
        <v>78</v>
      </c>
    </row>
    <row r="1019" spans="1:48" x14ac:dyDescent="0.15">
      <c r="A1019" s="20" t="s">
        <v>57</v>
      </c>
      <c r="B1019" s="20" t="s">
        <v>133</v>
      </c>
      <c r="C1019" s="21">
        <v>17216</v>
      </c>
      <c r="D1019" s="21">
        <v>540</v>
      </c>
      <c r="E1019" s="21">
        <v>0</v>
      </c>
      <c r="F1019" s="21">
        <v>17756</v>
      </c>
      <c r="G1019" s="21">
        <v>4098</v>
      </c>
      <c r="H1019" s="21">
        <v>0</v>
      </c>
      <c r="I1019" s="21">
        <v>1929</v>
      </c>
      <c r="J1019" s="21">
        <v>12256</v>
      </c>
      <c r="K1019" s="21">
        <v>1</v>
      </c>
      <c r="L1019" s="21">
        <v>207</v>
      </c>
      <c r="M1019" s="21">
        <v>0.54590000000000005</v>
      </c>
      <c r="N1019" s="21">
        <v>0.5121</v>
      </c>
      <c r="O1019" s="21">
        <v>0.1401</v>
      </c>
      <c r="P1019" s="21">
        <v>683</v>
      </c>
      <c r="Q1019" s="21">
        <v>0.24299999999999999</v>
      </c>
      <c r="R1019" s="21">
        <v>86</v>
      </c>
      <c r="S1019" s="21">
        <v>26</v>
      </c>
      <c r="T1019" s="21">
        <v>9.1700000000000004E-2</v>
      </c>
      <c r="U1019" s="21">
        <v>3.7699999999999997E-2</v>
      </c>
      <c r="V1019" s="21">
        <v>0.97789999999999999</v>
      </c>
      <c r="W1019" s="21">
        <v>278</v>
      </c>
      <c r="X1019" s="21">
        <v>252</v>
      </c>
      <c r="Y1019" s="21">
        <v>286</v>
      </c>
      <c r="Z1019" s="21">
        <v>0.2</v>
      </c>
      <c r="AA1019" s="21">
        <v>0.9</v>
      </c>
      <c r="AB1019" s="21">
        <v>1042</v>
      </c>
      <c r="AC1019" s="21">
        <v>1042</v>
      </c>
      <c r="AD1019" s="21">
        <v>1046</v>
      </c>
      <c r="AE1019" s="21">
        <v>45</v>
      </c>
      <c r="AF1019" s="21">
        <v>4.2799999999999998E-2</v>
      </c>
      <c r="AG1019" s="21">
        <v>54</v>
      </c>
      <c r="AH1019" s="21">
        <v>5.1400000000000001E-2</v>
      </c>
      <c r="AI1019" s="21">
        <v>0.14749999999999999</v>
      </c>
      <c r="AJ1019" s="21">
        <v>0.8</v>
      </c>
      <c r="AK1019" s="21">
        <v>146</v>
      </c>
      <c r="AL1019" s="21">
        <v>0.13950000000000001</v>
      </c>
      <c r="AM1019" s="21">
        <v>91</v>
      </c>
      <c r="AN1019" s="21">
        <v>8.6999999999999994E-2</v>
      </c>
      <c r="AO1019" s="21">
        <v>0.76070000000000004</v>
      </c>
      <c r="AP1019" s="21">
        <v>141</v>
      </c>
      <c r="AQ1019" s="21">
        <v>141</v>
      </c>
      <c r="AR1019" s="21">
        <v>46</v>
      </c>
      <c r="AS1019" s="21">
        <v>80</v>
      </c>
      <c r="AT1019" s="21">
        <v>15</v>
      </c>
      <c r="AU1019" s="21">
        <v>13344</v>
      </c>
      <c r="AV1019" s="21">
        <v>274</v>
      </c>
    </row>
    <row r="1020" spans="1:48" x14ac:dyDescent="0.15">
      <c r="A1020" s="20" t="s">
        <v>58</v>
      </c>
      <c r="B1020" s="20" t="s">
        <v>133</v>
      </c>
      <c r="C1020" s="21">
        <v>18199</v>
      </c>
      <c r="D1020" s="21">
        <v>2622</v>
      </c>
      <c r="E1020" s="21">
        <v>0</v>
      </c>
      <c r="F1020" s="21">
        <v>20821</v>
      </c>
      <c r="G1020" s="21">
        <v>3302</v>
      </c>
      <c r="H1020" s="21">
        <v>14512</v>
      </c>
      <c r="J1020" s="21">
        <v>3025</v>
      </c>
      <c r="K1020" s="21">
        <v>-14</v>
      </c>
      <c r="L1020" s="21">
        <v>403</v>
      </c>
      <c r="M1020" s="21">
        <v>0.8044</v>
      </c>
      <c r="N1020" s="21">
        <v>0.75549999999999995</v>
      </c>
      <c r="O1020" s="21">
        <v>0.64059999999999995</v>
      </c>
      <c r="P1020" s="21">
        <v>2417</v>
      </c>
      <c r="Q1020" s="21">
        <v>0.2586</v>
      </c>
      <c r="R1020" s="21">
        <v>52</v>
      </c>
      <c r="S1020" s="21">
        <v>9</v>
      </c>
      <c r="T1020" s="21">
        <v>0.2024</v>
      </c>
      <c r="U1020" s="21">
        <v>7.7399999999999997E-2</v>
      </c>
      <c r="V1020" s="21">
        <v>0.97729999999999995</v>
      </c>
      <c r="W1020" s="21">
        <v>1149</v>
      </c>
      <c r="X1020" s="21">
        <v>839</v>
      </c>
      <c r="Y1020" s="21">
        <v>1627</v>
      </c>
      <c r="Z1020" s="21">
        <v>0.2</v>
      </c>
      <c r="AA1020" s="21">
        <v>0.5</v>
      </c>
      <c r="AB1020" s="21">
        <v>3465</v>
      </c>
      <c r="AC1020" s="21">
        <v>3144</v>
      </c>
      <c r="AD1020" s="21">
        <v>3422</v>
      </c>
      <c r="AE1020" s="21">
        <v>403</v>
      </c>
      <c r="AF1020" s="21">
        <v>0.1193</v>
      </c>
      <c r="AG1020" s="21">
        <v>316</v>
      </c>
      <c r="AH1020" s="21">
        <v>9.35E-2</v>
      </c>
      <c r="AI1020" s="21">
        <v>0.1429</v>
      </c>
      <c r="AJ1020" s="21">
        <v>0.67820000000000003</v>
      </c>
      <c r="AK1020" s="21">
        <v>578</v>
      </c>
      <c r="AL1020" s="21">
        <v>0.1772</v>
      </c>
      <c r="AM1020" s="21">
        <v>379</v>
      </c>
      <c r="AN1020" s="21">
        <v>0.1162</v>
      </c>
      <c r="AO1020" s="21">
        <v>0.75139999999999996</v>
      </c>
      <c r="AP1020" s="21">
        <v>122</v>
      </c>
      <c r="AQ1020" s="21">
        <v>122</v>
      </c>
      <c r="AR1020" s="21">
        <v>120</v>
      </c>
      <c r="AS1020" s="21">
        <v>1</v>
      </c>
      <c r="AT1020" s="21">
        <v>0</v>
      </c>
      <c r="AU1020" s="21">
        <v>5697</v>
      </c>
      <c r="AV1020" s="21">
        <v>726</v>
      </c>
    </row>
    <row r="1021" spans="1:48" x14ac:dyDescent="0.15">
      <c r="A1021" s="20" t="s">
        <v>59</v>
      </c>
      <c r="B1021" s="20" t="s">
        <v>133</v>
      </c>
      <c r="C1021" s="21">
        <v>2015</v>
      </c>
      <c r="D1021" s="21">
        <v>158</v>
      </c>
      <c r="E1021" s="21">
        <v>0</v>
      </c>
      <c r="F1021" s="21">
        <v>2173</v>
      </c>
      <c r="G1021" s="21">
        <v>123</v>
      </c>
      <c r="H1021" s="21">
        <v>0</v>
      </c>
      <c r="I1021" s="21">
        <v>609</v>
      </c>
      <c r="J1021" s="21">
        <v>1534</v>
      </c>
      <c r="K1021" s="21">
        <v>0</v>
      </c>
      <c r="L1021" s="21">
        <v>77</v>
      </c>
      <c r="M1021" s="21">
        <v>0.42499999999999999</v>
      </c>
      <c r="N1021" s="21">
        <v>0.38750000000000001</v>
      </c>
      <c r="O1021" s="21">
        <v>0.15</v>
      </c>
      <c r="P1021" s="21">
        <v>1151</v>
      </c>
      <c r="Q1021" s="21">
        <v>4.6899999999999997E-2</v>
      </c>
      <c r="R1021" s="21">
        <v>28</v>
      </c>
      <c r="S1021" s="21">
        <v>2</v>
      </c>
      <c r="T1021" s="21">
        <v>0.1163</v>
      </c>
      <c r="U1021" s="21">
        <v>0.05</v>
      </c>
      <c r="V1021" s="21">
        <v>0.96360000000000001</v>
      </c>
      <c r="W1021" s="21">
        <v>58</v>
      </c>
      <c r="X1021" s="21">
        <v>50</v>
      </c>
      <c r="Y1021" s="21">
        <v>47</v>
      </c>
      <c r="Z1021" s="21">
        <v>0.4</v>
      </c>
      <c r="AA1021" s="21">
        <v>1.1000000000000001</v>
      </c>
      <c r="AB1021" s="21">
        <v>134</v>
      </c>
      <c r="AC1021" s="21">
        <v>134</v>
      </c>
      <c r="AD1021" s="21">
        <v>139</v>
      </c>
      <c r="AE1021" s="21">
        <v>3</v>
      </c>
      <c r="AF1021" s="21">
        <v>2.0799999999999999E-2</v>
      </c>
      <c r="AG1021" s="21">
        <v>13</v>
      </c>
      <c r="AH1021" s="21">
        <v>9.0300000000000005E-2</v>
      </c>
      <c r="AI1021" s="21">
        <v>0.20830000000000001</v>
      </c>
      <c r="AJ1021" s="21">
        <v>0.33329999999999999</v>
      </c>
      <c r="AK1021" s="21">
        <v>29</v>
      </c>
      <c r="AL1021" s="21">
        <v>0.20860000000000001</v>
      </c>
      <c r="AM1021" s="21">
        <v>18</v>
      </c>
      <c r="AN1021" s="21">
        <v>0.1295</v>
      </c>
      <c r="AO1021" s="21">
        <v>0.93069999999999997</v>
      </c>
      <c r="AP1021" s="21">
        <v>184</v>
      </c>
      <c r="AQ1021" s="21">
        <v>184</v>
      </c>
      <c r="AR1021" s="21">
        <v>180</v>
      </c>
      <c r="AS1021" s="21">
        <v>5</v>
      </c>
      <c r="AT1021" s="21">
        <v>0</v>
      </c>
      <c r="AU1021" s="21">
        <v>1150</v>
      </c>
      <c r="AV1021" s="21">
        <v>25</v>
      </c>
    </row>
    <row r="1022" spans="1:48" x14ac:dyDescent="0.15">
      <c r="A1022" s="20" t="s">
        <v>60</v>
      </c>
      <c r="B1022" s="20" t="s">
        <v>133</v>
      </c>
      <c r="C1022" s="21">
        <v>2842</v>
      </c>
      <c r="D1022" s="21">
        <v>197</v>
      </c>
      <c r="E1022" s="21">
        <v>0</v>
      </c>
      <c r="F1022" s="21">
        <v>3038</v>
      </c>
      <c r="G1022" s="21">
        <v>90</v>
      </c>
      <c r="H1022" s="21">
        <v>1202</v>
      </c>
      <c r="I1022" s="21">
        <v>1096</v>
      </c>
      <c r="J1022" s="21">
        <v>180</v>
      </c>
      <c r="K1022" s="21">
        <v>5</v>
      </c>
      <c r="L1022" s="21">
        <v>116</v>
      </c>
      <c r="M1022" s="21">
        <v>0.74580000000000002</v>
      </c>
      <c r="N1022" s="21">
        <v>0.55930000000000002</v>
      </c>
      <c r="O1022" s="21">
        <v>0.43219999999999997</v>
      </c>
      <c r="P1022" s="21">
        <v>463</v>
      </c>
      <c r="Q1022" s="21">
        <v>0.30449999999999999</v>
      </c>
      <c r="R1022" s="21">
        <v>26</v>
      </c>
      <c r="S1022" s="21">
        <v>7</v>
      </c>
      <c r="T1022" s="21">
        <v>8.9099999999999999E-2</v>
      </c>
      <c r="U1022" s="21">
        <v>3.6400000000000002E-2</v>
      </c>
      <c r="V1022" s="21">
        <v>0.98340000000000005</v>
      </c>
      <c r="W1022" s="21">
        <v>343</v>
      </c>
      <c r="X1022" s="21">
        <v>226</v>
      </c>
      <c r="Y1022" s="21">
        <v>458</v>
      </c>
      <c r="Z1022" s="21">
        <v>0.2</v>
      </c>
      <c r="AA1022" s="21">
        <v>0.5</v>
      </c>
      <c r="AB1022" s="21">
        <v>1289</v>
      </c>
      <c r="AC1022" s="21">
        <v>1220</v>
      </c>
      <c r="AD1022" s="21">
        <v>1280</v>
      </c>
      <c r="AE1022" s="21">
        <v>95</v>
      </c>
      <c r="AF1022" s="21">
        <v>7.4800000000000005E-2</v>
      </c>
      <c r="AG1022" s="21">
        <v>76</v>
      </c>
      <c r="AH1022" s="21">
        <v>5.9799999999999999E-2</v>
      </c>
      <c r="AI1022" s="21">
        <v>0.16220000000000001</v>
      </c>
      <c r="AJ1022" s="21">
        <v>0.82089999999999996</v>
      </c>
      <c r="AK1022" s="21">
        <v>172</v>
      </c>
      <c r="AL1022" s="21">
        <v>0.13819999999999999</v>
      </c>
      <c r="AM1022" s="21">
        <v>91</v>
      </c>
      <c r="AN1022" s="21">
        <v>7.3099999999999998E-2</v>
      </c>
      <c r="AO1022" s="21">
        <v>0.66830000000000001</v>
      </c>
      <c r="AP1022" s="21">
        <v>30</v>
      </c>
      <c r="AQ1022" s="21">
        <v>30</v>
      </c>
      <c r="AR1022" s="21">
        <v>22</v>
      </c>
      <c r="AS1022" s="21">
        <v>6</v>
      </c>
      <c r="AT1022" s="21">
        <v>2</v>
      </c>
      <c r="AU1022" s="21">
        <v>4121</v>
      </c>
      <c r="AV1022" s="21">
        <v>782</v>
      </c>
    </row>
    <row r="1023" spans="1:48" x14ac:dyDescent="0.15">
      <c r="A1023" s="20" t="s">
        <v>61</v>
      </c>
      <c r="B1023" s="20" t="s">
        <v>133</v>
      </c>
      <c r="C1023" s="21">
        <v>7097</v>
      </c>
      <c r="D1023" s="21">
        <v>110</v>
      </c>
      <c r="E1023" s="21">
        <v>0</v>
      </c>
      <c r="F1023" s="21">
        <v>7207</v>
      </c>
      <c r="G1023" s="21">
        <v>778</v>
      </c>
      <c r="H1023" s="21">
        <v>1012</v>
      </c>
      <c r="I1023" s="21">
        <v>2040</v>
      </c>
      <c r="J1023" s="21">
        <v>3386</v>
      </c>
      <c r="K1023" s="21">
        <v>0</v>
      </c>
      <c r="L1023" s="21">
        <v>76</v>
      </c>
      <c r="M1023" s="21">
        <v>0.68420000000000003</v>
      </c>
      <c r="N1023" s="21">
        <v>0.68420000000000003</v>
      </c>
      <c r="O1023" s="21">
        <v>0.19739999999999999</v>
      </c>
      <c r="P1023" s="21">
        <v>230</v>
      </c>
      <c r="Q1023" s="21">
        <v>0.39129999999999998</v>
      </c>
      <c r="R1023" s="21">
        <v>95</v>
      </c>
      <c r="S1023" s="21">
        <v>31</v>
      </c>
      <c r="T1023" s="21">
        <v>6.4000000000000001E-2</v>
      </c>
      <c r="U1023" s="21">
        <v>4.1000000000000002E-2</v>
      </c>
      <c r="V1023" s="21">
        <v>0.94830000000000003</v>
      </c>
      <c r="W1023" s="21">
        <v>70</v>
      </c>
      <c r="X1023" s="21">
        <v>56</v>
      </c>
      <c r="Y1023" s="21">
        <v>92</v>
      </c>
      <c r="Z1023" s="21">
        <v>0.3</v>
      </c>
      <c r="AA1023" s="21">
        <v>0.6</v>
      </c>
      <c r="AB1023" s="21">
        <v>181</v>
      </c>
      <c r="AC1023" s="21">
        <v>153</v>
      </c>
      <c r="AD1023" s="21">
        <v>218</v>
      </c>
      <c r="AE1023" s="21">
        <v>33</v>
      </c>
      <c r="AF1023" s="21">
        <v>0.12939999999999999</v>
      </c>
      <c r="AG1023" s="21">
        <v>107</v>
      </c>
      <c r="AH1023" s="21">
        <v>0.41959999999999997</v>
      </c>
      <c r="AI1023" s="21">
        <v>0.125</v>
      </c>
      <c r="AJ1023" s="21">
        <v>0.45450000000000002</v>
      </c>
      <c r="AK1023" s="21">
        <v>32</v>
      </c>
      <c r="AL1023" s="21">
        <v>0.15690000000000001</v>
      </c>
      <c r="AM1023" s="21">
        <v>22</v>
      </c>
      <c r="AN1023" s="21">
        <v>0.10780000000000001</v>
      </c>
      <c r="AO1023" s="21">
        <v>0.6099</v>
      </c>
      <c r="AP1023" s="21">
        <v>24</v>
      </c>
      <c r="AQ1023" s="21">
        <v>22</v>
      </c>
      <c r="AR1023" s="21">
        <v>3</v>
      </c>
      <c r="AS1023" s="21">
        <v>19</v>
      </c>
      <c r="AT1023" s="21">
        <v>0</v>
      </c>
      <c r="AU1023" s="21">
        <v>2530</v>
      </c>
      <c r="AV1023" s="21">
        <v>106</v>
      </c>
    </row>
    <row r="1024" spans="1:48" x14ac:dyDescent="0.15">
      <c r="A1024" s="20" t="s">
        <v>48</v>
      </c>
      <c r="B1024" s="20" t="s">
        <v>134</v>
      </c>
      <c r="C1024" s="21">
        <v>4142</v>
      </c>
      <c r="D1024" s="21">
        <v>247</v>
      </c>
      <c r="E1024" s="21">
        <v>0</v>
      </c>
      <c r="F1024" s="21">
        <v>4389</v>
      </c>
      <c r="G1024" s="21">
        <v>304</v>
      </c>
      <c r="H1024" s="21">
        <v>1171</v>
      </c>
      <c r="I1024" s="21">
        <v>721</v>
      </c>
      <c r="J1024" s="21">
        <v>2165</v>
      </c>
      <c r="K1024" s="21">
        <v>46</v>
      </c>
      <c r="L1024" s="21">
        <v>112</v>
      </c>
      <c r="M1024" s="21">
        <v>0.52680000000000005</v>
      </c>
      <c r="N1024" s="21">
        <v>0.29459999999999997</v>
      </c>
      <c r="O1024" s="21">
        <v>0.3125</v>
      </c>
      <c r="P1024" s="21">
        <v>1009</v>
      </c>
      <c r="Q1024" s="21">
        <v>0.1021</v>
      </c>
      <c r="R1024" s="21">
        <v>37</v>
      </c>
      <c r="S1024" s="21">
        <v>4</v>
      </c>
      <c r="T1024" s="21">
        <v>3.95E-2</v>
      </c>
      <c r="U1024" s="21">
        <v>4.4699999999999997E-2</v>
      </c>
      <c r="V1024" s="21">
        <v>0.95960000000000001</v>
      </c>
      <c r="W1024" s="21">
        <v>15</v>
      </c>
      <c r="X1024" s="21">
        <v>16</v>
      </c>
      <c r="Y1024" s="21">
        <v>37</v>
      </c>
      <c r="Z1024" s="21">
        <v>0.1</v>
      </c>
      <c r="AA1024" s="21">
        <v>0.4</v>
      </c>
      <c r="AB1024" s="21">
        <v>281</v>
      </c>
      <c r="AC1024" s="21">
        <v>281</v>
      </c>
      <c r="AD1024" s="21">
        <v>292</v>
      </c>
      <c r="AE1024" s="21">
        <v>5</v>
      </c>
      <c r="AF1024" s="21">
        <v>1.6500000000000001E-2</v>
      </c>
      <c r="AG1024" s="21">
        <v>27</v>
      </c>
      <c r="AH1024" s="21">
        <v>8.9099999999999999E-2</v>
      </c>
      <c r="AI1024" s="21">
        <v>0</v>
      </c>
      <c r="AJ1024" s="21">
        <v>0</v>
      </c>
      <c r="AK1024" s="21">
        <v>23</v>
      </c>
      <c r="AL1024" s="21">
        <v>7.8799999999999995E-2</v>
      </c>
      <c r="AM1024" s="21">
        <v>5</v>
      </c>
      <c r="AN1024" s="21">
        <v>1.7100000000000001E-2</v>
      </c>
      <c r="AO1024" s="21">
        <v>0.9012</v>
      </c>
      <c r="AP1024" s="21">
        <v>117</v>
      </c>
      <c r="AQ1024" s="21">
        <v>117</v>
      </c>
      <c r="AR1024" s="21">
        <v>118</v>
      </c>
      <c r="AS1024" s="21">
        <v>-1</v>
      </c>
      <c r="AT1024" s="21">
        <v>0</v>
      </c>
      <c r="AU1024" s="21">
        <v>4224</v>
      </c>
      <c r="AV1024" s="21">
        <v>205</v>
      </c>
    </row>
    <row r="1025" spans="1:48" x14ac:dyDescent="0.15">
      <c r="A1025" s="20" t="s">
        <v>50</v>
      </c>
      <c r="B1025" s="20" t="s">
        <v>134</v>
      </c>
      <c r="C1025" s="21">
        <v>11738</v>
      </c>
      <c r="D1025" s="21">
        <v>362</v>
      </c>
      <c r="E1025" s="21">
        <v>0</v>
      </c>
      <c r="F1025" s="21">
        <v>12100</v>
      </c>
      <c r="G1025" s="21">
        <v>72</v>
      </c>
      <c r="H1025" s="21">
        <v>9409</v>
      </c>
      <c r="I1025" s="21">
        <v>0</v>
      </c>
      <c r="J1025" s="21">
        <v>1220</v>
      </c>
      <c r="K1025" s="21">
        <v>4</v>
      </c>
      <c r="L1025" s="21">
        <v>160</v>
      </c>
      <c r="M1025" s="21">
        <v>0.79769999999999996</v>
      </c>
      <c r="N1025" s="21">
        <v>0.67049999999999998</v>
      </c>
      <c r="O1025" s="21">
        <v>0.57799999999999996</v>
      </c>
      <c r="P1025" s="21">
        <v>634</v>
      </c>
      <c r="Q1025" s="21">
        <v>0.42270000000000002</v>
      </c>
      <c r="R1025" s="21">
        <v>72</v>
      </c>
      <c r="S1025" s="21">
        <v>19</v>
      </c>
      <c r="T1025" s="21">
        <v>3.6499999999999998E-2</v>
      </c>
      <c r="U1025" s="21">
        <v>3.15E-2</v>
      </c>
      <c r="V1025" s="21">
        <v>0.98450000000000004</v>
      </c>
      <c r="W1025" s="21">
        <v>30</v>
      </c>
      <c r="X1025" s="21">
        <v>30</v>
      </c>
      <c r="Y1025" s="21">
        <v>66</v>
      </c>
      <c r="Z1025" s="21">
        <v>0.2</v>
      </c>
      <c r="AA1025" s="21">
        <v>0.5</v>
      </c>
      <c r="AB1025" s="21">
        <v>138</v>
      </c>
      <c r="AC1025" s="21">
        <v>138</v>
      </c>
      <c r="AD1025" s="21">
        <v>142</v>
      </c>
      <c r="AE1025" s="21">
        <v>12</v>
      </c>
      <c r="AF1025" s="21">
        <v>8.2199999999999995E-2</v>
      </c>
      <c r="AG1025" s="21">
        <v>20</v>
      </c>
      <c r="AH1025" s="21">
        <v>0.13700000000000001</v>
      </c>
      <c r="AI1025" s="21">
        <v>0</v>
      </c>
      <c r="AJ1025" s="21">
        <v>0.1429</v>
      </c>
      <c r="AK1025" s="21">
        <v>41</v>
      </c>
      <c r="AL1025" s="21">
        <v>0.28870000000000001</v>
      </c>
      <c r="AM1025" s="21">
        <v>21</v>
      </c>
      <c r="AN1025" s="21">
        <v>0.1479</v>
      </c>
      <c r="AO1025" s="21">
        <v>0.27439999999999998</v>
      </c>
      <c r="AP1025" s="21">
        <v>50</v>
      </c>
      <c r="AQ1025" s="21">
        <v>50</v>
      </c>
      <c r="AR1025" s="21">
        <v>46</v>
      </c>
      <c r="AS1025" s="21">
        <v>0</v>
      </c>
      <c r="AT1025" s="21">
        <v>4</v>
      </c>
      <c r="AU1025" s="21">
        <v>5757</v>
      </c>
      <c r="AV1025" s="21">
        <v>266</v>
      </c>
    </row>
    <row r="1026" spans="1:48" x14ac:dyDescent="0.15">
      <c r="A1026" s="20" t="s">
        <v>51</v>
      </c>
      <c r="B1026" s="20" t="s">
        <v>134</v>
      </c>
      <c r="C1026" s="21">
        <v>45928</v>
      </c>
      <c r="D1026" s="21">
        <v>3359</v>
      </c>
      <c r="E1026" s="21">
        <v>0</v>
      </c>
      <c r="F1026" s="21">
        <v>49287</v>
      </c>
      <c r="G1026" s="21">
        <v>2271</v>
      </c>
      <c r="H1026" s="21">
        <v>23834</v>
      </c>
      <c r="I1026" s="21">
        <v>11389</v>
      </c>
      <c r="J1026" s="21">
        <v>11365</v>
      </c>
      <c r="K1026" s="21">
        <v>89</v>
      </c>
      <c r="L1026" s="21">
        <v>830</v>
      </c>
      <c r="M1026" s="21">
        <v>0.68089999999999995</v>
      </c>
      <c r="N1026" s="21">
        <v>0.59219999999999995</v>
      </c>
      <c r="O1026" s="21">
        <v>0.50119999999999998</v>
      </c>
      <c r="P1026" s="21">
        <v>3056</v>
      </c>
      <c r="Q1026" s="21">
        <v>0.3861</v>
      </c>
      <c r="R1026" s="21">
        <v>59</v>
      </c>
      <c r="S1026" s="21">
        <v>16</v>
      </c>
      <c r="T1026" s="21">
        <v>9.5600000000000004E-2</v>
      </c>
      <c r="U1026" s="21">
        <v>8.14E-2</v>
      </c>
      <c r="V1026" s="21">
        <v>0.96389999999999998</v>
      </c>
      <c r="W1026" s="21">
        <v>746</v>
      </c>
      <c r="X1026" s="21">
        <v>859</v>
      </c>
      <c r="Y1026" s="21">
        <v>1929</v>
      </c>
      <c r="Z1026" s="21">
        <v>0.1</v>
      </c>
      <c r="AA1026" s="21">
        <v>0.4</v>
      </c>
      <c r="AB1026" s="21">
        <v>12366</v>
      </c>
      <c r="AC1026" s="21">
        <v>12081</v>
      </c>
      <c r="AD1026" s="21">
        <v>12308</v>
      </c>
      <c r="AE1026" s="21">
        <v>714</v>
      </c>
      <c r="AF1026" s="21">
        <v>5.8299999999999998E-2</v>
      </c>
      <c r="AG1026" s="21">
        <v>599</v>
      </c>
      <c r="AH1026" s="21">
        <v>4.8899999999999999E-2</v>
      </c>
      <c r="AI1026" s="21">
        <v>7.17E-2</v>
      </c>
      <c r="AJ1026" s="21">
        <v>0.86580000000000001</v>
      </c>
      <c r="AK1026" s="21">
        <v>1305</v>
      </c>
      <c r="AL1026" s="21">
        <v>0.10730000000000001</v>
      </c>
      <c r="AM1026" s="21">
        <v>576</v>
      </c>
      <c r="AN1026" s="21">
        <v>4.7399999999999998E-2</v>
      </c>
      <c r="AO1026" s="21">
        <v>0.55930000000000002</v>
      </c>
      <c r="AP1026" s="21">
        <v>280</v>
      </c>
      <c r="AQ1026" s="21">
        <v>280</v>
      </c>
      <c r="AR1026" s="21">
        <v>126</v>
      </c>
      <c r="AS1026" s="21">
        <v>123</v>
      </c>
      <c r="AT1026" s="21">
        <v>32</v>
      </c>
      <c r="AU1026" s="21">
        <v>14322</v>
      </c>
      <c r="AV1026" s="21">
        <v>2085</v>
      </c>
    </row>
    <row r="1027" spans="1:48" x14ac:dyDescent="0.15">
      <c r="A1027" s="20" t="s">
        <v>52</v>
      </c>
      <c r="B1027" s="20" t="s">
        <v>134</v>
      </c>
      <c r="C1027" s="21">
        <v>25479</v>
      </c>
      <c r="D1027" s="21">
        <v>913</v>
      </c>
      <c r="E1027" s="21">
        <v>0</v>
      </c>
      <c r="F1027" s="21">
        <v>26392</v>
      </c>
      <c r="G1027" s="21">
        <v>3202</v>
      </c>
      <c r="H1027" s="21">
        <v>11827</v>
      </c>
      <c r="I1027" s="21">
        <v>5878</v>
      </c>
      <c r="J1027" s="21">
        <v>5987</v>
      </c>
      <c r="K1027" s="21">
        <v>8</v>
      </c>
      <c r="L1027" s="21">
        <v>242</v>
      </c>
      <c r="M1027" s="21">
        <v>0.72309999999999997</v>
      </c>
      <c r="N1027" s="21">
        <v>0.67769999999999997</v>
      </c>
      <c r="O1027" s="21">
        <v>0.35949999999999999</v>
      </c>
      <c r="P1027" s="21">
        <v>1176</v>
      </c>
      <c r="Q1027" s="21">
        <v>0.35370000000000001</v>
      </c>
      <c r="R1027" s="21">
        <v>112</v>
      </c>
      <c r="S1027" s="21">
        <v>22</v>
      </c>
      <c r="T1027" s="21">
        <v>8.8900000000000007E-2</v>
      </c>
      <c r="U1027" s="21">
        <v>4.2799999999999998E-2</v>
      </c>
      <c r="V1027" s="21">
        <v>0.96840000000000004</v>
      </c>
      <c r="W1027" s="21">
        <v>188</v>
      </c>
      <c r="X1027" s="21">
        <v>76</v>
      </c>
      <c r="Y1027" s="21">
        <v>66</v>
      </c>
      <c r="Z1027" s="21">
        <v>0.2</v>
      </c>
      <c r="AA1027" s="21">
        <v>1.2</v>
      </c>
      <c r="AB1027" s="21">
        <v>436</v>
      </c>
      <c r="AC1027" s="21">
        <v>354</v>
      </c>
      <c r="AD1027" s="21">
        <v>396</v>
      </c>
      <c r="AE1027" s="21">
        <v>84</v>
      </c>
      <c r="AF1027" s="21">
        <v>0.23530000000000001</v>
      </c>
      <c r="AG1027" s="21">
        <v>5</v>
      </c>
      <c r="AH1027" s="21">
        <v>1.4E-2</v>
      </c>
      <c r="AI1027" s="21">
        <v>0</v>
      </c>
      <c r="AJ1027" s="21">
        <v>1</v>
      </c>
      <c r="AK1027" s="21">
        <v>41</v>
      </c>
      <c r="AL1027" s="21">
        <v>0.1153</v>
      </c>
      <c r="AM1027" s="21">
        <v>32</v>
      </c>
      <c r="AN1027" s="21">
        <v>0.09</v>
      </c>
      <c r="AO1027" s="21">
        <v>0.87270000000000003</v>
      </c>
      <c r="AP1027" s="21">
        <v>55</v>
      </c>
      <c r="AQ1027" s="21">
        <v>55</v>
      </c>
      <c r="AR1027" s="21">
        <v>55</v>
      </c>
      <c r="AS1027" s="21">
        <v>0</v>
      </c>
      <c r="AT1027" s="21">
        <v>0</v>
      </c>
      <c r="AU1027" s="21">
        <v>5890</v>
      </c>
      <c r="AV1027" s="21">
        <v>631</v>
      </c>
    </row>
    <row r="1028" spans="1:48" x14ac:dyDescent="0.15">
      <c r="A1028" s="20" t="s">
        <v>53</v>
      </c>
      <c r="B1028" s="20" t="s">
        <v>134</v>
      </c>
      <c r="C1028" s="21">
        <v>7914</v>
      </c>
      <c r="D1028" s="21">
        <v>749</v>
      </c>
      <c r="E1028" s="21">
        <v>0</v>
      </c>
      <c r="F1028" s="21">
        <v>8663</v>
      </c>
      <c r="H1028" s="21">
        <v>280</v>
      </c>
      <c r="I1028" s="21">
        <v>1578</v>
      </c>
      <c r="J1028" s="21">
        <v>6801</v>
      </c>
      <c r="K1028" s="21">
        <v>0</v>
      </c>
      <c r="L1028" s="21">
        <v>113</v>
      </c>
      <c r="M1028" s="21">
        <v>0.82789999999999997</v>
      </c>
      <c r="N1028" s="21">
        <v>0.77869999999999995</v>
      </c>
      <c r="O1028" s="21">
        <v>0.5</v>
      </c>
      <c r="P1028" s="21">
        <v>1987</v>
      </c>
      <c r="Q1028" s="21">
        <v>7.5999999999999998E-2</v>
      </c>
      <c r="R1028" s="21">
        <v>76</v>
      </c>
      <c r="S1028" s="21">
        <v>4</v>
      </c>
      <c r="T1028" s="21">
        <v>0.2172</v>
      </c>
      <c r="U1028" s="21">
        <v>3.8399999999999997E-2</v>
      </c>
      <c r="V1028" s="21">
        <v>0.98019999999999996</v>
      </c>
      <c r="W1028" s="21">
        <v>510</v>
      </c>
      <c r="X1028" s="21">
        <v>494</v>
      </c>
      <c r="Y1028" s="21">
        <v>943</v>
      </c>
      <c r="Z1028" s="21">
        <v>0.1</v>
      </c>
      <c r="AA1028" s="21">
        <v>0.5</v>
      </c>
      <c r="AB1028" s="21">
        <v>4701</v>
      </c>
      <c r="AC1028" s="21">
        <v>4701</v>
      </c>
      <c r="AD1028" s="21">
        <v>4678</v>
      </c>
      <c r="AE1028" s="21">
        <v>212</v>
      </c>
      <c r="AF1028" s="21">
        <v>4.5499999999999999E-2</v>
      </c>
      <c r="AG1028" s="21">
        <v>167</v>
      </c>
      <c r="AH1028" s="21">
        <v>3.5900000000000001E-2</v>
      </c>
      <c r="AI1028" s="21">
        <v>0.15459999999999999</v>
      </c>
      <c r="AJ1028" s="21">
        <v>0.67390000000000005</v>
      </c>
      <c r="AK1028" s="21">
        <v>546</v>
      </c>
      <c r="AL1028" s="21">
        <v>0.1167</v>
      </c>
      <c r="AM1028" s="21">
        <v>328</v>
      </c>
      <c r="AN1028" s="21">
        <v>7.0099999999999996E-2</v>
      </c>
      <c r="AO1028" s="21">
        <v>0.41949999999999998</v>
      </c>
      <c r="AP1028" s="21">
        <v>47</v>
      </c>
      <c r="AQ1028" s="21">
        <v>47</v>
      </c>
      <c r="AR1028" s="21">
        <v>16</v>
      </c>
      <c r="AS1028" s="21">
        <v>31</v>
      </c>
      <c r="AT1028" s="21">
        <v>0</v>
      </c>
      <c r="AU1028" s="21">
        <v>1047</v>
      </c>
      <c r="AV1028" s="21">
        <v>449</v>
      </c>
    </row>
    <row r="1029" spans="1:48" x14ac:dyDescent="0.15">
      <c r="A1029" s="20" t="s">
        <v>0</v>
      </c>
      <c r="B1029" s="20" t="s">
        <v>134</v>
      </c>
      <c r="C1029" s="21">
        <v>138496</v>
      </c>
      <c r="D1029" s="21">
        <v>11016</v>
      </c>
      <c r="E1029" s="21">
        <v>-11</v>
      </c>
      <c r="F1029" s="21">
        <v>149502</v>
      </c>
      <c r="G1029" s="21">
        <v>11771</v>
      </c>
      <c r="H1029" s="21">
        <v>66729</v>
      </c>
      <c r="I1029" s="21">
        <v>26034</v>
      </c>
      <c r="J1029" s="21">
        <v>43673</v>
      </c>
      <c r="K1029" s="21">
        <v>244</v>
      </c>
      <c r="L1029" s="21">
        <v>2708</v>
      </c>
      <c r="M1029" s="21">
        <v>0.67759999999999998</v>
      </c>
      <c r="N1029" s="21">
        <v>0.54410000000000003</v>
      </c>
      <c r="O1029" s="21">
        <v>0.49719999999999998</v>
      </c>
      <c r="P1029" s="21">
        <v>16718</v>
      </c>
      <c r="Q1029" s="21">
        <v>0.21229999999999999</v>
      </c>
      <c r="R1029" s="21">
        <v>54</v>
      </c>
      <c r="S1029" s="21">
        <v>9</v>
      </c>
      <c r="T1029" s="21">
        <v>0.1158</v>
      </c>
      <c r="U1029" s="21">
        <v>4.7E-2</v>
      </c>
      <c r="V1029" s="21">
        <v>0.97470000000000001</v>
      </c>
      <c r="W1029" s="21">
        <v>2223</v>
      </c>
      <c r="X1029" s="21">
        <v>2242</v>
      </c>
      <c r="Y1029" s="21">
        <v>4698</v>
      </c>
      <c r="Z1029" s="21">
        <v>0.1</v>
      </c>
      <c r="AA1029" s="21">
        <v>0.5</v>
      </c>
      <c r="AB1029" s="21">
        <v>25966</v>
      </c>
      <c r="AC1029" s="21">
        <v>25059</v>
      </c>
      <c r="AD1029" s="21">
        <v>25653</v>
      </c>
      <c r="AE1029" s="21">
        <v>1869</v>
      </c>
      <c r="AF1029" s="21">
        <v>7.3800000000000004E-2</v>
      </c>
      <c r="AG1029" s="21">
        <v>1243</v>
      </c>
      <c r="AH1029" s="21">
        <v>4.9099999999999998E-2</v>
      </c>
      <c r="AI1029" s="21">
        <v>9.2700000000000005E-2</v>
      </c>
      <c r="AJ1029" s="21">
        <v>0.75</v>
      </c>
      <c r="AK1029" s="21">
        <v>2896</v>
      </c>
      <c r="AL1029" s="21">
        <v>0.115</v>
      </c>
      <c r="AM1029" s="21">
        <v>1348</v>
      </c>
      <c r="AN1029" s="21">
        <v>5.3499999999999999E-2</v>
      </c>
      <c r="AO1029" s="21">
        <v>0.62590000000000001</v>
      </c>
      <c r="AP1029" s="21">
        <v>1590</v>
      </c>
      <c r="AQ1029" s="21">
        <v>1590</v>
      </c>
      <c r="AR1029" s="21">
        <v>1129</v>
      </c>
      <c r="AS1029" s="21">
        <v>324</v>
      </c>
      <c r="AT1029" s="21">
        <v>137</v>
      </c>
      <c r="AU1029" s="21">
        <v>66169</v>
      </c>
      <c r="AV1029" s="21">
        <v>6346</v>
      </c>
    </row>
    <row r="1030" spans="1:48" x14ac:dyDescent="0.15">
      <c r="A1030" s="20" t="s">
        <v>54</v>
      </c>
      <c r="B1030" s="20" t="s">
        <v>134</v>
      </c>
      <c r="C1030" s="21">
        <v>2685</v>
      </c>
      <c r="D1030" s="21">
        <v>752</v>
      </c>
      <c r="E1030" s="21">
        <v>-1</v>
      </c>
      <c r="F1030" s="21">
        <v>3436</v>
      </c>
      <c r="G1030" s="21">
        <v>103</v>
      </c>
      <c r="H1030" s="21">
        <v>1216</v>
      </c>
      <c r="I1030" s="21">
        <v>1009</v>
      </c>
      <c r="J1030" s="21">
        <v>1245</v>
      </c>
      <c r="K1030" s="21">
        <v>-1</v>
      </c>
      <c r="L1030" s="21">
        <v>219</v>
      </c>
      <c r="M1030" s="21">
        <v>0.64349999999999996</v>
      </c>
      <c r="N1030" s="21">
        <v>0.33479999999999999</v>
      </c>
      <c r="O1030" s="21">
        <v>0.54349999999999998</v>
      </c>
      <c r="P1030" s="21">
        <v>443</v>
      </c>
      <c r="Q1030" s="21">
        <v>0.55530000000000002</v>
      </c>
      <c r="R1030" s="21">
        <v>15</v>
      </c>
      <c r="S1030" s="21">
        <v>8</v>
      </c>
      <c r="T1030" s="21">
        <v>0.14269999999999999</v>
      </c>
      <c r="U1030" s="21">
        <v>1.7500000000000002E-2</v>
      </c>
      <c r="V1030" s="21">
        <v>0.97350000000000003</v>
      </c>
      <c r="W1030" s="21">
        <v>109</v>
      </c>
      <c r="X1030" s="21">
        <v>115</v>
      </c>
      <c r="Y1030" s="21">
        <v>206</v>
      </c>
      <c r="Z1030" s="21">
        <v>0.1</v>
      </c>
      <c r="AA1030" s="21">
        <v>0.6</v>
      </c>
      <c r="AB1030" s="21">
        <v>934</v>
      </c>
      <c r="AC1030" s="21">
        <v>777</v>
      </c>
      <c r="AD1030" s="21">
        <v>882</v>
      </c>
      <c r="AE1030" s="21">
        <v>183</v>
      </c>
      <c r="AF1030" s="21">
        <v>0.2205</v>
      </c>
      <c r="AG1030" s="21">
        <v>79</v>
      </c>
      <c r="AH1030" s="21">
        <v>9.5200000000000007E-2</v>
      </c>
      <c r="AI1030" s="21">
        <v>0.17949999999999999</v>
      </c>
      <c r="AJ1030" s="21">
        <v>0.75</v>
      </c>
      <c r="AK1030" s="21">
        <v>139</v>
      </c>
      <c r="AL1030" s="21">
        <v>0.17299999999999999</v>
      </c>
      <c r="AM1030" s="21">
        <v>72</v>
      </c>
      <c r="AN1030" s="21">
        <v>8.9599999999999999E-2</v>
      </c>
      <c r="AO1030" s="21">
        <v>0.76419999999999999</v>
      </c>
      <c r="AP1030" s="21">
        <v>145</v>
      </c>
      <c r="AQ1030" s="21">
        <v>145</v>
      </c>
      <c r="AR1030" s="21">
        <v>128</v>
      </c>
      <c r="AS1030" s="21">
        <v>16</v>
      </c>
      <c r="AT1030" s="21">
        <v>0</v>
      </c>
      <c r="AU1030" s="21">
        <v>5715</v>
      </c>
      <c r="AV1030" s="21">
        <v>110</v>
      </c>
    </row>
    <row r="1031" spans="1:48" x14ac:dyDescent="0.15">
      <c r="A1031" s="20" t="s">
        <v>55</v>
      </c>
      <c r="B1031" s="20" t="s">
        <v>134</v>
      </c>
      <c r="C1031" s="21">
        <v>1321</v>
      </c>
      <c r="D1031" s="21">
        <v>198</v>
      </c>
      <c r="E1031" s="21">
        <v>0</v>
      </c>
      <c r="F1031" s="21">
        <v>1518</v>
      </c>
      <c r="G1031" s="21">
        <v>160</v>
      </c>
      <c r="H1031" s="21">
        <v>348</v>
      </c>
      <c r="I1031" s="21">
        <v>362</v>
      </c>
      <c r="J1031" s="21">
        <v>539</v>
      </c>
      <c r="K1031" s="21">
        <v>8</v>
      </c>
      <c r="L1031" s="21">
        <v>97</v>
      </c>
      <c r="M1031" s="21">
        <v>0.60580000000000001</v>
      </c>
      <c r="N1031" s="21">
        <v>0.28849999999999998</v>
      </c>
      <c r="O1031" s="21">
        <v>0.51919999999999999</v>
      </c>
      <c r="P1031" s="21">
        <v>1316</v>
      </c>
      <c r="Q1031" s="21">
        <v>6.8400000000000002E-2</v>
      </c>
      <c r="R1031" s="21">
        <v>16</v>
      </c>
      <c r="S1031" s="21">
        <v>1</v>
      </c>
      <c r="T1031" s="21">
        <v>0.1177</v>
      </c>
      <c r="U1031" s="21">
        <v>7.0000000000000001E-3</v>
      </c>
      <c r="V1031" s="21">
        <v>0.9708</v>
      </c>
      <c r="W1031" s="21">
        <v>67</v>
      </c>
      <c r="X1031" s="21">
        <v>68</v>
      </c>
      <c r="Y1031" s="21">
        <v>191</v>
      </c>
      <c r="Z1031" s="21">
        <v>0.1</v>
      </c>
      <c r="AA1031" s="21">
        <v>0.4</v>
      </c>
      <c r="AB1031" s="21">
        <v>529</v>
      </c>
      <c r="AC1031" s="21">
        <v>529</v>
      </c>
      <c r="AD1031" s="21">
        <v>547</v>
      </c>
      <c r="AE1031" s="21">
        <v>17</v>
      </c>
      <c r="AF1031" s="21">
        <v>3.0099999999999998E-2</v>
      </c>
      <c r="AG1031" s="21">
        <v>53</v>
      </c>
      <c r="AH1031" s="21">
        <v>9.3799999999999994E-2</v>
      </c>
      <c r="AI1031" s="21">
        <v>0.1429</v>
      </c>
      <c r="AJ1031" s="21">
        <v>0.36359999999999998</v>
      </c>
      <c r="AK1031" s="21">
        <v>71</v>
      </c>
      <c r="AL1031" s="21">
        <v>0.1298</v>
      </c>
      <c r="AM1031" s="21">
        <v>20</v>
      </c>
      <c r="AN1031" s="21">
        <v>3.6600000000000001E-2</v>
      </c>
      <c r="AO1031" s="21">
        <v>0.75800000000000001</v>
      </c>
      <c r="AP1031" s="21">
        <v>67</v>
      </c>
      <c r="AQ1031" s="21">
        <v>67</v>
      </c>
      <c r="AR1031" s="21">
        <v>30</v>
      </c>
      <c r="AS1031" s="21">
        <v>1</v>
      </c>
      <c r="AT1031" s="21">
        <v>37</v>
      </c>
      <c r="AU1031" s="21">
        <v>514</v>
      </c>
      <c r="AV1031" s="21">
        <v>61</v>
      </c>
    </row>
    <row r="1032" spans="1:48" x14ac:dyDescent="0.15">
      <c r="A1032" s="20" t="s">
        <v>56</v>
      </c>
      <c r="B1032" s="20" t="s">
        <v>134</v>
      </c>
      <c r="C1032" s="21">
        <v>112</v>
      </c>
      <c r="D1032" s="21">
        <v>155</v>
      </c>
      <c r="E1032" s="21">
        <v>0</v>
      </c>
      <c r="F1032" s="21">
        <v>266</v>
      </c>
      <c r="G1032" s="21">
        <v>0</v>
      </c>
      <c r="H1032" s="21">
        <v>161</v>
      </c>
      <c r="I1032" s="21">
        <v>0</v>
      </c>
      <c r="J1032" s="21">
        <v>55</v>
      </c>
      <c r="K1032" s="21">
        <v>17</v>
      </c>
      <c r="L1032" s="21">
        <v>84</v>
      </c>
      <c r="M1032" s="21">
        <v>0.60780000000000001</v>
      </c>
      <c r="N1032" s="21">
        <v>3.9199999999999999E-2</v>
      </c>
      <c r="O1032" s="21">
        <v>0.59799999999999998</v>
      </c>
      <c r="P1032" s="21">
        <v>2048</v>
      </c>
      <c r="Q1032" s="21">
        <v>3.5200000000000002E-2</v>
      </c>
      <c r="R1032" s="21">
        <v>3</v>
      </c>
      <c r="S1032" s="21">
        <v>0</v>
      </c>
      <c r="T1032" s="21">
        <v>0.15920000000000001</v>
      </c>
      <c r="U1032" s="21">
        <v>4.2599999999999999E-2</v>
      </c>
      <c r="V1032" s="21">
        <v>0.99150000000000005</v>
      </c>
      <c r="W1032" s="21">
        <v>-4</v>
      </c>
      <c r="X1032" s="21">
        <v>3</v>
      </c>
      <c r="Y1032" s="21">
        <v>53</v>
      </c>
      <c r="Z1032" s="21">
        <v>0</v>
      </c>
      <c r="AA1032" s="21">
        <v>0.1</v>
      </c>
      <c r="AB1032" s="21">
        <v>156</v>
      </c>
      <c r="AC1032" s="21">
        <v>131</v>
      </c>
      <c r="AD1032" s="21">
        <v>138</v>
      </c>
      <c r="AE1032" s="21">
        <v>43</v>
      </c>
      <c r="AF1032" s="21">
        <v>0.35539999999999999</v>
      </c>
      <c r="AG1032" s="21">
        <v>8</v>
      </c>
      <c r="AH1032" s="21">
        <v>6.6100000000000006E-2</v>
      </c>
      <c r="AI1032" s="21">
        <v>0</v>
      </c>
      <c r="AJ1032" s="21">
        <v>1</v>
      </c>
      <c r="AK1032" s="21">
        <v>26</v>
      </c>
      <c r="AL1032" s="21">
        <v>0.20630000000000001</v>
      </c>
      <c r="AM1032" s="21">
        <v>12</v>
      </c>
      <c r="AN1032" s="21">
        <v>9.5200000000000007E-2</v>
      </c>
      <c r="AO1032" s="21">
        <v>0.85140000000000005</v>
      </c>
      <c r="AP1032" s="21">
        <v>444</v>
      </c>
      <c r="AQ1032" s="21">
        <v>443</v>
      </c>
      <c r="AR1032" s="21">
        <v>287</v>
      </c>
      <c r="AS1032" s="21">
        <v>104</v>
      </c>
      <c r="AT1032" s="21">
        <v>52</v>
      </c>
      <c r="AU1032" s="21">
        <v>2244</v>
      </c>
      <c r="AV1032" s="21">
        <v>157</v>
      </c>
    </row>
    <row r="1033" spans="1:48" x14ac:dyDescent="0.15">
      <c r="A1033" s="20" t="s">
        <v>57</v>
      </c>
      <c r="B1033" s="20" t="s">
        <v>134</v>
      </c>
      <c r="C1033" s="21">
        <v>7109</v>
      </c>
      <c r="D1033" s="21">
        <v>654</v>
      </c>
      <c r="E1033" s="21">
        <v>0</v>
      </c>
      <c r="F1033" s="21">
        <v>7763</v>
      </c>
      <c r="G1033" s="21">
        <v>1353</v>
      </c>
      <c r="H1033" s="21">
        <v>0</v>
      </c>
      <c r="I1033" s="21">
        <v>1597</v>
      </c>
      <c r="J1033" s="21">
        <v>5307</v>
      </c>
      <c r="K1033" s="21">
        <v>61</v>
      </c>
      <c r="L1033" s="21">
        <v>204</v>
      </c>
      <c r="M1033" s="21">
        <v>0.45100000000000001</v>
      </c>
      <c r="N1033" s="21">
        <v>0.3725</v>
      </c>
      <c r="O1033" s="21">
        <v>0.22550000000000001</v>
      </c>
      <c r="P1033" s="21">
        <v>689</v>
      </c>
      <c r="Q1033" s="21">
        <v>0.18429999999999999</v>
      </c>
      <c r="R1033" s="21">
        <v>38</v>
      </c>
      <c r="S1033" s="21">
        <v>11</v>
      </c>
      <c r="T1033" s="21">
        <v>0.1166</v>
      </c>
      <c r="U1033" s="21">
        <v>3.4200000000000001E-2</v>
      </c>
      <c r="V1033" s="21">
        <v>0.97570000000000001</v>
      </c>
      <c r="W1033" s="21">
        <v>72</v>
      </c>
      <c r="X1033" s="21">
        <v>73</v>
      </c>
      <c r="Y1033" s="21">
        <v>97</v>
      </c>
      <c r="Z1033" s="21">
        <v>0.1</v>
      </c>
      <c r="AA1033" s="21">
        <v>0.8</v>
      </c>
      <c r="AB1033" s="21">
        <v>1104</v>
      </c>
      <c r="AC1033" s="21">
        <v>1052</v>
      </c>
      <c r="AD1033" s="21">
        <v>1073</v>
      </c>
      <c r="AE1033" s="21">
        <v>76</v>
      </c>
      <c r="AF1033" s="21">
        <v>7.2900000000000006E-2</v>
      </c>
      <c r="AG1033" s="21">
        <v>14</v>
      </c>
      <c r="AH1033" s="21">
        <v>1.34E-2</v>
      </c>
      <c r="AI1033" s="21">
        <v>0.10639999999999999</v>
      </c>
      <c r="AJ1033" s="21">
        <v>1</v>
      </c>
      <c r="AK1033" s="21">
        <v>68</v>
      </c>
      <c r="AL1033" s="21">
        <v>6.4899999999999999E-2</v>
      </c>
      <c r="AM1033" s="21">
        <v>31</v>
      </c>
      <c r="AN1033" s="21">
        <v>2.9600000000000001E-2</v>
      </c>
      <c r="AO1033" s="21">
        <v>0.62590000000000001</v>
      </c>
      <c r="AP1033" s="21">
        <v>43</v>
      </c>
      <c r="AQ1033" s="21">
        <v>43</v>
      </c>
      <c r="AR1033" s="21">
        <v>10</v>
      </c>
      <c r="AS1033" s="21">
        <v>33</v>
      </c>
      <c r="AT1033" s="21">
        <v>0</v>
      </c>
      <c r="AU1033" s="21">
        <v>13150</v>
      </c>
      <c r="AV1033" s="21">
        <v>647</v>
      </c>
    </row>
    <row r="1034" spans="1:48" x14ac:dyDescent="0.15">
      <c r="A1034" s="20" t="s">
        <v>58</v>
      </c>
      <c r="B1034" s="20" t="s">
        <v>134</v>
      </c>
      <c r="C1034" s="21">
        <v>21523</v>
      </c>
      <c r="D1034" s="21">
        <v>3024</v>
      </c>
      <c r="E1034" s="21">
        <v>-10</v>
      </c>
      <c r="F1034" s="21">
        <v>24537</v>
      </c>
      <c r="G1034" s="21">
        <v>2964</v>
      </c>
      <c r="H1034" s="21">
        <v>16521</v>
      </c>
      <c r="J1034" s="21">
        <v>4981</v>
      </c>
      <c r="K1034" s="21">
        <v>13</v>
      </c>
      <c r="L1034" s="21">
        <v>402</v>
      </c>
      <c r="M1034" s="21">
        <v>0.82020000000000004</v>
      </c>
      <c r="N1034" s="21">
        <v>0.7389</v>
      </c>
      <c r="O1034" s="21">
        <v>0.77090000000000003</v>
      </c>
      <c r="P1034" s="21">
        <v>2518</v>
      </c>
      <c r="Q1034" s="21">
        <v>0.25219999999999998</v>
      </c>
      <c r="R1034" s="21">
        <v>61</v>
      </c>
      <c r="S1034" s="21">
        <v>10</v>
      </c>
      <c r="T1034" s="21">
        <v>0.17319999999999999</v>
      </c>
      <c r="U1034" s="21">
        <v>7.5499999999999998E-2</v>
      </c>
      <c r="V1034" s="21">
        <v>0.98050000000000004</v>
      </c>
      <c r="W1034" s="21">
        <v>396</v>
      </c>
      <c r="X1034" s="21">
        <v>407</v>
      </c>
      <c r="Y1034" s="21">
        <v>897</v>
      </c>
      <c r="Z1034" s="21">
        <v>0.1</v>
      </c>
      <c r="AA1034" s="21">
        <v>0.5</v>
      </c>
      <c r="AB1034" s="21">
        <v>3760</v>
      </c>
      <c r="AC1034" s="21">
        <v>3454</v>
      </c>
      <c r="AD1034" s="21">
        <v>3612</v>
      </c>
      <c r="AE1034" s="21">
        <v>458</v>
      </c>
      <c r="AF1034" s="21">
        <v>0.13220000000000001</v>
      </c>
      <c r="AG1034" s="21">
        <v>163</v>
      </c>
      <c r="AH1034" s="21">
        <v>4.7E-2</v>
      </c>
      <c r="AI1034" s="21">
        <v>0.1164</v>
      </c>
      <c r="AJ1034" s="21">
        <v>0.8125</v>
      </c>
      <c r="AK1034" s="21">
        <v>502</v>
      </c>
      <c r="AL1034" s="21">
        <v>0.14510000000000001</v>
      </c>
      <c r="AM1034" s="21">
        <v>206</v>
      </c>
      <c r="AN1034" s="21">
        <v>5.9499999999999997E-2</v>
      </c>
      <c r="AO1034" s="21">
        <v>0.78180000000000005</v>
      </c>
      <c r="AP1034" s="21">
        <v>78</v>
      </c>
      <c r="AQ1034" s="21">
        <v>78</v>
      </c>
      <c r="AR1034" s="21">
        <v>72</v>
      </c>
      <c r="AS1034" s="21">
        <v>6</v>
      </c>
      <c r="AT1034" s="21">
        <v>0</v>
      </c>
      <c r="AU1034" s="21">
        <v>4481</v>
      </c>
      <c r="AV1034" s="21">
        <v>812</v>
      </c>
    </row>
    <row r="1035" spans="1:48" x14ac:dyDescent="0.15">
      <c r="A1035" s="20" t="s">
        <v>59</v>
      </c>
      <c r="B1035" s="20" t="s">
        <v>134</v>
      </c>
      <c r="C1035" s="21">
        <v>1207</v>
      </c>
      <c r="D1035" s="21">
        <v>222</v>
      </c>
      <c r="E1035" s="21">
        <v>0</v>
      </c>
      <c r="F1035" s="21">
        <v>1429</v>
      </c>
      <c r="G1035" s="21">
        <v>108</v>
      </c>
      <c r="H1035" s="21">
        <v>0</v>
      </c>
      <c r="I1035" s="21">
        <v>91</v>
      </c>
      <c r="J1035" s="21">
        <v>1185</v>
      </c>
      <c r="K1035" s="21">
        <v>-2</v>
      </c>
      <c r="L1035" s="21">
        <v>75</v>
      </c>
      <c r="M1035" s="21">
        <v>0.54320000000000002</v>
      </c>
      <c r="N1035" s="21">
        <v>0.32100000000000001</v>
      </c>
      <c r="O1035" s="21">
        <v>0.44440000000000002</v>
      </c>
      <c r="P1035" s="21">
        <v>1151</v>
      </c>
      <c r="Q1035" s="21">
        <v>6.08E-2</v>
      </c>
      <c r="R1035" s="21">
        <v>19</v>
      </c>
      <c r="S1035" s="21">
        <v>1</v>
      </c>
      <c r="T1035" s="21">
        <v>0.1376</v>
      </c>
      <c r="U1035" s="21">
        <v>5.0500000000000003E-2</v>
      </c>
      <c r="V1035" s="21">
        <v>0.98150000000000004</v>
      </c>
      <c r="W1035" s="21">
        <v>7</v>
      </c>
      <c r="X1035" s="21">
        <v>7</v>
      </c>
      <c r="Y1035" s="21">
        <v>16</v>
      </c>
      <c r="Z1035" s="21">
        <v>0.1</v>
      </c>
      <c r="AA1035" s="21">
        <v>0.4</v>
      </c>
      <c r="AB1035" s="21">
        <v>134</v>
      </c>
      <c r="AC1035" s="21">
        <v>134</v>
      </c>
      <c r="AD1035" s="21">
        <v>134</v>
      </c>
      <c r="AE1035" s="21">
        <v>9</v>
      </c>
      <c r="AF1035" s="21">
        <v>6.7199999999999996E-2</v>
      </c>
      <c r="AG1035" s="21">
        <v>9</v>
      </c>
      <c r="AH1035" s="21">
        <v>6.7199999999999996E-2</v>
      </c>
      <c r="AI1035" s="21">
        <v>0.1429</v>
      </c>
      <c r="AJ1035" s="21">
        <v>0</v>
      </c>
      <c r="AK1035" s="21">
        <v>14</v>
      </c>
      <c r="AL1035" s="21">
        <v>0.1045</v>
      </c>
      <c r="AM1035" s="21">
        <v>1</v>
      </c>
      <c r="AN1035" s="21">
        <v>7.4999999999999997E-3</v>
      </c>
      <c r="AO1035" s="21">
        <v>1</v>
      </c>
      <c r="AP1035" s="21">
        <v>219</v>
      </c>
      <c r="AQ1035" s="21">
        <v>219</v>
      </c>
      <c r="AR1035" s="21">
        <v>219</v>
      </c>
      <c r="AS1035" s="21">
        <v>0</v>
      </c>
      <c r="AT1035" s="21">
        <v>0</v>
      </c>
      <c r="AU1035" s="21">
        <v>1930</v>
      </c>
      <c r="AV1035" s="21">
        <v>22</v>
      </c>
    </row>
    <row r="1036" spans="1:48" x14ac:dyDescent="0.15">
      <c r="A1036" s="20" t="s">
        <v>60</v>
      </c>
      <c r="B1036" s="20" t="s">
        <v>134</v>
      </c>
      <c r="C1036" s="21">
        <v>2763</v>
      </c>
      <c r="D1036" s="21">
        <v>145</v>
      </c>
      <c r="E1036" s="21">
        <v>0</v>
      </c>
      <c r="F1036" s="21">
        <v>2907</v>
      </c>
      <c r="G1036" s="21">
        <v>20</v>
      </c>
      <c r="H1036" s="21">
        <v>1306</v>
      </c>
      <c r="I1036" s="21">
        <v>1196</v>
      </c>
      <c r="J1036" s="21">
        <v>104</v>
      </c>
      <c r="K1036" s="21">
        <v>1</v>
      </c>
      <c r="L1036" s="21">
        <v>96</v>
      </c>
      <c r="M1036" s="21">
        <v>0.51749999999999996</v>
      </c>
      <c r="N1036" s="21">
        <v>0.47370000000000001</v>
      </c>
      <c r="O1036" s="21">
        <v>0.25440000000000002</v>
      </c>
      <c r="P1036" s="21">
        <v>461</v>
      </c>
      <c r="Q1036" s="21">
        <v>0.2213</v>
      </c>
      <c r="R1036" s="21">
        <v>28</v>
      </c>
      <c r="S1036" s="21">
        <v>6</v>
      </c>
      <c r="T1036" s="21">
        <v>0.1318</v>
      </c>
      <c r="U1036" s="21">
        <v>3.4299999999999997E-2</v>
      </c>
      <c r="V1036" s="21">
        <v>0.97230000000000005</v>
      </c>
      <c r="W1036" s="21">
        <v>70</v>
      </c>
      <c r="X1036" s="21">
        <v>75</v>
      </c>
      <c r="Y1036" s="21">
        <v>166</v>
      </c>
      <c r="Z1036" s="21">
        <v>0.1</v>
      </c>
      <c r="AA1036" s="21">
        <v>0.4</v>
      </c>
      <c r="AB1036" s="21">
        <v>1266</v>
      </c>
      <c r="AC1036" s="21">
        <v>1266</v>
      </c>
      <c r="AD1036" s="21">
        <v>1278</v>
      </c>
      <c r="AE1036" s="21">
        <v>46</v>
      </c>
      <c r="AF1036" s="21">
        <v>3.5700000000000003E-2</v>
      </c>
      <c r="AG1036" s="21">
        <v>69</v>
      </c>
      <c r="AH1036" s="21">
        <v>5.3499999999999999E-2</v>
      </c>
      <c r="AI1036" s="21">
        <v>6.7400000000000002E-2</v>
      </c>
      <c r="AJ1036" s="21">
        <v>0.6</v>
      </c>
      <c r="AK1036" s="21">
        <v>99</v>
      </c>
      <c r="AL1036" s="21">
        <v>7.7499999999999999E-2</v>
      </c>
      <c r="AM1036" s="21">
        <v>36</v>
      </c>
      <c r="AN1036" s="21">
        <v>2.8199999999999999E-2</v>
      </c>
      <c r="AO1036" s="21">
        <v>0.752</v>
      </c>
      <c r="AP1036" s="21">
        <v>28</v>
      </c>
      <c r="AQ1036" s="21">
        <v>28</v>
      </c>
      <c r="AR1036" s="21">
        <v>17</v>
      </c>
      <c r="AS1036" s="21">
        <v>10</v>
      </c>
      <c r="AT1036" s="21">
        <v>1</v>
      </c>
      <c r="AU1036" s="21">
        <v>4538</v>
      </c>
      <c r="AV1036" s="21">
        <v>790</v>
      </c>
    </row>
    <row r="1037" spans="1:48" x14ac:dyDescent="0.15">
      <c r="A1037" s="20" t="s">
        <v>61</v>
      </c>
      <c r="B1037" s="20" t="s">
        <v>134</v>
      </c>
      <c r="C1037" s="21">
        <v>6577</v>
      </c>
      <c r="D1037" s="21">
        <v>237</v>
      </c>
      <c r="E1037" s="21">
        <v>0</v>
      </c>
      <c r="F1037" s="21">
        <v>6814</v>
      </c>
      <c r="G1037" s="21">
        <v>1214</v>
      </c>
      <c r="H1037" s="21">
        <v>657</v>
      </c>
      <c r="I1037" s="21">
        <v>2212</v>
      </c>
      <c r="J1037" s="21">
        <v>2719</v>
      </c>
      <c r="K1037" s="21">
        <v>0</v>
      </c>
      <c r="L1037" s="21">
        <v>74</v>
      </c>
      <c r="M1037" s="21">
        <v>0.72970000000000002</v>
      </c>
      <c r="N1037" s="21">
        <v>0.71619999999999995</v>
      </c>
      <c r="O1037" s="21">
        <v>0.35139999999999999</v>
      </c>
      <c r="P1037" s="21">
        <v>230</v>
      </c>
      <c r="Q1037" s="21">
        <v>0.38700000000000001</v>
      </c>
      <c r="R1037" s="21">
        <v>92</v>
      </c>
      <c r="S1037" s="21">
        <v>30</v>
      </c>
      <c r="T1037" s="21">
        <v>0.1401</v>
      </c>
      <c r="U1037" s="21">
        <v>3.8800000000000001E-2</v>
      </c>
      <c r="V1037" s="21">
        <v>0.98619999999999997</v>
      </c>
      <c r="W1037" s="21">
        <v>17</v>
      </c>
      <c r="X1037" s="21">
        <v>20</v>
      </c>
      <c r="Y1037" s="21">
        <v>31</v>
      </c>
      <c r="Z1037" s="21">
        <v>0.1</v>
      </c>
      <c r="AA1037" s="21">
        <v>0.6</v>
      </c>
      <c r="AB1037" s="21">
        <v>161</v>
      </c>
      <c r="AC1037" s="21">
        <v>161</v>
      </c>
      <c r="AD1037" s="21">
        <v>171</v>
      </c>
      <c r="AE1037" s="21">
        <v>10</v>
      </c>
      <c r="AF1037" s="21">
        <v>5.5199999999999999E-2</v>
      </c>
      <c r="AG1037" s="21">
        <v>30</v>
      </c>
      <c r="AH1037" s="21">
        <v>0.16569999999999999</v>
      </c>
      <c r="AI1037" s="21">
        <v>0.5</v>
      </c>
      <c r="AJ1037" s="21">
        <v>0</v>
      </c>
      <c r="AK1037" s="21">
        <v>21</v>
      </c>
      <c r="AL1037" s="21">
        <v>0.12280000000000001</v>
      </c>
      <c r="AM1037" s="21">
        <v>8</v>
      </c>
      <c r="AN1037" s="21">
        <v>4.6800000000000001E-2</v>
      </c>
      <c r="AO1037" s="21">
        <v>0.81369999999999998</v>
      </c>
      <c r="AP1037" s="21">
        <v>17</v>
      </c>
      <c r="AQ1037" s="21">
        <v>17</v>
      </c>
      <c r="AR1037" s="21">
        <v>5</v>
      </c>
      <c r="AS1037" s="21">
        <v>1</v>
      </c>
      <c r="AT1037" s="21">
        <v>10</v>
      </c>
      <c r="AU1037" s="21">
        <v>2356</v>
      </c>
      <c r="AV1037" s="21">
        <v>112</v>
      </c>
    </row>
    <row r="1038" spans="1:48" x14ac:dyDescent="0.15">
      <c r="A1038" s="20" t="s">
        <v>48</v>
      </c>
      <c r="B1038" s="20" t="s">
        <v>135</v>
      </c>
      <c r="C1038" s="21">
        <v>2688</v>
      </c>
      <c r="D1038" s="21">
        <v>780</v>
      </c>
      <c r="E1038" s="21">
        <v>0</v>
      </c>
      <c r="F1038" s="21">
        <v>3468</v>
      </c>
      <c r="G1038" s="21">
        <v>987</v>
      </c>
      <c r="H1038" s="21">
        <v>430</v>
      </c>
      <c r="I1038" s="21">
        <v>539</v>
      </c>
      <c r="J1038" s="21">
        <v>1382</v>
      </c>
      <c r="K1038" s="21">
        <v>798</v>
      </c>
      <c r="L1038" s="21">
        <v>104</v>
      </c>
      <c r="M1038" s="21">
        <v>0.53849999999999998</v>
      </c>
      <c r="N1038" s="21">
        <v>0.27350000000000002</v>
      </c>
      <c r="O1038" s="21">
        <v>0.35039999999999999</v>
      </c>
      <c r="P1038" s="21">
        <v>1003</v>
      </c>
      <c r="Q1038" s="21">
        <v>0.1206</v>
      </c>
      <c r="R1038" s="21">
        <v>32</v>
      </c>
      <c r="S1038" s="21">
        <v>3</v>
      </c>
      <c r="T1038" s="21">
        <v>0.10009999999999999</v>
      </c>
      <c r="U1038" s="21">
        <v>4.4499999999999998E-2</v>
      </c>
      <c r="V1038" s="21">
        <v>0.94920000000000004</v>
      </c>
      <c r="W1038" s="21">
        <v>6</v>
      </c>
      <c r="X1038" s="21">
        <v>7</v>
      </c>
      <c r="Y1038" s="21">
        <v>17</v>
      </c>
      <c r="Z1038" s="21">
        <v>0</v>
      </c>
      <c r="AA1038" s="21">
        <v>0.4</v>
      </c>
      <c r="AB1038" s="21">
        <v>290</v>
      </c>
      <c r="AC1038" s="21">
        <v>290</v>
      </c>
      <c r="AD1038" s="21">
        <v>286</v>
      </c>
      <c r="AE1038" s="21">
        <v>19</v>
      </c>
      <c r="AF1038" s="21">
        <v>6.7599999999999993E-2</v>
      </c>
      <c r="AG1038" s="21">
        <v>10</v>
      </c>
      <c r="AH1038" s="21">
        <v>3.56E-2</v>
      </c>
      <c r="AI1038" s="21">
        <v>0</v>
      </c>
      <c r="AJ1038" s="21">
        <v>1</v>
      </c>
      <c r="AK1038" s="21">
        <v>12</v>
      </c>
      <c r="AL1038" s="21">
        <v>4.2000000000000003E-2</v>
      </c>
      <c r="AM1038" s="21">
        <v>3</v>
      </c>
      <c r="AN1038" s="21">
        <v>1.0500000000000001E-2</v>
      </c>
      <c r="AO1038" s="21">
        <v>0.95220000000000005</v>
      </c>
      <c r="AP1038" s="21">
        <v>42</v>
      </c>
      <c r="AQ1038" s="21">
        <v>42</v>
      </c>
      <c r="AR1038" s="21">
        <v>25</v>
      </c>
      <c r="AS1038" s="21">
        <v>17</v>
      </c>
      <c r="AT1038" s="21">
        <v>0</v>
      </c>
      <c r="AU1038" s="21">
        <v>6189</v>
      </c>
      <c r="AV1038" s="21">
        <v>138</v>
      </c>
    </row>
    <row r="1039" spans="1:48" x14ac:dyDescent="0.15">
      <c r="A1039" s="20" t="s">
        <v>50</v>
      </c>
      <c r="B1039" s="20" t="s">
        <v>135</v>
      </c>
      <c r="C1039" s="21">
        <v>10495</v>
      </c>
      <c r="D1039" s="21">
        <v>950</v>
      </c>
      <c r="E1039" s="21">
        <v>0</v>
      </c>
      <c r="F1039" s="21">
        <v>11445</v>
      </c>
      <c r="G1039" s="21">
        <v>7</v>
      </c>
      <c r="H1039" s="21">
        <v>7560</v>
      </c>
      <c r="I1039" s="21">
        <v>0</v>
      </c>
      <c r="J1039" s="21">
        <v>1513</v>
      </c>
      <c r="K1039" s="21">
        <v>33</v>
      </c>
      <c r="L1039" s="21">
        <v>148</v>
      </c>
      <c r="M1039" s="21">
        <v>0.79490000000000005</v>
      </c>
      <c r="N1039" s="21">
        <v>0.71150000000000002</v>
      </c>
      <c r="O1039" s="21">
        <v>0.60260000000000002</v>
      </c>
      <c r="P1039" s="21">
        <v>662</v>
      </c>
      <c r="Q1039" s="21">
        <v>0.40939999999999999</v>
      </c>
      <c r="R1039" s="21">
        <v>76</v>
      </c>
      <c r="S1039" s="21">
        <v>17</v>
      </c>
      <c r="T1039" s="21">
        <v>6.7599999999999993E-2</v>
      </c>
      <c r="U1039" s="21">
        <v>3.0800000000000001E-2</v>
      </c>
      <c r="V1039" s="21">
        <v>0.97640000000000005</v>
      </c>
      <c r="W1039" s="21">
        <v>24</v>
      </c>
      <c r="X1039" s="21">
        <v>28</v>
      </c>
      <c r="Y1039" s="21">
        <v>68</v>
      </c>
      <c r="Z1039" s="21">
        <v>0.2</v>
      </c>
      <c r="AA1039" s="21">
        <v>0.4</v>
      </c>
      <c r="AB1039" s="21">
        <v>151</v>
      </c>
      <c r="AC1039" s="21">
        <v>151</v>
      </c>
      <c r="AD1039" s="21">
        <v>144</v>
      </c>
      <c r="AE1039" s="21">
        <v>19</v>
      </c>
      <c r="AF1039" s="21">
        <v>0.13769999999999999</v>
      </c>
      <c r="AG1039" s="21">
        <v>6</v>
      </c>
      <c r="AH1039" s="21">
        <v>4.3499999999999997E-2</v>
      </c>
      <c r="AI1039" s="21">
        <v>0.18179999999999999</v>
      </c>
      <c r="AJ1039" s="21">
        <v>0.4</v>
      </c>
      <c r="AK1039" s="21">
        <v>38</v>
      </c>
      <c r="AL1039" s="21">
        <v>0.26300000000000001</v>
      </c>
      <c r="AM1039" s="21">
        <v>11</v>
      </c>
      <c r="AN1039" s="21">
        <v>7.6100000000000001E-2</v>
      </c>
      <c r="AO1039" s="21">
        <v>0.2228</v>
      </c>
      <c r="AP1039" s="21">
        <v>269</v>
      </c>
      <c r="AQ1039" s="21">
        <v>269</v>
      </c>
      <c r="AR1039" s="21">
        <v>263</v>
      </c>
      <c r="AS1039" s="21">
        <v>1</v>
      </c>
      <c r="AT1039" s="21">
        <v>5</v>
      </c>
      <c r="AU1039" s="21">
        <v>5068</v>
      </c>
      <c r="AV1039" s="21">
        <v>180</v>
      </c>
    </row>
    <row r="1040" spans="1:48" x14ac:dyDescent="0.15">
      <c r="A1040" s="20" t="s">
        <v>51</v>
      </c>
      <c r="B1040" s="20" t="s">
        <v>135</v>
      </c>
      <c r="C1040" s="21">
        <v>56066</v>
      </c>
      <c r="D1040" s="21">
        <v>5366</v>
      </c>
      <c r="E1040" s="21">
        <v>0</v>
      </c>
      <c r="F1040" s="21">
        <v>61432</v>
      </c>
      <c r="G1040" s="21">
        <v>1183</v>
      </c>
      <c r="H1040" s="21">
        <v>18446</v>
      </c>
      <c r="I1040" s="21">
        <v>10828</v>
      </c>
      <c r="J1040" s="21">
        <v>11012</v>
      </c>
      <c r="K1040" s="21">
        <v>19395</v>
      </c>
      <c r="L1040" s="21">
        <v>817</v>
      </c>
      <c r="M1040" s="21">
        <v>0.78110000000000002</v>
      </c>
      <c r="N1040" s="21">
        <v>0.70979999999999999</v>
      </c>
      <c r="O1040" s="21">
        <v>0.60340000000000005</v>
      </c>
      <c r="P1040" s="21">
        <v>3066</v>
      </c>
      <c r="Q1040" s="21">
        <v>0.55969999999999998</v>
      </c>
      <c r="R1040" s="21">
        <v>75</v>
      </c>
      <c r="S1040" s="21">
        <v>20</v>
      </c>
      <c r="T1040" s="21">
        <v>0.1047</v>
      </c>
      <c r="U1040" s="21">
        <v>8.2500000000000004E-2</v>
      </c>
      <c r="V1040" s="21">
        <v>0.96060000000000001</v>
      </c>
      <c r="W1040" s="21">
        <v>877</v>
      </c>
      <c r="X1040" s="21">
        <v>944</v>
      </c>
      <c r="Y1040" s="21">
        <v>2312</v>
      </c>
      <c r="Z1040" s="21">
        <v>0.1</v>
      </c>
      <c r="AA1040" s="21">
        <v>0.4</v>
      </c>
      <c r="AB1040" s="21">
        <v>9928</v>
      </c>
      <c r="AC1040" s="21">
        <v>9283</v>
      </c>
      <c r="AD1040" s="21">
        <v>11147</v>
      </c>
      <c r="AE1040" s="21">
        <v>1254</v>
      </c>
      <c r="AF1040" s="21">
        <v>0.1014</v>
      </c>
      <c r="AG1040" s="21">
        <v>3692</v>
      </c>
      <c r="AH1040" s="21">
        <v>0.29859999999999998</v>
      </c>
      <c r="AI1040" s="21">
        <v>6.5299999999999997E-2</v>
      </c>
      <c r="AJ1040" s="21">
        <v>0.59370000000000001</v>
      </c>
      <c r="AK1040" s="21">
        <v>1468</v>
      </c>
      <c r="AL1040" s="21">
        <v>0.13569999999999999</v>
      </c>
      <c r="AM1040" s="21">
        <v>464</v>
      </c>
      <c r="AN1040" s="21">
        <v>4.2900000000000001E-2</v>
      </c>
      <c r="AO1040" s="21">
        <v>0.40770000000000001</v>
      </c>
      <c r="AP1040" s="21">
        <v>122</v>
      </c>
      <c r="AQ1040" s="21">
        <v>122</v>
      </c>
      <c r="AR1040" s="21">
        <v>89</v>
      </c>
      <c r="AS1040" s="21">
        <v>14</v>
      </c>
      <c r="AT1040" s="21">
        <v>18</v>
      </c>
      <c r="AU1040" s="21">
        <v>16457</v>
      </c>
      <c r="AV1040" s="21">
        <v>1772</v>
      </c>
    </row>
    <row r="1041" spans="1:48" x14ac:dyDescent="0.15">
      <c r="A1041" s="20" t="s">
        <v>52</v>
      </c>
      <c r="B1041" s="20" t="s">
        <v>135</v>
      </c>
      <c r="C1041" s="21">
        <v>19468</v>
      </c>
      <c r="D1041" s="21">
        <v>1452</v>
      </c>
      <c r="E1041" s="21">
        <v>0</v>
      </c>
      <c r="F1041" s="21">
        <v>20920</v>
      </c>
      <c r="G1041" s="21">
        <v>722</v>
      </c>
      <c r="H1041" s="21">
        <v>7493</v>
      </c>
      <c r="I1041" s="21">
        <v>7654</v>
      </c>
      <c r="J1041" s="21">
        <v>4797</v>
      </c>
      <c r="K1041" s="21">
        <v>574</v>
      </c>
      <c r="L1041" s="21">
        <v>212</v>
      </c>
      <c r="M1041" s="21">
        <v>0.71609999999999996</v>
      </c>
      <c r="N1041" s="21">
        <v>0.65680000000000005</v>
      </c>
      <c r="O1041" s="21">
        <v>0.41099999999999998</v>
      </c>
      <c r="P1041" s="21">
        <v>1176</v>
      </c>
      <c r="Q1041" s="21">
        <v>0.3478</v>
      </c>
      <c r="R1041" s="21">
        <v>95</v>
      </c>
      <c r="S1041" s="21">
        <v>18</v>
      </c>
      <c r="T1041" s="21">
        <v>0.12139999999999999</v>
      </c>
      <c r="U1041" s="21">
        <v>4.1500000000000002E-2</v>
      </c>
      <c r="V1041" s="21">
        <v>0.97</v>
      </c>
      <c r="W1041" s="21">
        <v>256</v>
      </c>
      <c r="X1041" s="21">
        <v>120</v>
      </c>
      <c r="Y1041" s="21">
        <v>115</v>
      </c>
      <c r="Z1041" s="21">
        <v>0.3</v>
      </c>
      <c r="AA1041" s="21">
        <v>1</v>
      </c>
      <c r="AB1041" s="21">
        <v>470</v>
      </c>
      <c r="AC1041" s="21">
        <v>380</v>
      </c>
      <c r="AD1041" s="21">
        <v>453</v>
      </c>
      <c r="AE1041" s="21">
        <v>100</v>
      </c>
      <c r="AF1041" s="21">
        <v>0.22939999999999999</v>
      </c>
      <c r="AG1041" s="21">
        <v>66</v>
      </c>
      <c r="AH1041" s="21">
        <v>0.15140000000000001</v>
      </c>
      <c r="AI1041" s="21">
        <v>8.3299999999999999E-2</v>
      </c>
      <c r="AJ1041" s="21">
        <v>1</v>
      </c>
      <c r="AK1041" s="21">
        <v>69</v>
      </c>
      <c r="AL1041" s="21">
        <v>0.1691</v>
      </c>
      <c r="AM1041" s="21">
        <v>43</v>
      </c>
      <c r="AN1041" s="21">
        <v>0.10539999999999999</v>
      </c>
      <c r="AO1041" s="21">
        <v>0.78200000000000003</v>
      </c>
      <c r="AP1041" s="21">
        <v>67</v>
      </c>
      <c r="AQ1041" s="21">
        <v>67</v>
      </c>
      <c r="AR1041" s="21">
        <v>64</v>
      </c>
      <c r="AS1041" s="21">
        <v>3</v>
      </c>
      <c r="AT1041" s="21">
        <v>0</v>
      </c>
      <c r="AU1041" s="21">
        <v>6571</v>
      </c>
      <c r="AV1041" s="21">
        <v>1059</v>
      </c>
    </row>
    <row r="1042" spans="1:48" x14ac:dyDescent="0.15">
      <c r="A1042" s="20" t="s">
        <v>53</v>
      </c>
      <c r="B1042" s="20" t="s">
        <v>135</v>
      </c>
      <c r="C1042" s="21">
        <v>11218</v>
      </c>
      <c r="D1042" s="21">
        <v>508</v>
      </c>
      <c r="E1042" s="21">
        <v>0</v>
      </c>
      <c r="F1042" s="21">
        <v>11726</v>
      </c>
      <c r="H1042" s="21">
        <v>126</v>
      </c>
      <c r="I1042" s="21">
        <v>2666</v>
      </c>
      <c r="J1042" s="21">
        <v>8640</v>
      </c>
      <c r="K1042" s="21">
        <v>0</v>
      </c>
      <c r="L1042" s="21">
        <v>108</v>
      </c>
      <c r="M1042" s="21">
        <v>0.87290000000000001</v>
      </c>
      <c r="N1042" s="21">
        <v>0.85589999999999999</v>
      </c>
      <c r="O1042" s="21">
        <v>0.43219999999999997</v>
      </c>
      <c r="P1042" s="21">
        <v>2001</v>
      </c>
      <c r="Q1042" s="21">
        <v>7.6999999999999999E-2</v>
      </c>
      <c r="R1042" s="21">
        <v>107</v>
      </c>
      <c r="S1042" s="21">
        <v>6</v>
      </c>
      <c r="T1042" s="21">
        <v>0.17369999999999999</v>
      </c>
      <c r="U1042" s="21">
        <v>3.6200000000000003E-2</v>
      </c>
      <c r="V1042" s="21">
        <v>0.97599999999999998</v>
      </c>
      <c r="W1042" s="21">
        <v>323</v>
      </c>
      <c r="X1042" s="21">
        <v>334</v>
      </c>
      <c r="Y1042" s="21">
        <v>717</v>
      </c>
      <c r="Z1042" s="21">
        <v>0.1</v>
      </c>
      <c r="AA1042" s="21">
        <v>0.5</v>
      </c>
      <c r="AB1042" s="21">
        <v>4333</v>
      </c>
      <c r="AC1042" s="21">
        <v>4167</v>
      </c>
      <c r="AD1042" s="21">
        <v>4517</v>
      </c>
      <c r="AE1042" s="21">
        <v>283</v>
      </c>
      <c r="AF1042" s="21">
        <v>6.0199999999999997E-2</v>
      </c>
      <c r="AG1042" s="21">
        <v>651</v>
      </c>
      <c r="AH1042" s="21">
        <v>0.13850000000000001</v>
      </c>
      <c r="AI1042" s="21">
        <v>0.11600000000000001</v>
      </c>
      <c r="AJ1042" s="21">
        <v>0.55920000000000003</v>
      </c>
      <c r="AK1042" s="21">
        <v>422</v>
      </c>
      <c r="AL1042" s="21">
        <v>9.5200000000000007E-2</v>
      </c>
      <c r="AM1042" s="21">
        <v>133</v>
      </c>
      <c r="AN1042" s="21">
        <v>0.03</v>
      </c>
      <c r="AO1042" s="21">
        <v>0.51929999999999998</v>
      </c>
      <c r="AP1042" s="21">
        <v>89</v>
      </c>
      <c r="AQ1042" s="21">
        <v>89</v>
      </c>
      <c r="AR1042" s="21">
        <v>45</v>
      </c>
      <c r="AS1042" s="21">
        <v>38</v>
      </c>
      <c r="AT1042" s="21">
        <v>6</v>
      </c>
      <c r="AU1042" s="21">
        <v>1794</v>
      </c>
      <c r="AV1042" s="21">
        <v>537</v>
      </c>
    </row>
    <row r="1043" spans="1:48" x14ac:dyDescent="0.15">
      <c r="A1043" s="20" t="s">
        <v>0</v>
      </c>
      <c r="B1043" s="20" t="s">
        <v>135</v>
      </c>
      <c r="C1043" s="21">
        <v>143763</v>
      </c>
      <c r="D1043" s="21">
        <v>13940</v>
      </c>
      <c r="E1043" s="21">
        <v>-4</v>
      </c>
      <c r="F1043" s="21">
        <v>157699</v>
      </c>
      <c r="G1043" s="21">
        <v>9865</v>
      </c>
      <c r="H1043" s="21">
        <v>54417</v>
      </c>
      <c r="I1043" s="21">
        <v>26885</v>
      </c>
      <c r="J1043" s="21">
        <v>42390</v>
      </c>
      <c r="K1043" s="21">
        <v>21369</v>
      </c>
      <c r="L1043" s="21">
        <v>2564</v>
      </c>
      <c r="M1043" s="21">
        <v>0.71909999999999996</v>
      </c>
      <c r="N1043" s="21">
        <v>0.59830000000000005</v>
      </c>
      <c r="O1043" s="21">
        <v>0.53469999999999995</v>
      </c>
      <c r="P1043" s="21">
        <v>16814</v>
      </c>
      <c r="Q1043" s="21">
        <v>0.24360000000000001</v>
      </c>
      <c r="R1043" s="21">
        <v>61</v>
      </c>
      <c r="S1043" s="21">
        <v>9</v>
      </c>
      <c r="T1043" s="21">
        <v>0.11990000000000001</v>
      </c>
      <c r="U1043" s="21">
        <v>4.7100000000000003E-2</v>
      </c>
      <c r="V1043" s="21">
        <v>0.96560000000000001</v>
      </c>
      <c r="W1043" s="21">
        <v>2507</v>
      </c>
      <c r="X1043" s="21">
        <v>2379</v>
      </c>
      <c r="Y1043" s="21">
        <v>5154</v>
      </c>
      <c r="Z1043" s="21">
        <v>0.1</v>
      </c>
      <c r="AA1043" s="21">
        <v>0.5</v>
      </c>
      <c r="AB1043" s="21">
        <v>22396</v>
      </c>
      <c r="AC1043" s="21">
        <v>21252</v>
      </c>
      <c r="AD1043" s="21">
        <v>24181</v>
      </c>
      <c r="AE1043" s="21">
        <v>2266</v>
      </c>
      <c r="AF1043" s="21">
        <v>8.7300000000000003E-2</v>
      </c>
      <c r="AG1043" s="21">
        <v>5836</v>
      </c>
      <c r="AH1043" s="21">
        <v>0.2248</v>
      </c>
      <c r="AI1043" s="21">
        <v>8.0699999999999994E-2</v>
      </c>
      <c r="AJ1043" s="21">
        <v>0.60829999999999995</v>
      </c>
      <c r="AK1043" s="21">
        <v>3045</v>
      </c>
      <c r="AL1043" s="21">
        <v>0.129</v>
      </c>
      <c r="AM1043" s="21">
        <v>1019</v>
      </c>
      <c r="AN1043" s="21">
        <v>4.3200000000000002E-2</v>
      </c>
      <c r="AO1043" s="21">
        <v>0.48699999999999999</v>
      </c>
      <c r="AP1043" s="21">
        <v>1139</v>
      </c>
      <c r="AQ1043" s="21">
        <v>1139</v>
      </c>
      <c r="AR1043" s="21">
        <v>906</v>
      </c>
      <c r="AS1043" s="21">
        <v>161</v>
      </c>
      <c r="AT1043" s="21">
        <v>72</v>
      </c>
      <c r="AU1043" s="21">
        <v>68942</v>
      </c>
      <c r="AV1043" s="21">
        <v>6040</v>
      </c>
    </row>
    <row r="1044" spans="1:48" x14ac:dyDescent="0.15">
      <c r="A1044" s="20" t="s">
        <v>54</v>
      </c>
      <c r="B1044" s="20" t="s">
        <v>135</v>
      </c>
      <c r="C1044" s="21">
        <v>3585</v>
      </c>
      <c r="D1044" s="21">
        <v>924</v>
      </c>
      <c r="E1044" s="21">
        <v>0</v>
      </c>
      <c r="F1044" s="21">
        <v>4509</v>
      </c>
      <c r="G1044" s="21">
        <v>436</v>
      </c>
      <c r="H1044" s="21">
        <v>1781</v>
      </c>
      <c r="I1044" s="21">
        <v>848</v>
      </c>
      <c r="J1044" s="21">
        <v>1477</v>
      </c>
      <c r="K1044" s="21">
        <v>0</v>
      </c>
      <c r="L1044" s="21">
        <v>196</v>
      </c>
      <c r="M1044" s="21">
        <v>0.71560000000000001</v>
      </c>
      <c r="N1044" s="21">
        <v>0.3624</v>
      </c>
      <c r="O1044" s="21">
        <v>0.62839999999999996</v>
      </c>
      <c r="P1044" s="21">
        <v>450</v>
      </c>
      <c r="Q1044" s="21">
        <v>0.57779999999999998</v>
      </c>
      <c r="R1044" s="21">
        <v>22</v>
      </c>
      <c r="S1044" s="21">
        <v>10</v>
      </c>
      <c r="T1044" s="21">
        <v>0.16120000000000001</v>
      </c>
      <c r="U1044" s="21">
        <v>1.9800000000000002E-2</v>
      </c>
      <c r="V1044" s="21">
        <v>0.97940000000000005</v>
      </c>
      <c r="W1044" s="21">
        <v>241</v>
      </c>
      <c r="X1044" s="21">
        <v>214</v>
      </c>
      <c r="Y1044" s="21">
        <v>408</v>
      </c>
      <c r="Z1044" s="21">
        <v>0.2</v>
      </c>
      <c r="AA1044" s="21">
        <v>0.5</v>
      </c>
      <c r="AB1044" s="21">
        <v>969</v>
      </c>
      <c r="AC1044" s="21">
        <v>780</v>
      </c>
      <c r="AD1044" s="21">
        <v>952</v>
      </c>
      <c r="AE1044" s="21">
        <v>261</v>
      </c>
      <c r="AF1044" s="21">
        <v>0.27939999999999998</v>
      </c>
      <c r="AG1044" s="21">
        <v>226</v>
      </c>
      <c r="AH1044" s="21">
        <v>0.24199999999999999</v>
      </c>
      <c r="AI1044" s="21">
        <v>5.9499999999999997E-2</v>
      </c>
      <c r="AJ1044" s="21">
        <v>0.26669999999999999</v>
      </c>
      <c r="AK1044" s="21">
        <v>229</v>
      </c>
      <c r="AL1044" s="21">
        <v>0.26719999999999999</v>
      </c>
      <c r="AM1044" s="21">
        <v>78</v>
      </c>
      <c r="AN1044" s="21">
        <v>9.0999999999999998E-2</v>
      </c>
      <c r="AO1044" s="21">
        <v>0.66859999999999997</v>
      </c>
      <c r="AP1044" s="21">
        <v>85</v>
      </c>
      <c r="AQ1044" s="21">
        <v>85</v>
      </c>
      <c r="AR1044" s="21">
        <v>80</v>
      </c>
      <c r="AS1044" s="21">
        <v>5</v>
      </c>
      <c r="AT1044" s="21">
        <v>0</v>
      </c>
      <c r="AU1044" s="21">
        <v>5236</v>
      </c>
      <c r="AV1044" s="21">
        <v>108</v>
      </c>
    </row>
    <row r="1045" spans="1:48" x14ac:dyDescent="0.15">
      <c r="A1045" s="20" t="s">
        <v>55</v>
      </c>
      <c r="B1045" s="20" t="s">
        <v>135</v>
      </c>
      <c r="C1045" s="21">
        <v>797</v>
      </c>
      <c r="D1045" s="21">
        <v>86</v>
      </c>
      <c r="E1045" s="21">
        <v>0</v>
      </c>
      <c r="F1045" s="21">
        <v>883</v>
      </c>
      <c r="G1045" s="21">
        <v>126</v>
      </c>
      <c r="H1045" s="21">
        <v>126</v>
      </c>
      <c r="I1045" s="21">
        <v>263</v>
      </c>
      <c r="J1045" s="21">
        <v>332</v>
      </c>
      <c r="K1045" s="21">
        <v>5</v>
      </c>
      <c r="L1045" s="21">
        <v>96</v>
      </c>
      <c r="M1045" s="21">
        <v>0.72729999999999995</v>
      </c>
      <c r="N1045" s="21">
        <v>0.30299999999999999</v>
      </c>
      <c r="O1045" s="21">
        <v>0.68689999999999996</v>
      </c>
      <c r="P1045" s="21">
        <v>1317</v>
      </c>
      <c r="Q1045" s="21">
        <v>8.0500000000000002E-2</v>
      </c>
      <c r="R1045" s="21">
        <v>9</v>
      </c>
      <c r="S1045" s="21">
        <v>1</v>
      </c>
      <c r="T1045" s="21">
        <v>0.2147</v>
      </c>
      <c r="U1045" s="21">
        <v>7.1999999999999998E-3</v>
      </c>
      <c r="V1045" s="21">
        <v>0.97619999999999996</v>
      </c>
      <c r="W1045" s="21">
        <v>48</v>
      </c>
      <c r="X1045" s="21">
        <v>44</v>
      </c>
      <c r="Y1045" s="21">
        <v>93</v>
      </c>
      <c r="Z1045" s="21">
        <v>0.1</v>
      </c>
      <c r="AA1045" s="21">
        <v>0.5</v>
      </c>
      <c r="AB1045" s="21">
        <v>383</v>
      </c>
      <c r="AC1045" s="21">
        <v>383</v>
      </c>
      <c r="AD1045" s="21">
        <v>456</v>
      </c>
      <c r="AE1045" s="21">
        <v>7</v>
      </c>
      <c r="AF1045" s="21">
        <v>1.32E-2</v>
      </c>
      <c r="AG1045" s="21">
        <v>153</v>
      </c>
      <c r="AH1045" s="21">
        <v>0.28920000000000001</v>
      </c>
      <c r="AI1045" s="21">
        <v>0.13639999999999999</v>
      </c>
      <c r="AJ1045" s="21">
        <v>0.57140000000000002</v>
      </c>
      <c r="AK1045" s="21">
        <v>46</v>
      </c>
      <c r="AL1045" s="21">
        <v>0.1009</v>
      </c>
      <c r="AM1045" s="21">
        <v>18</v>
      </c>
      <c r="AN1045" s="21">
        <v>3.95E-2</v>
      </c>
      <c r="AO1045" s="21">
        <v>0.73319999999999996</v>
      </c>
      <c r="AP1045" s="21">
        <v>44</v>
      </c>
      <c r="AQ1045" s="21">
        <v>44</v>
      </c>
      <c r="AR1045" s="21">
        <v>17</v>
      </c>
      <c r="AS1045" s="21">
        <v>0</v>
      </c>
      <c r="AT1045" s="21">
        <v>28</v>
      </c>
      <c r="AU1045" s="21">
        <v>495</v>
      </c>
      <c r="AV1045" s="21">
        <v>43</v>
      </c>
    </row>
    <row r="1046" spans="1:48" x14ac:dyDescent="0.15">
      <c r="A1046" s="20" t="s">
        <v>56</v>
      </c>
      <c r="B1046" s="20" t="s">
        <v>135</v>
      </c>
      <c r="C1046" s="21">
        <v>76</v>
      </c>
      <c r="D1046" s="21">
        <v>43</v>
      </c>
      <c r="E1046" s="21">
        <v>0</v>
      </c>
      <c r="F1046" s="21">
        <v>120</v>
      </c>
      <c r="G1046" s="21">
        <v>0</v>
      </c>
      <c r="H1046" s="21">
        <v>0</v>
      </c>
      <c r="I1046" s="21">
        <v>0</v>
      </c>
      <c r="J1046" s="21">
        <v>87</v>
      </c>
      <c r="K1046" s="21">
        <v>28</v>
      </c>
      <c r="L1046" s="21">
        <v>67</v>
      </c>
      <c r="M1046" s="21">
        <v>0.24690000000000001</v>
      </c>
      <c r="N1046" s="21">
        <v>6.1699999999999998E-2</v>
      </c>
      <c r="O1046" s="21">
        <v>0.2099</v>
      </c>
      <c r="P1046" s="21">
        <v>2048</v>
      </c>
      <c r="Q1046" s="21">
        <v>1.2200000000000001E-2</v>
      </c>
      <c r="R1046" s="21">
        <v>2</v>
      </c>
      <c r="S1046" s="21">
        <v>0</v>
      </c>
      <c r="T1046" s="21">
        <v>0.2344</v>
      </c>
      <c r="U1046" s="21">
        <v>4.24E-2</v>
      </c>
      <c r="V1046" s="21">
        <v>0.98540000000000005</v>
      </c>
      <c r="W1046" s="21">
        <v>101</v>
      </c>
      <c r="X1046" s="21">
        <v>72</v>
      </c>
      <c r="Y1046" s="21">
        <v>85</v>
      </c>
      <c r="Z1046" s="21">
        <v>0.4</v>
      </c>
      <c r="AA1046" s="21">
        <v>0.9</v>
      </c>
      <c r="AB1046" s="21">
        <v>192</v>
      </c>
      <c r="AC1046" s="21">
        <v>192</v>
      </c>
      <c r="AD1046" s="21">
        <v>174</v>
      </c>
      <c r="AE1046" s="21">
        <v>38</v>
      </c>
      <c r="AF1046" s="21">
        <v>0.24360000000000001</v>
      </c>
      <c r="AG1046" s="21">
        <v>2</v>
      </c>
      <c r="AH1046" s="21">
        <v>1.2800000000000001E-2</v>
      </c>
      <c r="AI1046" s="21">
        <v>0</v>
      </c>
      <c r="AJ1046" s="21">
        <v>0.57140000000000002</v>
      </c>
      <c r="AK1046" s="21">
        <v>45</v>
      </c>
      <c r="AL1046" s="21">
        <v>0.2586</v>
      </c>
      <c r="AM1046" s="21">
        <v>33</v>
      </c>
      <c r="AN1046" s="21">
        <v>0.18970000000000001</v>
      </c>
      <c r="AO1046" s="21">
        <v>0.92149999999999999</v>
      </c>
      <c r="AP1046" s="21">
        <v>106</v>
      </c>
      <c r="AQ1046" s="21">
        <v>106</v>
      </c>
      <c r="AR1046" s="21">
        <v>96</v>
      </c>
      <c r="AS1046" s="21">
        <v>10</v>
      </c>
      <c r="AT1046" s="21">
        <v>0</v>
      </c>
      <c r="AU1046" s="21">
        <v>3557</v>
      </c>
      <c r="AV1046" s="21">
        <v>64</v>
      </c>
    </row>
    <row r="1047" spans="1:48" x14ac:dyDescent="0.15">
      <c r="A1047" s="20" t="s">
        <v>57</v>
      </c>
      <c r="B1047" s="20" t="s">
        <v>135</v>
      </c>
      <c r="C1047" s="21">
        <v>9473</v>
      </c>
      <c r="D1047" s="21">
        <v>321</v>
      </c>
      <c r="E1047" s="21">
        <v>0</v>
      </c>
      <c r="F1047" s="21">
        <v>9794</v>
      </c>
      <c r="G1047" s="21">
        <v>1245</v>
      </c>
      <c r="H1047" s="21">
        <v>347</v>
      </c>
      <c r="I1047" s="21">
        <v>1515</v>
      </c>
      <c r="J1047" s="21">
        <v>6926</v>
      </c>
      <c r="K1047" s="21">
        <v>4</v>
      </c>
      <c r="L1047" s="21">
        <v>185</v>
      </c>
      <c r="M1047" s="21">
        <v>0.44319999999999998</v>
      </c>
      <c r="N1047" s="21">
        <v>0.38919999999999999</v>
      </c>
      <c r="O1047" s="21">
        <v>0.15140000000000001</v>
      </c>
      <c r="P1047" s="21">
        <v>689</v>
      </c>
      <c r="Q1047" s="21">
        <v>0.16109999999999999</v>
      </c>
      <c r="R1047" s="21">
        <v>53</v>
      </c>
      <c r="S1047" s="21">
        <v>14</v>
      </c>
      <c r="T1047" s="21">
        <v>6.0999999999999999E-2</v>
      </c>
      <c r="U1047" s="21">
        <v>3.1600000000000003E-2</v>
      </c>
      <c r="V1047" s="21">
        <v>0.96409999999999996</v>
      </c>
      <c r="W1047" s="21">
        <v>106</v>
      </c>
      <c r="X1047" s="21">
        <v>104</v>
      </c>
      <c r="Y1047" s="21">
        <v>135</v>
      </c>
      <c r="Z1047" s="21">
        <v>0.1</v>
      </c>
      <c r="AA1047" s="21">
        <v>0.8</v>
      </c>
      <c r="AB1047" s="21">
        <v>789</v>
      </c>
      <c r="AC1047" s="21">
        <v>789</v>
      </c>
      <c r="AD1047" s="21">
        <v>946</v>
      </c>
      <c r="AE1047" s="21">
        <v>48</v>
      </c>
      <c r="AF1047" s="21">
        <v>4.3499999999999997E-2</v>
      </c>
      <c r="AG1047" s="21">
        <v>363</v>
      </c>
      <c r="AH1047" s="21">
        <v>0.32879999999999998</v>
      </c>
      <c r="AI1047" s="21">
        <v>2.9000000000000001E-2</v>
      </c>
      <c r="AJ1047" s="21">
        <v>0.53969999999999996</v>
      </c>
      <c r="AK1047" s="21">
        <v>97</v>
      </c>
      <c r="AL1047" s="21">
        <v>0.10249999999999999</v>
      </c>
      <c r="AM1047" s="21">
        <v>37</v>
      </c>
      <c r="AN1047" s="21">
        <v>3.9100000000000003E-2</v>
      </c>
      <c r="AO1047" s="21">
        <v>0.50239999999999996</v>
      </c>
      <c r="AP1047" s="21">
        <v>99</v>
      </c>
      <c r="AQ1047" s="21">
        <v>99</v>
      </c>
      <c r="AR1047" s="21">
        <v>48</v>
      </c>
      <c r="AS1047" s="21">
        <v>40</v>
      </c>
      <c r="AT1047" s="21">
        <v>12</v>
      </c>
      <c r="AU1047" s="21">
        <v>8459</v>
      </c>
      <c r="AV1047" s="21">
        <v>416</v>
      </c>
    </row>
    <row r="1048" spans="1:48" x14ac:dyDescent="0.15">
      <c r="A1048" s="20" t="s">
        <v>58</v>
      </c>
      <c r="B1048" s="20" t="s">
        <v>135</v>
      </c>
      <c r="C1048" s="21">
        <v>19862</v>
      </c>
      <c r="D1048" s="21">
        <v>2711</v>
      </c>
      <c r="E1048" s="21">
        <v>-4</v>
      </c>
      <c r="F1048" s="21">
        <v>22569</v>
      </c>
      <c r="G1048" s="21">
        <v>3494</v>
      </c>
      <c r="H1048" s="21">
        <v>15162</v>
      </c>
      <c r="J1048" s="21">
        <v>3545</v>
      </c>
      <c r="K1048" s="21">
        <v>1</v>
      </c>
      <c r="L1048" s="21">
        <v>404</v>
      </c>
      <c r="M1048" s="21">
        <v>0.83250000000000002</v>
      </c>
      <c r="N1048" s="21">
        <v>0.74029999999999996</v>
      </c>
      <c r="O1048" s="21">
        <v>0.76939999999999997</v>
      </c>
      <c r="P1048" s="21">
        <v>2560</v>
      </c>
      <c r="Q1048" s="21">
        <v>0.2465</v>
      </c>
      <c r="R1048" s="21">
        <v>56</v>
      </c>
      <c r="S1048" s="21">
        <v>9</v>
      </c>
      <c r="T1048" s="21">
        <v>0.18079999999999999</v>
      </c>
      <c r="U1048" s="21">
        <v>7.7100000000000002E-2</v>
      </c>
      <c r="V1048" s="21">
        <v>0.96330000000000005</v>
      </c>
      <c r="W1048" s="21">
        <v>433</v>
      </c>
      <c r="X1048" s="21">
        <v>420</v>
      </c>
      <c r="Y1048" s="21">
        <v>975</v>
      </c>
      <c r="Z1048" s="21">
        <v>0.1</v>
      </c>
      <c r="AA1048" s="21">
        <v>0.4</v>
      </c>
      <c r="AB1048" s="21">
        <v>3608</v>
      </c>
      <c r="AC1048" s="21">
        <v>3608</v>
      </c>
      <c r="AD1048" s="21">
        <v>3684</v>
      </c>
      <c r="AE1048" s="21">
        <v>140</v>
      </c>
      <c r="AF1048" s="21">
        <v>3.7199999999999997E-2</v>
      </c>
      <c r="AG1048" s="21">
        <v>292</v>
      </c>
      <c r="AH1048" s="21">
        <v>7.7700000000000005E-2</v>
      </c>
      <c r="AI1048" s="21">
        <v>0.13950000000000001</v>
      </c>
      <c r="AJ1048" s="21">
        <v>0.7923</v>
      </c>
      <c r="AK1048" s="21">
        <v>499</v>
      </c>
      <c r="AL1048" s="21">
        <v>0.13550000000000001</v>
      </c>
      <c r="AM1048" s="21">
        <v>182</v>
      </c>
      <c r="AN1048" s="21">
        <v>4.9399999999999999E-2</v>
      </c>
      <c r="AO1048" s="21">
        <v>0.53790000000000004</v>
      </c>
      <c r="AP1048" s="21">
        <v>66</v>
      </c>
      <c r="AQ1048" s="21">
        <v>66</v>
      </c>
      <c r="AR1048" s="21">
        <v>55</v>
      </c>
      <c r="AS1048" s="21">
        <v>11</v>
      </c>
      <c r="AT1048" s="21">
        <v>0</v>
      </c>
      <c r="AU1048" s="21">
        <v>4408</v>
      </c>
      <c r="AV1048" s="21">
        <v>1243</v>
      </c>
    </row>
    <row r="1049" spans="1:48" x14ac:dyDescent="0.15">
      <c r="A1049" s="20" t="s">
        <v>59</v>
      </c>
      <c r="B1049" s="20" t="s">
        <v>135</v>
      </c>
      <c r="C1049" s="21">
        <v>1165</v>
      </c>
      <c r="D1049" s="21">
        <v>107</v>
      </c>
      <c r="E1049" s="21">
        <v>0</v>
      </c>
      <c r="F1049" s="21">
        <v>1272</v>
      </c>
      <c r="G1049" s="21">
        <v>626</v>
      </c>
      <c r="H1049" s="21">
        <v>98</v>
      </c>
      <c r="I1049" s="21">
        <v>119</v>
      </c>
      <c r="J1049" s="21">
        <v>434</v>
      </c>
      <c r="K1049" s="21">
        <v>0</v>
      </c>
      <c r="L1049" s="21">
        <v>66</v>
      </c>
      <c r="M1049" s="21">
        <v>0.39190000000000003</v>
      </c>
      <c r="N1049" s="21">
        <v>0.27029999999999998</v>
      </c>
      <c r="O1049" s="21">
        <v>0.2162</v>
      </c>
      <c r="P1049" s="21">
        <v>1151</v>
      </c>
      <c r="Q1049" s="21">
        <v>4.87E-2</v>
      </c>
      <c r="R1049" s="21">
        <v>18</v>
      </c>
      <c r="S1049" s="21">
        <v>1</v>
      </c>
      <c r="T1049" s="21">
        <v>0.1686</v>
      </c>
      <c r="U1049" s="21">
        <v>6.9699999999999998E-2</v>
      </c>
      <c r="V1049" s="21">
        <v>0.9758</v>
      </c>
      <c r="W1049" s="21">
        <v>9</v>
      </c>
      <c r="X1049" s="21">
        <v>9</v>
      </c>
      <c r="Y1049" s="21">
        <v>17</v>
      </c>
      <c r="Z1049" s="21">
        <v>0.1</v>
      </c>
      <c r="AA1049" s="21">
        <v>0.6</v>
      </c>
      <c r="AB1049" s="21">
        <v>130</v>
      </c>
      <c r="AC1049" s="21">
        <v>130</v>
      </c>
      <c r="AD1049" s="21">
        <v>132</v>
      </c>
      <c r="AE1049" s="21">
        <v>5</v>
      </c>
      <c r="AF1049" s="21">
        <v>3.73E-2</v>
      </c>
      <c r="AG1049" s="21">
        <v>9</v>
      </c>
      <c r="AH1049" s="21">
        <v>6.7199999999999996E-2</v>
      </c>
      <c r="AI1049" s="21">
        <v>0</v>
      </c>
      <c r="AJ1049" s="21">
        <v>0.52</v>
      </c>
      <c r="AK1049" s="21">
        <v>13</v>
      </c>
      <c r="AL1049" s="21">
        <v>9.8500000000000004E-2</v>
      </c>
      <c r="AM1049" s="21">
        <v>1</v>
      </c>
      <c r="AN1049" s="21">
        <v>7.6E-3</v>
      </c>
      <c r="AO1049" s="21">
        <v>0.58220000000000005</v>
      </c>
      <c r="AP1049" s="21">
        <v>109</v>
      </c>
      <c r="AQ1049" s="21">
        <v>109</v>
      </c>
      <c r="AR1049" s="21">
        <v>92</v>
      </c>
      <c r="AS1049" s="21">
        <v>17</v>
      </c>
      <c r="AT1049" s="21">
        <v>0</v>
      </c>
      <c r="AU1049" s="21">
        <v>3686</v>
      </c>
      <c r="AV1049" s="21">
        <v>16</v>
      </c>
    </row>
    <row r="1050" spans="1:48" x14ac:dyDescent="0.15">
      <c r="A1050" s="20" t="s">
        <v>60</v>
      </c>
      <c r="B1050" s="20" t="s">
        <v>135</v>
      </c>
      <c r="C1050" s="21">
        <v>2329</v>
      </c>
      <c r="D1050" s="21">
        <v>375</v>
      </c>
      <c r="E1050" s="21">
        <v>0</v>
      </c>
      <c r="F1050" s="21">
        <v>2704</v>
      </c>
      <c r="G1050" s="21">
        <v>3</v>
      </c>
      <c r="H1050" s="21">
        <v>1319</v>
      </c>
      <c r="I1050" s="21">
        <v>672</v>
      </c>
      <c r="J1050" s="21">
        <v>113</v>
      </c>
      <c r="K1050" s="21">
        <v>211</v>
      </c>
      <c r="L1050" s="21">
        <v>90</v>
      </c>
      <c r="M1050" s="21">
        <v>0.74229999999999996</v>
      </c>
      <c r="N1050" s="21">
        <v>0.59789999999999999</v>
      </c>
      <c r="O1050" s="21">
        <v>0.40210000000000001</v>
      </c>
      <c r="P1050" s="21">
        <v>461</v>
      </c>
      <c r="Q1050" s="21">
        <v>0.2646</v>
      </c>
      <c r="R1050" s="21">
        <v>29</v>
      </c>
      <c r="S1050" s="21">
        <v>6</v>
      </c>
      <c r="T1050" s="21">
        <v>4.2200000000000001E-2</v>
      </c>
      <c r="U1050" s="21">
        <v>3.39E-2</v>
      </c>
      <c r="V1050" s="21">
        <v>0.9446</v>
      </c>
      <c r="W1050" s="21">
        <v>72</v>
      </c>
      <c r="X1050" s="21">
        <v>75</v>
      </c>
      <c r="Y1050" s="21">
        <v>181</v>
      </c>
      <c r="Z1050" s="21">
        <v>0.1</v>
      </c>
      <c r="AA1050" s="21">
        <v>0.4</v>
      </c>
      <c r="AB1050" s="21">
        <v>1010</v>
      </c>
      <c r="AC1050" s="21">
        <v>956</v>
      </c>
      <c r="AD1050" s="21">
        <v>1138</v>
      </c>
      <c r="AE1050" s="21">
        <v>91</v>
      </c>
      <c r="AF1050" s="21">
        <v>7.1900000000000006E-2</v>
      </c>
      <c r="AG1050" s="21">
        <v>347</v>
      </c>
      <c r="AH1050" s="21">
        <v>0.27410000000000001</v>
      </c>
      <c r="AI1050" s="21">
        <v>7.1400000000000005E-2</v>
      </c>
      <c r="AJ1050" s="21">
        <v>0.6875</v>
      </c>
      <c r="AK1050" s="21">
        <v>95</v>
      </c>
      <c r="AL1050" s="21">
        <v>8.5500000000000007E-2</v>
      </c>
      <c r="AM1050" s="21">
        <v>15</v>
      </c>
      <c r="AN1050" s="21">
        <v>1.35E-2</v>
      </c>
      <c r="AO1050" s="21">
        <v>0.51119999999999999</v>
      </c>
      <c r="AP1050" s="21">
        <v>32</v>
      </c>
      <c r="AQ1050" s="21">
        <v>32</v>
      </c>
      <c r="AR1050" s="21">
        <v>30</v>
      </c>
      <c r="AS1050" s="21">
        <v>0</v>
      </c>
      <c r="AT1050" s="21">
        <v>1</v>
      </c>
      <c r="AU1050" s="21">
        <v>4214</v>
      </c>
      <c r="AV1050" s="21">
        <v>408</v>
      </c>
    </row>
    <row r="1051" spans="1:48" x14ac:dyDescent="0.15">
      <c r="A1051" s="20" t="s">
        <v>61</v>
      </c>
      <c r="B1051" s="20" t="s">
        <v>135</v>
      </c>
      <c r="C1051" s="21">
        <v>6539</v>
      </c>
      <c r="D1051" s="21">
        <v>317</v>
      </c>
      <c r="E1051" s="21">
        <v>0</v>
      </c>
      <c r="F1051" s="21">
        <v>6856</v>
      </c>
      <c r="G1051" s="21">
        <v>1037</v>
      </c>
      <c r="H1051" s="21">
        <v>1529</v>
      </c>
      <c r="I1051" s="21">
        <v>1781</v>
      </c>
      <c r="J1051" s="21">
        <v>2132</v>
      </c>
      <c r="K1051" s="21">
        <v>319</v>
      </c>
      <c r="L1051" s="21">
        <v>71</v>
      </c>
      <c r="M1051" s="21">
        <v>0.78869999999999996</v>
      </c>
      <c r="N1051" s="21">
        <v>0.77459999999999996</v>
      </c>
      <c r="O1051" s="21">
        <v>0.49299999999999999</v>
      </c>
      <c r="P1051" s="21">
        <v>230</v>
      </c>
      <c r="Q1051" s="21">
        <v>0.49569999999999997</v>
      </c>
      <c r="R1051" s="21">
        <v>96</v>
      </c>
      <c r="S1051" s="21">
        <v>30</v>
      </c>
      <c r="T1051" s="21">
        <v>8.43E-2</v>
      </c>
      <c r="U1051" s="21">
        <v>3.6600000000000001E-2</v>
      </c>
      <c r="V1051" s="21">
        <v>0.94520000000000004</v>
      </c>
      <c r="W1051" s="21">
        <v>11</v>
      </c>
      <c r="X1051" s="21">
        <v>9</v>
      </c>
      <c r="Y1051" s="21">
        <v>31</v>
      </c>
      <c r="Z1051" s="21">
        <v>0.1</v>
      </c>
      <c r="AA1051" s="21">
        <v>0.3</v>
      </c>
      <c r="AB1051" s="21">
        <v>143</v>
      </c>
      <c r="AC1051" s="21">
        <v>143</v>
      </c>
      <c r="AD1051" s="21">
        <v>152</v>
      </c>
      <c r="AE1051" s="21">
        <v>1</v>
      </c>
      <c r="AF1051" s="21">
        <v>6.1999999999999998E-3</v>
      </c>
      <c r="AG1051" s="21">
        <v>19</v>
      </c>
      <c r="AH1051" s="21">
        <v>0.11799999999999999</v>
      </c>
      <c r="AI1051" s="21">
        <v>7.6899999999999996E-2</v>
      </c>
      <c r="AJ1051" s="21">
        <v>0.875</v>
      </c>
      <c r="AK1051" s="21">
        <v>12</v>
      </c>
      <c r="AL1051" s="21">
        <v>7.8899999999999998E-2</v>
      </c>
      <c r="AM1051" s="21">
        <v>1</v>
      </c>
      <c r="AN1051" s="21">
        <v>6.6E-3</v>
      </c>
      <c r="AO1051" s="21">
        <v>0.37609999999999999</v>
      </c>
      <c r="AP1051" s="21">
        <v>8</v>
      </c>
      <c r="AQ1051" s="21">
        <v>8</v>
      </c>
      <c r="AR1051" s="21">
        <v>3</v>
      </c>
      <c r="AS1051" s="21">
        <v>5</v>
      </c>
      <c r="AT1051" s="21">
        <v>0</v>
      </c>
      <c r="AU1051" s="21">
        <v>2809</v>
      </c>
      <c r="AV1051" s="21">
        <v>56</v>
      </c>
    </row>
    <row r="1052" spans="1:48" x14ac:dyDescent="0.15">
      <c r="A1052" s="20" t="s">
        <v>48</v>
      </c>
      <c r="B1052" s="20" t="s">
        <v>151</v>
      </c>
      <c r="C1052" s="21">
        <v>2270</v>
      </c>
      <c r="D1052" s="21">
        <v>254</v>
      </c>
      <c r="E1052" s="21">
        <v>0</v>
      </c>
      <c r="F1052" s="21">
        <v>2524</v>
      </c>
      <c r="G1052" s="21">
        <v>347</v>
      </c>
      <c r="H1052" s="21">
        <v>795</v>
      </c>
      <c r="I1052" s="21">
        <v>178</v>
      </c>
      <c r="J1052" s="21">
        <v>1066</v>
      </c>
      <c r="K1052" s="21">
        <v>241</v>
      </c>
      <c r="L1052" s="21">
        <v>96</v>
      </c>
      <c r="M1052" s="21">
        <v>0.57689999999999997</v>
      </c>
      <c r="N1052" s="21">
        <v>0.32690000000000002</v>
      </c>
      <c r="O1052" s="21">
        <v>0.34620000000000001</v>
      </c>
      <c r="P1052" s="21">
        <v>1003</v>
      </c>
      <c r="Q1052" s="21">
        <v>9.9699999999999997E-2</v>
      </c>
      <c r="R1052" s="21">
        <v>25</v>
      </c>
      <c r="S1052" s="21">
        <v>3</v>
      </c>
      <c r="T1052" s="21">
        <v>0.129</v>
      </c>
      <c r="U1052" s="21">
        <v>4.36E-2</v>
      </c>
      <c r="V1052" s="21">
        <v>0.9708</v>
      </c>
      <c r="W1052" s="21">
        <v>12</v>
      </c>
      <c r="X1052" s="21">
        <v>15</v>
      </c>
      <c r="Y1052" s="21">
        <v>43</v>
      </c>
      <c r="Z1052" s="21">
        <v>0.1</v>
      </c>
      <c r="AA1052" s="21">
        <v>0.4</v>
      </c>
      <c r="AB1052" s="21">
        <v>267</v>
      </c>
      <c r="AC1052" s="21">
        <v>259</v>
      </c>
      <c r="AD1052" s="21">
        <v>278</v>
      </c>
      <c r="AE1052" s="21">
        <v>14</v>
      </c>
      <c r="AF1052" s="21">
        <v>4.8300000000000003E-2</v>
      </c>
      <c r="AG1052" s="21">
        <v>37</v>
      </c>
      <c r="AH1052" s="21">
        <v>0.12759999999999999</v>
      </c>
      <c r="AI1052" s="21">
        <v>0</v>
      </c>
      <c r="AJ1052" s="21">
        <v>0.66669999999999996</v>
      </c>
      <c r="AK1052" s="21">
        <v>30</v>
      </c>
      <c r="AL1052" s="21">
        <v>0.10929999999999999</v>
      </c>
      <c r="AM1052" s="21">
        <v>5</v>
      </c>
      <c r="AN1052" s="21">
        <v>1.8200000000000001E-2</v>
      </c>
      <c r="AO1052" s="21">
        <v>0.96</v>
      </c>
      <c r="AP1052" s="21">
        <v>29</v>
      </c>
      <c r="AQ1052" s="21">
        <v>29</v>
      </c>
      <c r="AR1052" s="21">
        <v>11</v>
      </c>
      <c r="AS1052" s="21">
        <v>16</v>
      </c>
      <c r="AT1052" s="21">
        <v>2</v>
      </c>
      <c r="AU1052" s="21">
        <v>4923</v>
      </c>
      <c r="AV1052" s="21">
        <v>391</v>
      </c>
    </row>
    <row r="1053" spans="1:48" x14ac:dyDescent="0.15">
      <c r="A1053" s="20" t="s">
        <v>50</v>
      </c>
      <c r="B1053" s="20" t="s">
        <v>151</v>
      </c>
      <c r="C1053" s="21">
        <v>21122</v>
      </c>
      <c r="D1053" s="21">
        <v>875</v>
      </c>
      <c r="E1053" s="21">
        <v>0</v>
      </c>
      <c r="F1053" s="21">
        <v>21997</v>
      </c>
      <c r="G1053" s="21">
        <v>49</v>
      </c>
      <c r="H1053" s="21">
        <v>14001</v>
      </c>
      <c r="I1053" s="21">
        <v>0</v>
      </c>
      <c r="J1053" s="21">
        <v>3119</v>
      </c>
      <c r="K1053" s="21">
        <v>629</v>
      </c>
      <c r="L1053" s="21">
        <v>148</v>
      </c>
      <c r="M1053" s="21">
        <v>0.89329999999999998</v>
      </c>
      <c r="N1053" s="21">
        <v>0.82669999999999999</v>
      </c>
      <c r="O1053" s="21">
        <v>0.79330000000000001</v>
      </c>
      <c r="P1053" s="21">
        <v>751</v>
      </c>
      <c r="Q1053" s="21">
        <v>0.58320000000000005</v>
      </c>
      <c r="R1053" s="21">
        <v>149</v>
      </c>
      <c r="S1053" s="21">
        <v>29</v>
      </c>
      <c r="T1053" s="21">
        <v>6.2399999999999997E-2</v>
      </c>
      <c r="U1053" s="21">
        <v>3.1800000000000002E-2</v>
      </c>
      <c r="V1053" s="21">
        <v>0.98450000000000004</v>
      </c>
      <c r="W1053" s="21">
        <v>37</v>
      </c>
      <c r="X1053" s="21">
        <v>33</v>
      </c>
      <c r="Y1053" s="21">
        <v>85</v>
      </c>
      <c r="Z1053" s="21">
        <v>0.2</v>
      </c>
      <c r="AA1053" s="21">
        <v>0.4</v>
      </c>
      <c r="AB1053" s="21">
        <v>148</v>
      </c>
      <c r="AC1053" s="21">
        <v>148</v>
      </c>
      <c r="AD1053" s="21">
        <v>150</v>
      </c>
      <c r="AE1053" s="21">
        <v>4</v>
      </c>
      <c r="AF1053" s="21">
        <v>2.6499999999999999E-2</v>
      </c>
      <c r="AG1053" s="21">
        <v>7</v>
      </c>
      <c r="AH1053" s="21">
        <v>4.6399999999999997E-2</v>
      </c>
      <c r="AI1053" s="21">
        <v>9.0899999999999995E-2</v>
      </c>
      <c r="AJ1053" s="21">
        <v>0.71430000000000005</v>
      </c>
      <c r="AK1053" s="21">
        <v>51</v>
      </c>
      <c r="AL1053" s="21">
        <v>0.34110000000000001</v>
      </c>
      <c r="AM1053" s="21">
        <v>17</v>
      </c>
      <c r="AN1053" s="21">
        <v>0.1137</v>
      </c>
      <c r="AO1053" s="21">
        <v>0.20649999999999999</v>
      </c>
      <c r="AP1053" s="21">
        <v>80</v>
      </c>
      <c r="AQ1053" s="21">
        <v>80</v>
      </c>
      <c r="AR1053" s="21">
        <v>60</v>
      </c>
      <c r="AS1053" s="21">
        <v>18</v>
      </c>
      <c r="AT1053" s="21">
        <v>1</v>
      </c>
      <c r="AU1053" s="21">
        <v>5762</v>
      </c>
      <c r="AV1053" s="21">
        <v>222</v>
      </c>
    </row>
    <row r="1054" spans="1:48" x14ac:dyDescent="0.15">
      <c r="A1054" s="20" t="s">
        <v>51</v>
      </c>
      <c r="B1054" s="20" t="s">
        <v>151</v>
      </c>
      <c r="C1054" s="21">
        <v>49008</v>
      </c>
      <c r="D1054" s="21">
        <v>13683</v>
      </c>
      <c r="E1054" s="21">
        <v>0</v>
      </c>
      <c r="F1054" s="21">
        <v>62691</v>
      </c>
      <c r="G1054" s="21">
        <v>920</v>
      </c>
      <c r="H1054" s="21">
        <v>16568</v>
      </c>
      <c r="I1054" s="21">
        <v>8841</v>
      </c>
      <c r="J1054" s="21">
        <v>12372</v>
      </c>
      <c r="K1054" s="21">
        <v>23114</v>
      </c>
      <c r="L1054" s="21">
        <v>798</v>
      </c>
      <c r="M1054" s="21">
        <v>0.79090000000000005</v>
      </c>
      <c r="N1054" s="21">
        <v>0.70109999999999995</v>
      </c>
      <c r="O1054" s="21">
        <v>0.72319999999999995</v>
      </c>
      <c r="P1054" s="21">
        <v>3066</v>
      </c>
      <c r="Q1054" s="21">
        <v>0.57369999999999999</v>
      </c>
      <c r="R1054" s="21">
        <v>79</v>
      </c>
      <c r="S1054" s="21">
        <v>20</v>
      </c>
      <c r="T1054" s="21">
        <v>0.1085</v>
      </c>
      <c r="U1054" s="21">
        <v>8.5099999999999995E-2</v>
      </c>
      <c r="V1054" s="21">
        <v>0.95699999999999996</v>
      </c>
      <c r="W1054" s="21">
        <v>1223</v>
      </c>
      <c r="X1054" s="21">
        <v>1240</v>
      </c>
      <c r="Y1054" s="21">
        <v>2867</v>
      </c>
      <c r="Z1054" s="21">
        <v>0.1</v>
      </c>
      <c r="AA1054" s="21">
        <v>0.4</v>
      </c>
      <c r="AB1054" s="21">
        <v>7933</v>
      </c>
      <c r="AC1054" s="21">
        <v>7787</v>
      </c>
      <c r="AD1054" s="21">
        <v>8930</v>
      </c>
      <c r="AE1054" s="21">
        <v>471</v>
      </c>
      <c r="AF1054" s="21">
        <v>4.7399999999999998E-2</v>
      </c>
      <c r="AG1054" s="21">
        <v>2466</v>
      </c>
      <c r="AH1054" s="21">
        <v>0.24840000000000001</v>
      </c>
      <c r="AI1054" s="21">
        <v>7.0999999999999994E-2</v>
      </c>
      <c r="AJ1054" s="21">
        <v>0.4884</v>
      </c>
      <c r="AK1054" s="21">
        <v>1862</v>
      </c>
      <c r="AL1054" s="21">
        <v>0.2104</v>
      </c>
      <c r="AM1054" s="21">
        <v>714</v>
      </c>
      <c r="AN1054" s="21">
        <v>8.0699999999999994E-2</v>
      </c>
      <c r="AO1054" s="21">
        <v>0.40389999999999998</v>
      </c>
      <c r="AP1054" s="21">
        <v>485</v>
      </c>
      <c r="AQ1054" s="21">
        <v>461</v>
      </c>
      <c r="AR1054" s="21">
        <v>178</v>
      </c>
      <c r="AS1054" s="21">
        <v>280</v>
      </c>
      <c r="AT1054" s="21">
        <v>3</v>
      </c>
      <c r="AU1054" s="21">
        <v>17654</v>
      </c>
      <c r="AV1054" s="21">
        <v>4466</v>
      </c>
    </row>
    <row r="1055" spans="1:48" x14ac:dyDescent="0.15">
      <c r="A1055" s="20" t="s">
        <v>52</v>
      </c>
      <c r="B1055" s="20" t="s">
        <v>151</v>
      </c>
      <c r="C1055" s="21">
        <v>21362</v>
      </c>
      <c r="D1055" s="21">
        <v>991</v>
      </c>
      <c r="E1055" s="21">
        <v>0</v>
      </c>
      <c r="F1055" s="21">
        <v>22353</v>
      </c>
      <c r="G1055" s="21">
        <v>1062</v>
      </c>
      <c r="H1055" s="21">
        <v>8825</v>
      </c>
      <c r="I1055" s="21">
        <v>5988</v>
      </c>
      <c r="J1055" s="21">
        <v>5870</v>
      </c>
      <c r="K1055" s="21">
        <v>480</v>
      </c>
      <c r="L1055" s="21">
        <v>219</v>
      </c>
      <c r="M1055" s="21">
        <v>0.74890000000000001</v>
      </c>
      <c r="N1055" s="21">
        <v>0.71230000000000004</v>
      </c>
      <c r="O1055" s="21">
        <v>0.379</v>
      </c>
      <c r="P1055" s="21">
        <v>1177</v>
      </c>
      <c r="Q1055" s="21">
        <v>0.32969999999999999</v>
      </c>
      <c r="R1055" s="21">
        <v>104</v>
      </c>
      <c r="S1055" s="21">
        <v>19</v>
      </c>
      <c r="T1055" s="21">
        <v>6.4299999999999996E-2</v>
      </c>
      <c r="U1055" s="21">
        <v>4.02E-2</v>
      </c>
      <c r="V1055" s="21">
        <v>0.98050000000000004</v>
      </c>
      <c r="W1055" s="21">
        <v>479</v>
      </c>
      <c r="X1055" s="21">
        <v>243</v>
      </c>
      <c r="Y1055" s="21">
        <v>227</v>
      </c>
      <c r="Z1055" s="21">
        <v>0.5</v>
      </c>
      <c r="AA1055" s="21">
        <v>1.1000000000000001</v>
      </c>
      <c r="AB1055" s="21">
        <v>449</v>
      </c>
      <c r="AC1055" s="21">
        <v>449</v>
      </c>
      <c r="AD1055" s="21">
        <v>460</v>
      </c>
      <c r="AE1055" s="21">
        <v>38</v>
      </c>
      <c r="AF1055" s="21">
        <v>8.09E-2</v>
      </c>
      <c r="AG1055" s="21">
        <v>59</v>
      </c>
      <c r="AH1055" s="21">
        <v>0.1255</v>
      </c>
      <c r="AI1055" s="21">
        <v>0.66669999999999996</v>
      </c>
      <c r="AJ1055" s="21">
        <v>1</v>
      </c>
      <c r="AK1055" s="21">
        <v>121</v>
      </c>
      <c r="AL1055" s="21">
        <v>0.26329999999999998</v>
      </c>
      <c r="AM1055" s="21">
        <v>74</v>
      </c>
      <c r="AN1055" s="21">
        <v>0.161</v>
      </c>
      <c r="AO1055" s="21">
        <v>0.83130000000000004</v>
      </c>
      <c r="AP1055" s="21">
        <v>249</v>
      </c>
      <c r="AQ1055" s="21">
        <v>249</v>
      </c>
      <c r="AR1055" s="21">
        <v>230</v>
      </c>
      <c r="AS1055" s="21">
        <v>17</v>
      </c>
      <c r="AT1055" s="21">
        <v>1</v>
      </c>
      <c r="AU1055" s="21">
        <v>6303</v>
      </c>
      <c r="AV1055" s="21">
        <v>930</v>
      </c>
    </row>
    <row r="1056" spans="1:48" x14ac:dyDescent="0.15">
      <c r="A1056" s="20" t="s">
        <v>53</v>
      </c>
      <c r="B1056" s="20" t="s">
        <v>151</v>
      </c>
      <c r="C1056" s="21">
        <v>13603</v>
      </c>
      <c r="D1056" s="21">
        <v>711</v>
      </c>
      <c r="E1056" s="21">
        <v>0</v>
      </c>
      <c r="F1056" s="21">
        <v>14314</v>
      </c>
      <c r="H1056" s="21">
        <v>36</v>
      </c>
      <c r="I1056" s="21">
        <v>2867</v>
      </c>
      <c r="J1056" s="21">
        <v>10949</v>
      </c>
      <c r="K1056" s="21">
        <v>0</v>
      </c>
      <c r="L1056" s="21">
        <v>108</v>
      </c>
      <c r="M1056" s="21">
        <v>0.89090000000000003</v>
      </c>
      <c r="N1056" s="21">
        <v>0.89090000000000003</v>
      </c>
      <c r="O1056" s="21">
        <v>0.41820000000000002</v>
      </c>
      <c r="P1056" s="21">
        <v>2003</v>
      </c>
      <c r="Q1056" s="21">
        <v>8.14E-2</v>
      </c>
      <c r="R1056" s="21">
        <v>134</v>
      </c>
      <c r="S1056" s="21">
        <v>7</v>
      </c>
      <c r="T1056" s="21">
        <v>0.1487</v>
      </c>
      <c r="U1056" s="21">
        <v>3.85E-2</v>
      </c>
      <c r="V1056" s="21">
        <v>0.97489999999999999</v>
      </c>
      <c r="W1056" s="21">
        <v>574</v>
      </c>
      <c r="X1056" s="21">
        <v>533</v>
      </c>
      <c r="Y1056" s="21">
        <v>1063</v>
      </c>
      <c r="Z1056" s="21">
        <v>0.1</v>
      </c>
      <c r="AA1056" s="21">
        <v>0.5</v>
      </c>
      <c r="AB1056" s="21">
        <v>3970</v>
      </c>
      <c r="AC1056" s="21">
        <v>3816</v>
      </c>
      <c r="AD1056" s="21">
        <v>4152</v>
      </c>
      <c r="AE1056" s="21">
        <v>352</v>
      </c>
      <c r="AF1056" s="21">
        <v>8.1199999999999994E-2</v>
      </c>
      <c r="AG1056" s="21">
        <v>715</v>
      </c>
      <c r="AH1056" s="21">
        <v>0.16500000000000001</v>
      </c>
      <c r="AI1056" s="21">
        <v>0.10780000000000001</v>
      </c>
      <c r="AJ1056" s="21">
        <v>0.84660000000000002</v>
      </c>
      <c r="AK1056" s="21">
        <v>608</v>
      </c>
      <c r="AL1056" s="21">
        <v>0.1492</v>
      </c>
      <c r="AM1056" s="21">
        <v>307</v>
      </c>
      <c r="AN1056" s="21">
        <v>7.5300000000000006E-2</v>
      </c>
      <c r="AO1056" s="21">
        <v>0.45050000000000001</v>
      </c>
      <c r="AP1056" s="21">
        <v>248</v>
      </c>
      <c r="AQ1056" s="21">
        <v>248</v>
      </c>
      <c r="AR1056" s="21">
        <v>151</v>
      </c>
      <c r="AS1056" s="21">
        <v>93</v>
      </c>
      <c r="AT1056" s="21">
        <v>4</v>
      </c>
      <c r="AU1056" s="21">
        <v>2139</v>
      </c>
      <c r="AV1056" s="21">
        <v>532</v>
      </c>
    </row>
    <row r="1057" spans="1:48" x14ac:dyDescent="0.15">
      <c r="A1057" s="20" t="s">
        <v>0</v>
      </c>
      <c r="B1057" s="20" t="s">
        <v>151</v>
      </c>
      <c r="C1057" s="21">
        <v>158725</v>
      </c>
      <c r="D1057" s="21">
        <v>22627</v>
      </c>
      <c r="E1057" s="21">
        <v>0</v>
      </c>
      <c r="F1057" s="21">
        <v>181352</v>
      </c>
      <c r="G1057" s="21">
        <v>9834</v>
      </c>
      <c r="H1057" s="21">
        <v>59711</v>
      </c>
      <c r="I1057" s="21">
        <v>24627</v>
      </c>
      <c r="J1057" s="21">
        <v>49630</v>
      </c>
      <c r="K1057" s="21">
        <v>31851</v>
      </c>
      <c r="L1057" s="21">
        <v>2494</v>
      </c>
      <c r="M1057" s="21">
        <v>0.73140000000000005</v>
      </c>
      <c r="N1057" s="21">
        <v>0.62890000000000001</v>
      </c>
      <c r="O1057" s="21">
        <v>0.56089999999999995</v>
      </c>
      <c r="P1057" s="21">
        <v>16989</v>
      </c>
      <c r="Q1057" s="21">
        <v>0.26790000000000003</v>
      </c>
      <c r="R1057" s="21">
        <v>72</v>
      </c>
      <c r="S1057" s="21">
        <v>11</v>
      </c>
      <c r="T1057" s="21">
        <v>0.1085</v>
      </c>
      <c r="U1057" s="21">
        <v>4.7600000000000003E-2</v>
      </c>
      <c r="V1057" s="21">
        <v>0.96779999999999999</v>
      </c>
      <c r="W1057" s="21">
        <v>4278</v>
      </c>
      <c r="X1057" s="21">
        <v>3588</v>
      </c>
      <c r="Y1057" s="21">
        <v>6756</v>
      </c>
      <c r="Z1057" s="21">
        <v>0.2</v>
      </c>
      <c r="AA1057" s="21">
        <v>0.5</v>
      </c>
      <c r="AB1057" s="21">
        <v>19454</v>
      </c>
      <c r="AC1057" s="21">
        <v>19114</v>
      </c>
      <c r="AD1057" s="21">
        <v>20925</v>
      </c>
      <c r="AE1057" s="21">
        <v>1320</v>
      </c>
      <c r="AF1057" s="21">
        <v>5.8900000000000001E-2</v>
      </c>
      <c r="AG1057" s="21">
        <v>4262</v>
      </c>
      <c r="AH1057" s="21">
        <v>0.1903</v>
      </c>
      <c r="AI1057" s="21">
        <v>9.3299999999999994E-2</v>
      </c>
      <c r="AJ1057" s="21">
        <v>0.59760000000000002</v>
      </c>
      <c r="AK1057" s="21">
        <v>4064</v>
      </c>
      <c r="AL1057" s="21">
        <v>0.19589999999999999</v>
      </c>
      <c r="AM1057" s="21">
        <v>1776</v>
      </c>
      <c r="AN1057" s="21">
        <v>8.5599999999999996E-2</v>
      </c>
      <c r="AO1057" s="21">
        <v>0.54320000000000002</v>
      </c>
      <c r="AP1057" s="21">
        <v>2383</v>
      </c>
      <c r="AQ1057" s="21">
        <v>2232</v>
      </c>
      <c r="AR1057" s="21">
        <v>1204</v>
      </c>
      <c r="AS1057" s="21">
        <v>805</v>
      </c>
      <c r="AT1057" s="21">
        <v>222</v>
      </c>
      <c r="AU1057" s="21">
        <v>69760</v>
      </c>
      <c r="AV1057" s="21">
        <v>12193</v>
      </c>
    </row>
    <row r="1058" spans="1:48" x14ac:dyDescent="0.15">
      <c r="A1058" s="20" t="s">
        <v>54</v>
      </c>
      <c r="B1058" s="20" t="s">
        <v>151</v>
      </c>
      <c r="C1058" s="21">
        <v>3988</v>
      </c>
      <c r="D1058" s="21">
        <v>989</v>
      </c>
      <c r="E1058" s="21">
        <v>0</v>
      </c>
      <c r="F1058" s="21">
        <v>4977</v>
      </c>
      <c r="G1058" s="21">
        <v>671</v>
      </c>
      <c r="H1058" s="21">
        <v>1883</v>
      </c>
      <c r="I1058" s="21">
        <v>1144</v>
      </c>
      <c r="J1058" s="21">
        <v>1316</v>
      </c>
      <c r="K1058" s="21">
        <v>24</v>
      </c>
      <c r="L1058" s="21">
        <v>195</v>
      </c>
      <c r="M1058" s="21">
        <v>0.69569999999999999</v>
      </c>
      <c r="N1058" s="21">
        <v>0.40579999999999999</v>
      </c>
      <c r="O1058" s="21">
        <v>0.62319999999999998</v>
      </c>
      <c r="P1058" s="21">
        <v>517</v>
      </c>
      <c r="Q1058" s="21">
        <v>0.55130000000000001</v>
      </c>
      <c r="R1058" s="21">
        <v>26</v>
      </c>
      <c r="S1058" s="21">
        <v>10</v>
      </c>
      <c r="T1058" s="21">
        <v>0.14299999999999999</v>
      </c>
      <c r="U1058" s="21">
        <v>2.2100000000000002E-2</v>
      </c>
      <c r="V1058" s="21">
        <v>0.98089999999999999</v>
      </c>
      <c r="W1058" s="21">
        <v>364</v>
      </c>
      <c r="X1058" s="21">
        <v>277</v>
      </c>
      <c r="Y1058" s="21">
        <v>412</v>
      </c>
      <c r="Z1058" s="21">
        <v>0.3</v>
      </c>
      <c r="AA1058" s="21">
        <v>0.7</v>
      </c>
      <c r="AB1058" s="21">
        <v>952</v>
      </c>
      <c r="AC1058" s="21">
        <v>952</v>
      </c>
      <c r="AD1058" s="21">
        <v>960</v>
      </c>
      <c r="AE1058" s="21">
        <v>65</v>
      </c>
      <c r="AF1058" s="21">
        <v>6.7100000000000007E-2</v>
      </c>
      <c r="AG1058" s="21">
        <v>82</v>
      </c>
      <c r="AH1058" s="21">
        <v>8.4599999999999995E-2</v>
      </c>
      <c r="AI1058" s="21">
        <v>0.1389</v>
      </c>
      <c r="AJ1058" s="21">
        <v>0.45779999999999998</v>
      </c>
      <c r="AK1058" s="21">
        <v>263</v>
      </c>
      <c r="AL1058" s="21">
        <v>0.27379999999999999</v>
      </c>
      <c r="AM1058" s="21">
        <v>166</v>
      </c>
      <c r="AN1058" s="21">
        <v>0.17280000000000001</v>
      </c>
      <c r="AO1058" s="21">
        <v>0.80689999999999995</v>
      </c>
      <c r="AP1058" s="21">
        <v>213</v>
      </c>
      <c r="AQ1058" s="21">
        <v>213</v>
      </c>
      <c r="AR1058" s="21">
        <v>176</v>
      </c>
      <c r="AS1058" s="21">
        <v>36</v>
      </c>
      <c r="AT1058" s="21">
        <v>0</v>
      </c>
      <c r="AU1058" s="21">
        <v>6712</v>
      </c>
      <c r="AV1058" s="21">
        <v>1114</v>
      </c>
    </row>
    <row r="1059" spans="1:48" x14ac:dyDescent="0.15">
      <c r="A1059" s="20" t="s">
        <v>55</v>
      </c>
      <c r="B1059" s="20" t="s">
        <v>151</v>
      </c>
      <c r="C1059" s="21">
        <v>912</v>
      </c>
      <c r="D1059" s="21">
        <v>110</v>
      </c>
      <c r="E1059" s="21">
        <v>0</v>
      </c>
      <c r="F1059" s="21">
        <v>1022</v>
      </c>
      <c r="G1059" s="21">
        <v>257</v>
      </c>
      <c r="H1059" s="21">
        <v>170</v>
      </c>
      <c r="I1059" s="21">
        <v>413</v>
      </c>
      <c r="J1059" s="21">
        <v>103</v>
      </c>
      <c r="K1059" s="21">
        <v>39</v>
      </c>
      <c r="L1059" s="21">
        <v>98</v>
      </c>
      <c r="M1059" s="21">
        <v>0.52</v>
      </c>
      <c r="N1059" s="21">
        <v>0.27</v>
      </c>
      <c r="O1059" s="21">
        <v>0.37</v>
      </c>
      <c r="P1059" s="21">
        <v>1318</v>
      </c>
      <c r="Q1059" s="21">
        <v>6.0699999999999997E-2</v>
      </c>
      <c r="R1059" s="21">
        <v>11</v>
      </c>
      <c r="S1059" s="21">
        <v>1</v>
      </c>
      <c r="T1059" s="21">
        <v>0.2545</v>
      </c>
      <c r="U1059" s="21">
        <v>6.8999999999999999E-3</v>
      </c>
      <c r="V1059" s="21">
        <v>0.99029999999999996</v>
      </c>
      <c r="W1059" s="21">
        <v>63</v>
      </c>
      <c r="X1059" s="21">
        <v>63</v>
      </c>
      <c r="Y1059" s="21">
        <v>141</v>
      </c>
      <c r="Z1059" s="21">
        <v>0.2</v>
      </c>
      <c r="AA1059" s="21">
        <v>0.4</v>
      </c>
      <c r="AB1059" s="21">
        <v>315</v>
      </c>
      <c r="AC1059" s="21">
        <v>315</v>
      </c>
      <c r="AD1059" s="21">
        <v>349</v>
      </c>
      <c r="AE1059" s="21">
        <v>26</v>
      </c>
      <c r="AF1059" s="21">
        <v>6.7900000000000002E-2</v>
      </c>
      <c r="AG1059" s="21">
        <v>94</v>
      </c>
      <c r="AH1059" s="21">
        <v>0.24540000000000001</v>
      </c>
      <c r="AI1059" s="21">
        <v>0</v>
      </c>
      <c r="AJ1059" s="21">
        <v>0.57140000000000002</v>
      </c>
      <c r="AK1059" s="21">
        <v>79</v>
      </c>
      <c r="AL1059" s="21">
        <v>0.22639999999999999</v>
      </c>
      <c r="AM1059" s="21">
        <v>37</v>
      </c>
      <c r="AN1059" s="21">
        <v>0.106</v>
      </c>
      <c r="AO1059" s="21">
        <v>0.68200000000000005</v>
      </c>
      <c r="AP1059" s="21">
        <v>52</v>
      </c>
      <c r="AQ1059" s="21">
        <v>52</v>
      </c>
      <c r="AR1059" s="21">
        <v>20</v>
      </c>
      <c r="AS1059" s="21">
        <v>4</v>
      </c>
      <c r="AT1059" s="21">
        <v>28</v>
      </c>
      <c r="AU1059" s="21">
        <v>588</v>
      </c>
      <c r="AV1059" s="21">
        <v>103</v>
      </c>
    </row>
    <row r="1060" spans="1:48" x14ac:dyDescent="0.15">
      <c r="A1060" s="20" t="s">
        <v>56</v>
      </c>
      <c r="B1060" s="20" t="s">
        <v>151</v>
      </c>
      <c r="C1060" s="21">
        <v>372</v>
      </c>
      <c r="D1060" s="21">
        <v>22</v>
      </c>
      <c r="E1060" s="21">
        <v>0</v>
      </c>
      <c r="F1060" s="21">
        <v>394</v>
      </c>
      <c r="G1060" s="21">
        <v>0</v>
      </c>
      <c r="H1060" s="21">
        <v>6</v>
      </c>
      <c r="I1060" s="21">
        <v>0</v>
      </c>
      <c r="J1060" s="21">
        <v>217</v>
      </c>
      <c r="K1060" s="21">
        <v>163</v>
      </c>
      <c r="L1060" s="21">
        <v>56</v>
      </c>
      <c r="M1060" s="21">
        <v>0.29849999999999999</v>
      </c>
      <c r="N1060" s="21">
        <v>0.17910000000000001</v>
      </c>
      <c r="O1060" s="21">
        <v>0.16420000000000001</v>
      </c>
      <c r="P1060" s="21">
        <v>2048</v>
      </c>
      <c r="Q1060" s="21">
        <v>1.12E-2</v>
      </c>
      <c r="R1060" s="21">
        <v>6</v>
      </c>
      <c r="S1060" s="21">
        <v>0</v>
      </c>
      <c r="T1060" s="21">
        <v>0.14019999999999999</v>
      </c>
      <c r="U1060" s="21">
        <v>4.1799999999999997E-2</v>
      </c>
      <c r="V1060" s="21">
        <v>0.84240000000000004</v>
      </c>
      <c r="W1060" s="21">
        <v>178</v>
      </c>
      <c r="X1060" s="21">
        <v>131</v>
      </c>
      <c r="Y1060" s="21">
        <v>195</v>
      </c>
      <c r="Z1060" s="21">
        <v>0.7</v>
      </c>
      <c r="AA1060" s="21">
        <v>0.7</v>
      </c>
      <c r="AB1060" s="21">
        <v>203</v>
      </c>
      <c r="AC1060" s="21">
        <v>203</v>
      </c>
      <c r="AD1060" s="21">
        <v>198</v>
      </c>
      <c r="AE1060" s="21">
        <v>17</v>
      </c>
      <c r="AF1060" s="21">
        <v>8.8499999999999995E-2</v>
      </c>
      <c r="AG1060" s="21">
        <v>6</v>
      </c>
      <c r="AH1060" s="21">
        <v>3.1199999999999999E-2</v>
      </c>
      <c r="AI1060" s="21">
        <v>1</v>
      </c>
      <c r="AJ1060" s="21">
        <v>0.66669999999999996</v>
      </c>
      <c r="AK1060" s="21">
        <v>83</v>
      </c>
      <c r="AL1060" s="21">
        <v>0.42030000000000001</v>
      </c>
      <c r="AM1060" s="21">
        <v>50</v>
      </c>
      <c r="AN1060" s="21">
        <v>0.25319999999999998</v>
      </c>
      <c r="AO1060" s="21">
        <v>0.88119999999999998</v>
      </c>
      <c r="AP1060" s="21">
        <v>411</v>
      </c>
      <c r="AQ1060" s="21">
        <v>402</v>
      </c>
      <c r="AR1060" s="21">
        <v>161</v>
      </c>
      <c r="AS1060" s="21">
        <v>157</v>
      </c>
      <c r="AT1060" s="21">
        <v>84</v>
      </c>
      <c r="AU1060" s="21">
        <v>3303</v>
      </c>
      <c r="AV1060" s="21">
        <v>496</v>
      </c>
    </row>
    <row r="1061" spans="1:48" x14ac:dyDescent="0.15">
      <c r="A1061" s="20" t="s">
        <v>57</v>
      </c>
      <c r="B1061" s="20" t="s">
        <v>151</v>
      </c>
      <c r="C1061" s="21">
        <v>8890</v>
      </c>
      <c r="D1061" s="21">
        <v>412</v>
      </c>
      <c r="E1061" s="21">
        <v>0</v>
      </c>
      <c r="F1061" s="21">
        <v>9302</v>
      </c>
      <c r="G1061" s="21">
        <v>253</v>
      </c>
      <c r="H1061" s="21">
        <v>636</v>
      </c>
      <c r="I1061" s="21">
        <v>911</v>
      </c>
      <c r="J1061" s="21">
        <v>7748</v>
      </c>
      <c r="K1061" s="21">
        <v>34</v>
      </c>
      <c r="L1061" s="21">
        <v>167</v>
      </c>
      <c r="M1061" s="21">
        <v>0.49099999999999999</v>
      </c>
      <c r="N1061" s="21">
        <v>0.41920000000000002</v>
      </c>
      <c r="O1061" s="21">
        <v>0.15570000000000001</v>
      </c>
      <c r="P1061" s="21">
        <v>692</v>
      </c>
      <c r="Q1061" s="21">
        <v>0.16619999999999999</v>
      </c>
      <c r="R1061" s="21">
        <v>53</v>
      </c>
      <c r="S1061" s="21">
        <v>13</v>
      </c>
      <c r="T1061" s="21">
        <v>6.1400000000000003E-2</v>
      </c>
      <c r="U1061" s="21">
        <v>2.9899999999999999E-2</v>
      </c>
      <c r="V1061" s="21">
        <v>0.97850000000000004</v>
      </c>
      <c r="W1061" s="21">
        <v>186</v>
      </c>
      <c r="X1061" s="21">
        <v>190</v>
      </c>
      <c r="Y1061" s="21">
        <v>289</v>
      </c>
      <c r="Z1061" s="21">
        <v>0.2</v>
      </c>
      <c r="AA1061" s="21">
        <v>0.7</v>
      </c>
      <c r="AB1061" s="21">
        <v>738</v>
      </c>
      <c r="AC1061" s="21">
        <v>738</v>
      </c>
      <c r="AD1061" s="21">
        <v>764</v>
      </c>
      <c r="AE1061" s="21">
        <v>36</v>
      </c>
      <c r="AF1061" s="21">
        <v>4.5600000000000002E-2</v>
      </c>
      <c r="AG1061" s="21">
        <v>87</v>
      </c>
      <c r="AH1061" s="21">
        <v>0.1103</v>
      </c>
      <c r="AI1061" s="21">
        <v>2.5000000000000001E-2</v>
      </c>
      <c r="AJ1061" s="21">
        <v>0.52</v>
      </c>
      <c r="AK1061" s="21">
        <v>174</v>
      </c>
      <c r="AL1061" s="21">
        <v>0.22789999999999999</v>
      </c>
      <c r="AM1061" s="21">
        <v>49</v>
      </c>
      <c r="AN1061" s="21">
        <v>6.4199999999999993E-2</v>
      </c>
      <c r="AO1061" s="21">
        <v>0.68520000000000003</v>
      </c>
      <c r="AP1061" s="21">
        <v>372</v>
      </c>
      <c r="AQ1061" s="21">
        <v>252</v>
      </c>
      <c r="AR1061" s="21">
        <v>50</v>
      </c>
      <c r="AS1061" s="21">
        <v>105</v>
      </c>
      <c r="AT1061" s="21">
        <v>98</v>
      </c>
      <c r="AU1061" s="21">
        <v>5675</v>
      </c>
      <c r="AV1061" s="21">
        <v>655</v>
      </c>
    </row>
    <row r="1062" spans="1:48" x14ac:dyDescent="0.15">
      <c r="A1062" s="20" t="s">
        <v>58</v>
      </c>
      <c r="B1062" s="20" t="s">
        <v>151</v>
      </c>
      <c r="C1062" s="21">
        <v>21439</v>
      </c>
      <c r="D1062" s="21">
        <v>3866</v>
      </c>
      <c r="E1062" s="21">
        <v>0</v>
      </c>
      <c r="F1062" s="21">
        <v>25306</v>
      </c>
      <c r="G1062" s="21">
        <v>2427</v>
      </c>
      <c r="H1062" s="21">
        <v>12673</v>
      </c>
      <c r="J1062" s="21">
        <v>3408</v>
      </c>
      <c r="K1062" s="21">
        <v>6725</v>
      </c>
      <c r="L1062" s="21">
        <v>394</v>
      </c>
      <c r="M1062" s="21">
        <v>0.80959999999999999</v>
      </c>
      <c r="N1062" s="21">
        <v>0.72529999999999994</v>
      </c>
      <c r="O1062" s="21">
        <v>0.69640000000000002</v>
      </c>
      <c r="P1062" s="21">
        <v>2569</v>
      </c>
      <c r="Q1062" s="21">
        <v>0.35460000000000003</v>
      </c>
      <c r="R1062" s="21">
        <v>63</v>
      </c>
      <c r="S1062" s="21">
        <v>10</v>
      </c>
      <c r="T1062" s="21">
        <v>0.1812</v>
      </c>
      <c r="U1062" s="21">
        <v>7.7600000000000002E-2</v>
      </c>
      <c r="V1062" s="21">
        <v>0.95509999999999995</v>
      </c>
      <c r="W1062" s="21">
        <v>702</v>
      </c>
      <c r="X1062" s="21">
        <v>589</v>
      </c>
      <c r="Y1062" s="21">
        <v>1056</v>
      </c>
      <c r="Z1062" s="21">
        <v>0.2</v>
      </c>
      <c r="AA1062" s="21">
        <v>0.6</v>
      </c>
      <c r="AB1062" s="21">
        <v>3209</v>
      </c>
      <c r="AC1062" s="21">
        <v>3209</v>
      </c>
      <c r="AD1062" s="21">
        <v>3408</v>
      </c>
      <c r="AE1062" s="21">
        <v>213</v>
      </c>
      <c r="AF1062" s="21">
        <v>5.8999999999999997E-2</v>
      </c>
      <c r="AG1062" s="21">
        <v>612</v>
      </c>
      <c r="AH1062" s="21">
        <v>0.1696</v>
      </c>
      <c r="AI1062" s="21">
        <v>0.1358</v>
      </c>
      <c r="AJ1062" s="21">
        <v>0.75509999999999999</v>
      </c>
      <c r="AK1062" s="21">
        <v>565</v>
      </c>
      <c r="AL1062" s="21">
        <v>0.1658</v>
      </c>
      <c r="AM1062" s="21">
        <v>281</v>
      </c>
      <c r="AN1062" s="21">
        <v>8.2400000000000001E-2</v>
      </c>
      <c r="AO1062" s="21">
        <v>0.69340000000000002</v>
      </c>
      <c r="AP1062" s="21">
        <v>86</v>
      </c>
      <c r="AQ1062" s="21">
        <v>86</v>
      </c>
      <c r="AR1062" s="21">
        <v>57</v>
      </c>
      <c r="AS1062" s="21">
        <v>28</v>
      </c>
      <c r="AT1062" s="21">
        <v>1</v>
      </c>
      <c r="AU1062" s="21">
        <v>4728</v>
      </c>
      <c r="AV1062" s="21">
        <v>2184</v>
      </c>
    </row>
    <row r="1063" spans="1:48" x14ac:dyDescent="0.15">
      <c r="A1063" s="20" t="s">
        <v>59</v>
      </c>
      <c r="B1063" s="20" t="s">
        <v>151</v>
      </c>
      <c r="C1063" s="21">
        <v>5683</v>
      </c>
      <c r="D1063" s="21">
        <v>96</v>
      </c>
      <c r="E1063" s="21">
        <v>0</v>
      </c>
      <c r="F1063" s="21">
        <v>5779</v>
      </c>
      <c r="G1063" s="21">
        <v>3324</v>
      </c>
      <c r="H1063" s="21">
        <v>1180</v>
      </c>
      <c r="I1063" s="21">
        <v>406</v>
      </c>
      <c r="J1063" s="21">
        <v>841</v>
      </c>
      <c r="K1063" s="21">
        <v>0</v>
      </c>
      <c r="L1063" s="21">
        <v>66</v>
      </c>
      <c r="M1063" s="21">
        <v>0.56720000000000004</v>
      </c>
      <c r="N1063" s="21">
        <v>0.50749999999999995</v>
      </c>
      <c r="O1063" s="21">
        <v>0.34329999999999999</v>
      </c>
      <c r="P1063" s="21">
        <v>1152</v>
      </c>
      <c r="Q1063" s="21">
        <v>6.5100000000000005E-2</v>
      </c>
      <c r="R1063" s="21">
        <v>88</v>
      </c>
      <c r="S1063" s="21">
        <v>5</v>
      </c>
      <c r="T1063" s="21">
        <v>6.6299999999999998E-2</v>
      </c>
      <c r="U1063" s="21">
        <v>7.9699999999999993E-2</v>
      </c>
      <c r="V1063" s="21">
        <v>0.98019999999999996</v>
      </c>
      <c r="W1063" s="21">
        <v>12</v>
      </c>
      <c r="X1063" s="21">
        <v>10</v>
      </c>
      <c r="Y1063" s="21">
        <v>21</v>
      </c>
      <c r="Z1063" s="21">
        <v>0.1</v>
      </c>
      <c r="AA1063" s="21">
        <v>0.5</v>
      </c>
      <c r="AB1063" s="21">
        <v>120</v>
      </c>
      <c r="AC1063" s="21">
        <v>120</v>
      </c>
      <c r="AD1063" s="21">
        <v>125</v>
      </c>
      <c r="AE1063" s="21">
        <v>5</v>
      </c>
      <c r="AF1063" s="21">
        <v>3.85E-2</v>
      </c>
      <c r="AG1063" s="21">
        <v>15</v>
      </c>
      <c r="AH1063" s="21">
        <v>0.1154</v>
      </c>
      <c r="AI1063" s="21">
        <v>0</v>
      </c>
      <c r="AJ1063" s="21">
        <v>0.71430000000000005</v>
      </c>
      <c r="AK1063" s="21">
        <v>15</v>
      </c>
      <c r="AL1063" s="21">
        <v>0.12</v>
      </c>
      <c r="AM1063" s="21">
        <v>3</v>
      </c>
      <c r="AN1063" s="21">
        <v>2.4E-2</v>
      </c>
      <c r="AO1063" s="21">
        <v>0.65139999999999998</v>
      </c>
      <c r="AP1063" s="21">
        <v>114</v>
      </c>
      <c r="AQ1063" s="21">
        <v>114</v>
      </c>
      <c r="AR1063" s="21">
        <v>93</v>
      </c>
      <c r="AS1063" s="21">
        <v>21</v>
      </c>
      <c r="AT1063" s="21">
        <v>0</v>
      </c>
      <c r="AU1063" s="21">
        <v>3519</v>
      </c>
      <c r="AV1063" s="21">
        <v>122</v>
      </c>
    </row>
    <row r="1064" spans="1:48" x14ac:dyDescent="0.15">
      <c r="A1064" s="20" t="s">
        <v>60</v>
      </c>
      <c r="B1064" s="20" t="s">
        <v>151</v>
      </c>
      <c r="C1064" s="21">
        <v>4188</v>
      </c>
      <c r="D1064" s="21">
        <v>385</v>
      </c>
      <c r="E1064" s="21">
        <v>0</v>
      </c>
      <c r="F1064" s="21">
        <v>4573</v>
      </c>
      <c r="G1064" s="21">
        <v>19</v>
      </c>
      <c r="H1064" s="21">
        <v>1290</v>
      </c>
      <c r="I1064" s="21">
        <v>2531</v>
      </c>
      <c r="J1064" s="21">
        <v>225</v>
      </c>
      <c r="K1064" s="21">
        <v>193</v>
      </c>
      <c r="L1064" s="21">
        <v>83</v>
      </c>
      <c r="M1064" s="21">
        <v>0.67030000000000001</v>
      </c>
      <c r="N1064" s="21">
        <v>0.63739999999999997</v>
      </c>
      <c r="O1064" s="21">
        <v>0.31869999999999998</v>
      </c>
      <c r="P1064" s="21">
        <v>463</v>
      </c>
      <c r="Q1064" s="21">
        <v>0.2505</v>
      </c>
      <c r="R1064" s="21">
        <v>53</v>
      </c>
      <c r="S1064" s="21">
        <v>10</v>
      </c>
      <c r="T1064" s="21">
        <v>4.2700000000000002E-2</v>
      </c>
      <c r="U1064" s="21">
        <v>3.32E-2</v>
      </c>
      <c r="V1064" s="21">
        <v>0.9839</v>
      </c>
      <c r="W1064" s="21">
        <v>424</v>
      </c>
      <c r="X1064" s="21">
        <v>243</v>
      </c>
      <c r="Y1064" s="21">
        <v>317</v>
      </c>
      <c r="Z1064" s="21">
        <v>0.2</v>
      </c>
      <c r="AA1064" s="21">
        <v>0.8</v>
      </c>
      <c r="AB1064" s="21">
        <v>1005</v>
      </c>
      <c r="AC1064" s="21">
        <v>973</v>
      </c>
      <c r="AD1064" s="21">
        <v>1008</v>
      </c>
      <c r="AE1064" s="21">
        <v>64</v>
      </c>
      <c r="AF1064" s="21">
        <v>6.3399999999999998E-2</v>
      </c>
      <c r="AG1064" s="21">
        <v>69</v>
      </c>
      <c r="AH1064" s="21">
        <v>6.83E-2</v>
      </c>
      <c r="AI1064" s="21">
        <v>0.1154</v>
      </c>
      <c r="AJ1064" s="21">
        <v>0.68540000000000001</v>
      </c>
      <c r="AK1064" s="21">
        <v>185</v>
      </c>
      <c r="AL1064" s="21">
        <v>0.18659999999999999</v>
      </c>
      <c r="AM1064" s="21">
        <v>62</v>
      </c>
      <c r="AN1064" s="21">
        <v>6.25E-2</v>
      </c>
      <c r="AO1064" s="21">
        <v>0.74180000000000001</v>
      </c>
      <c r="AP1064" s="21">
        <v>24</v>
      </c>
      <c r="AQ1064" s="21">
        <v>24</v>
      </c>
      <c r="AR1064" s="21">
        <v>10</v>
      </c>
      <c r="AS1064" s="21">
        <v>14</v>
      </c>
      <c r="AT1064" s="21">
        <v>0</v>
      </c>
      <c r="AU1064" s="21">
        <v>4768</v>
      </c>
      <c r="AV1064" s="21">
        <v>723</v>
      </c>
    </row>
    <row r="1065" spans="1:48" x14ac:dyDescent="0.15">
      <c r="A1065" s="20" t="s">
        <v>61</v>
      </c>
      <c r="B1065" s="20" t="s">
        <v>151</v>
      </c>
      <c r="C1065" s="21">
        <v>5889</v>
      </c>
      <c r="D1065" s="21">
        <v>232</v>
      </c>
      <c r="E1065" s="21">
        <v>0</v>
      </c>
      <c r="F1065" s="21">
        <v>6121</v>
      </c>
      <c r="G1065" s="21">
        <v>505</v>
      </c>
      <c r="H1065" s="21">
        <v>1648</v>
      </c>
      <c r="I1065" s="21">
        <v>1350</v>
      </c>
      <c r="J1065" s="21">
        <v>2396</v>
      </c>
      <c r="K1065" s="21">
        <v>209</v>
      </c>
      <c r="L1065" s="21">
        <v>66</v>
      </c>
      <c r="M1065" s="21">
        <v>0.78790000000000004</v>
      </c>
      <c r="N1065" s="21">
        <v>0.78790000000000004</v>
      </c>
      <c r="O1065" s="21">
        <v>0.43940000000000001</v>
      </c>
      <c r="P1065" s="21">
        <v>230</v>
      </c>
      <c r="Q1065" s="21">
        <v>0.42609999999999998</v>
      </c>
      <c r="R1065" s="21">
        <v>93</v>
      </c>
      <c r="S1065" s="21">
        <v>27</v>
      </c>
      <c r="T1065" s="21">
        <v>7.8899999999999998E-2</v>
      </c>
      <c r="U1065" s="21">
        <v>3.6200000000000003E-2</v>
      </c>
      <c r="V1065" s="21">
        <v>0.9849</v>
      </c>
      <c r="W1065" s="21">
        <v>24</v>
      </c>
      <c r="X1065" s="21">
        <v>20</v>
      </c>
      <c r="Y1065" s="21">
        <v>40</v>
      </c>
      <c r="Z1065" s="21">
        <v>0.1</v>
      </c>
      <c r="AA1065" s="21">
        <v>0.5</v>
      </c>
      <c r="AB1065" s="21">
        <v>145</v>
      </c>
      <c r="AC1065" s="21">
        <v>145</v>
      </c>
      <c r="AD1065" s="21">
        <v>144</v>
      </c>
      <c r="AE1065" s="21">
        <v>15</v>
      </c>
      <c r="AF1065" s="21">
        <v>0.10489999999999999</v>
      </c>
      <c r="AG1065" s="21">
        <v>13</v>
      </c>
      <c r="AH1065" s="21">
        <v>9.0899999999999995E-2</v>
      </c>
      <c r="AI1065" s="21">
        <v>0</v>
      </c>
      <c r="AJ1065" s="21">
        <v>0.5</v>
      </c>
      <c r="AK1065" s="21">
        <v>28</v>
      </c>
      <c r="AL1065" s="21">
        <v>0.19439999999999999</v>
      </c>
      <c r="AM1065" s="21">
        <v>11</v>
      </c>
      <c r="AN1065" s="21">
        <v>7.6399999999999996E-2</v>
      </c>
      <c r="AO1065" s="21">
        <v>0.59830000000000005</v>
      </c>
      <c r="AP1065" s="21">
        <v>22</v>
      </c>
      <c r="AQ1065" s="21">
        <v>22</v>
      </c>
      <c r="AR1065" s="21">
        <v>6</v>
      </c>
      <c r="AS1065" s="21">
        <v>16</v>
      </c>
      <c r="AT1065" s="21">
        <v>0</v>
      </c>
      <c r="AU1065" s="21">
        <v>3684</v>
      </c>
      <c r="AV1065" s="21">
        <v>256</v>
      </c>
    </row>
    <row r="1066" spans="1:48" x14ac:dyDescent="0.15">
      <c r="A1066" s="20" t="s">
        <v>48</v>
      </c>
      <c r="B1066" s="20" t="s">
        <v>178</v>
      </c>
      <c r="C1066" s="21">
        <v>7226</v>
      </c>
      <c r="D1066" s="21">
        <v>188</v>
      </c>
      <c r="E1066" s="21">
        <v>0</v>
      </c>
      <c r="F1066" s="21">
        <v>7414</v>
      </c>
      <c r="G1066" s="21">
        <v>284</v>
      </c>
      <c r="H1066" s="21">
        <v>2514</v>
      </c>
      <c r="I1066" s="21">
        <v>1210</v>
      </c>
      <c r="J1066" s="21">
        <v>3283</v>
      </c>
      <c r="K1066" s="21">
        <v>72</v>
      </c>
      <c r="L1066" s="21">
        <v>90</v>
      </c>
      <c r="M1066" s="21">
        <v>0.60419999999999996</v>
      </c>
      <c r="N1066" s="21">
        <v>0.42709999999999998</v>
      </c>
      <c r="O1066" s="21">
        <v>0.26040000000000002</v>
      </c>
      <c r="P1066" s="21">
        <v>1003</v>
      </c>
      <c r="Q1066" s="21">
        <v>0.1137</v>
      </c>
      <c r="R1066" s="21">
        <v>81</v>
      </c>
      <c r="S1066" s="21">
        <v>7</v>
      </c>
      <c r="T1066" s="21">
        <v>2.6499999999999999E-2</v>
      </c>
      <c r="U1066" s="21">
        <v>4.24E-2</v>
      </c>
      <c r="V1066" s="21">
        <v>0.98370000000000002</v>
      </c>
      <c r="W1066" s="21">
        <v>8</v>
      </c>
      <c r="X1066" s="21">
        <v>9</v>
      </c>
      <c r="Y1066" s="21">
        <v>22</v>
      </c>
      <c r="Z1066" s="21">
        <v>0</v>
      </c>
      <c r="AA1066" s="21">
        <v>0.4</v>
      </c>
      <c r="AB1066" s="21">
        <v>265</v>
      </c>
      <c r="AC1066" s="21">
        <v>221</v>
      </c>
      <c r="AD1066" s="21">
        <v>266</v>
      </c>
      <c r="AE1066" s="21">
        <v>52</v>
      </c>
      <c r="AF1066" s="21">
        <v>0.1948</v>
      </c>
      <c r="AG1066" s="21">
        <v>54</v>
      </c>
      <c r="AH1066" s="21">
        <v>0.20219999999999999</v>
      </c>
      <c r="AI1066" s="21">
        <v>0.2</v>
      </c>
      <c r="AJ1066" s="21">
        <v>0</v>
      </c>
      <c r="AK1066" s="21">
        <v>21</v>
      </c>
      <c r="AL1066" s="21">
        <v>8.6099999999999996E-2</v>
      </c>
      <c r="AM1066" s="21">
        <v>2</v>
      </c>
      <c r="AN1066" s="21">
        <v>8.2000000000000007E-3</v>
      </c>
      <c r="AO1066" s="21">
        <v>0.76590000000000003</v>
      </c>
      <c r="AP1066" s="21">
        <v>18</v>
      </c>
      <c r="AQ1066" s="21">
        <v>18</v>
      </c>
      <c r="AR1066" s="21">
        <v>18</v>
      </c>
      <c r="AS1066" s="21">
        <v>0</v>
      </c>
      <c r="AT1066" s="21">
        <v>0</v>
      </c>
      <c r="AU1066" s="21">
        <v>5430</v>
      </c>
      <c r="AV1066" s="21">
        <v>382</v>
      </c>
    </row>
    <row r="1067" spans="1:48" x14ac:dyDescent="0.15">
      <c r="A1067" s="20" t="s">
        <v>50</v>
      </c>
      <c r="B1067" s="20" t="s">
        <v>178</v>
      </c>
      <c r="C1067" s="21">
        <v>22578</v>
      </c>
      <c r="D1067" s="21">
        <v>614</v>
      </c>
      <c r="E1067" s="21">
        <v>0</v>
      </c>
      <c r="F1067" s="21">
        <v>23191</v>
      </c>
      <c r="G1067" s="21">
        <v>137</v>
      </c>
      <c r="H1067" s="21">
        <v>16063</v>
      </c>
      <c r="I1067" s="21">
        <v>0</v>
      </c>
      <c r="J1067" s="21">
        <v>2623</v>
      </c>
      <c r="K1067" s="21">
        <v>540</v>
      </c>
      <c r="L1067" s="21">
        <v>140</v>
      </c>
      <c r="M1067" s="21">
        <v>0.85809999999999997</v>
      </c>
      <c r="N1067" s="21">
        <v>0.84460000000000002</v>
      </c>
      <c r="O1067" s="21">
        <v>0.68240000000000001</v>
      </c>
      <c r="P1067" s="21">
        <v>879</v>
      </c>
      <c r="Q1067" s="21">
        <v>0.4642</v>
      </c>
      <c r="R1067" s="21">
        <v>161</v>
      </c>
      <c r="S1067" s="21">
        <v>26</v>
      </c>
      <c r="T1067" s="21">
        <v>6.7500000000000004E-2</v>
      </c>
      <c r="U1067" s="21">
        <v>3.2399999999999998E-2</v>
      </c>
      <c r="V1067" s="21">
        <v>0.99250000000000005</v>
      </c>
      <c r="W1067" s="21">
        <v>49</v>
      </c>
      <c r="X1067" s="21">
        <v>30</v>
      </c>
      <c r="Y1067" s="21">
        <v>46</v>
      </c>
      <c r="Z1067" s="21">
        <v>0.2</v>
      </c>
      <c r="AA1067" s="21">
        <v>0.7</v>
      </c>
      <c r="AB1067" s="21">
        <v>135</v>
      </c>
      <c r="AC1067" s="21">
        <v>135</v>
      </c>
      <c r="AD1067" s="21">
        <v>142</v>
      </c>
      <c r="AE1067" s="21">
        <v>4</v>
      </c>
      <c r="AF1067" s="21">
        <v>2.7E-2</v>
      </c>
      <c r="AG1067" s="21">
        <v>17</v>
      </c>
      <c r="AH1067" s="21">
        <v>0.1149</v>
      </c>
      <c r="AI1067" s="21">
        <v>8.3299999999999999E-2</v>
      </c>
      <c r="AJ1067" s="21">
        <v>0.56000000000000005</v>
      </c>
      <c r="AK1067" s="21">
        <v>35</v>
      </c>
      <c r="AL1067" s="21">
        <v>0.24729999999999999</v>
      </c>
      <c r="AM1067" s="21">
        <v>13</v>
      </c>
      <c r="AN1067" s="21">
        <v>9.1899999999999996E-2</v>
      </c>
      <c r="AO1067" s="21">
        <v>0.31169999999999998</v>
      </c>
      <c r="AP1067" s="21">
        <v>12</v>
      </c>
      <c r="AQ1067" s="21">
        <v>12</v>
      </c>
      <c r="AR1067" s="21">
        <v>5</v>
      </c>
      <c r="AS1067" s="21">
        <v>6</v>
      </c>
      <c r="AT1067" s="21">
        <v>2</v>
      </c>
      <c r="AU1067" s="21">
        <v>6808</v>
      </c>
      <c r="AV1067" s="21">
        <v>307</v>
      </c>
    </row>
    <row r="1068" spans="1:48" x14ac:dyDescent="0.15">
      <c r="A1068" s="20" t="s">
        <v>51</v>
      </c>
      <c r="B1068" s="20" t="s">
        <v>178</v>
      </c>
      <c r="C1068" s="21">
        <v>45810</v>
      </c>
      <c r="D1068" s="21">
        <v>11610</v>
      </c>
      <c r="E1068" s="21">
        <v>0</v>
      </c>
      <c r="F1068" s="21">
        <v>57420</v>
      </c>
      <c r="G1068" s="21">
        <v>1260</v>
      </c>
      <c r="H1068" s="21">
        <v>19297</v>
      </c>
      <c r="I1068" s="21">
        <v>8758</v>
      </c>
      <c r="J1068" s="21">
        <v>8963</v>
      </c>
      <c r="K1068" s="21">
        <v>18644</v>
      </c>
      <c r="L1068" s="21">
        <v>764</v>
      </c>
      <c r="M1068" s="21">
        <v>0.79690000000000005</v>
      </c>
      <c r="N1068" s="21">
        <v>0.70369999999999999</v>
      </c>
      <c r="O1068" s="21">
        <v>0.69479999999999997</v>
      </c>
      <c r="P1068" s="21">
        <v>3079</v>
      </c>
      <c r="Q1068" s="21">
        <v>0.57320000000000004</v>
      </c>
      <c r="R1068" s="21">
        <v>75</v>
      </c>
      <c r="S1068" s="21">
        <v>19</v>
      </c>
      <c r="T1068" s="21">
        <v>0.1012</v>
      </c>
      <c r="U1068" s="21">
        <v>8.7099999999999997E-2</v>
      </c>
      <c r="V1068" s="21">
        <v>0.96819999999999995</v>
      </c>
      <c r="W1068" s="21">
        <v>1333</v>
      </c>
      <c r="X1068" s="21">
        <v>1058</v>
      </c>
      <c r="Y1068" s="21">
        <v>1844</v>
      </c>
      <c r="Z1068" s="21">
        <v>0.1</v>
      </c>
      <c r="AA1068" s="21">
        <v>0.6</v>
      </c>
      <c r="AB1068" s="21">
        <v>7420</v>
      </c>
      <c r="AC1068" s="21">
        <v>7271</v>
      </c>
      <c r="AD1068" s="21">
        <v>7676</v>
      </c>
      <c r="AE1068" s="21">
        <v>439</v>
      </c>
      <c r="AF1068" s="21">
        <v>5.5300000000000002E-2</v>
      </c>
      <c r="AG1068" s="21">
        <v>952</v>
      </c>
      <c r="AH1068" s="21">
        <v>0.12</v>
      </c>
      <c r="AI1068" s="21">
        <v>0.11899999999999999</v>
      </c>
      <c r="AJ1068" s="21">
        <v>0.61770000000000003</v>
      </c>
      <c r="AK1068" s="21">
        <v>1194</v>
      </c>
      <c r="AL1068" s="21">
        <v>0.15720000000000001</v>
      </c>
      <c r="AM1068" s="21">
        <v>629</v>
      </c>
      <c r="AN1068" s="21">
        <v>8.2799999999999999E-2</v>
      </c>
      <c r="AO1068" s="21">
        <v>0.47249999999999998</v>
      </c>
      <c r="AP1068" s="21">
        <v>210</v>
      </c>
      <c r="AQ1068" s="21">
        <v>186</v>
      </c>
      <c r="AR1068" s="21">
        <v>143</v>
      </c>
      <c r="AS1068" s="21">
        <v>26</v>
      </c>
      <c r="AT1068" s="21">
        <v>17</v>
      </c>
      <c r="AU1068" s="21">
        <v>14184</v>
      </c>
      <c r="AV1068" s="21">
        <v>1866</v>
      </c>
    </row>
    <row r="1069" spans="1:48" x14ac:dyDescent="0.15">
      <c r="A1069" s="20" t="s">
        <v>52</v>
      </c>
      <c r="B1069" s="20" t="s">
        <v>178</v>
      </c>
      <c r="C1069" s="21">
        <v>24257</v>
      </c>
      <c r="D1069" s="21">
        <v>1254</v>
      </c>
      <c r="E1069" s="21">
        <v>0</v>
      </c>
      <c r="F1069" s="21">
        <v>25512</v>
      </c>
      <c r="G1069" s="21">
        <v>982</v>
      </c>
      <c r="H1069" s="21">
        <v>10318</v>
      </c>
      <c r="I1069" s="21">
        <v>7634</v>
      </c>
      <c r="J1069" s="21">
        <v>5835</v>
      </c>
      <c r="K1069" s="21">
        <v>723</v>
      </c>
      <c r="L1069" s="21">
        <v>212</v>
      </c>
      <c r="M1069" s="21">
        <v>0.72</v>
      </c>
      <c r="N1069" s="21">
        <v>0.67559999999999998</v>
      </c>
      <c r="O1069" s="21">
        <v>0.36890000000000001</v>
      </c>
      <c r="P1069" s="21">
        <v>1177</v>
      </c>
      <c r="Q1069" s="21">
        <v>0.3543</v>
      </c>
      <c r="R1069" s="21">
        <v>122</v>
      </c>
      <c r="S1069" s="21">
        <v>22</v>
      </c>
      <c r="T1069" s="21">
        <v>7.0199999999999999E-2</v>
      </c>
      <c r="U1069" s="21">
        <v>3.8800000000000001E-2</v>
      </c>
      <c r="V1069" s="21">
        <v>0.97230000000000005</v>
      </c>
      <c r="W1069" s="21">
        <v>608</v>
      </c>
      <c r="X1069" s="21">
        <v>335</v>
      </c>
      <c r="Y1069" s="21">
        <v>150</v>
      </c>
      <c r="Z1069" s="21">
        <v>0.7</v>
      </c>
      <c r="AA1069" s="21">
        <v>2.2000000000000002</v>
      </c>
      <c r="AB1069" s="21">
        <v>562</v>
      </c>
      <c r="AC1069" s="21">
        <v>471</v>
      </c>
      <c r="AD1069" s="21">
        <v>506</v>
      </c>
      <c r="AE1069" s="21">
        <v>122</v>
      </c>
      <c r="AF1069" s="21">
        <v>0.2717</v>
      </c>
      <c r="AG1069" s="21">
        <v>9</v>
      </c>
      <c r="AH1069" s="21">
        <v>0.02</v>
      </c>
      <c r="AI1069" s="21">
        <v>0.5</v>
      </c>
      <c r="AJ1069" s="21">
        <v>1</v>
      </c>
      <c r="AK1069" s="21">
        <v>87</v>
      </c>
      <c r="AL1069" s="21">
        <v>0.18909999999999999</v>
      </c>
      <c r="AM1069" s="21">
        <v>57</v>
      </c>
      <c r="AN1069" s="21">
        <v>0.1239</v>
      </c>
      <c r="AO1069" s="21">
        <v>0.90720000000000001</v>
      </c>
      <c r="AP1069" s="21">
        <v>49</v>
      </c>
      <c r="AQ1069" s="21">
        <v>49</v>
      </c>
      <c r="AR1069" s="21">
        <v>50</v>
      </c>
      <c r="AS1069" s="21">
        <v>-1</v>
      </c>
      <c r="AT1069" s="21">
        <v>0</v>
      </c>
      <c r="AU1069" s="21">
        <v>3934</v>
      </c>
      <c r="AV1069" s="21">
        <v>487</v>
      </c>
    </row>
    <row r="1070" spans="1:48" x14ac:dyDescent="0.15">
      <c r="A1070" s="20" t="s">
        <v>53</v>
      </c>
      <c r="B1070" s="20" t="s">
        <v>178</v>
      </c>
      <c r="C1070" s="21">
        <v>11601</v>
      </c>
      <c r="D1070" s="21">
        <v>681</v>
      </c>
      <c r="E1070" s="21">
        <v>0</v>
      </c>
      <c r="F1070" s="21">
        <v>12283</v>
      </c>
      <c r="H1070" s="21">
        <v>16</v>
      </c>
      <c r="I1070" s="21">
        <v>4406</v>
      </c>
      <c r="J1070" s="21">
        <v>7417</v>
      </c>
      <c r="K1070" s="21">
        <v>0</v>
      </c>
      <c r="L1070" s="21">
        <v>114</v>
      </c>
      <c r="M1070" s="21">
        <v>0.89170000000000005</v>
      </c>
      <c r="N1070" s="21">
        <v>0.875</v>
      </c>
      <c r="O1070" s="21">
        <v>0.42499999999999999</v>
      </c>
      <c r="P1070" s="21">
        <v>2006</v>
      </c>
      <c r="Q1070" s="21">
        <v>9.0700000000000003E-2</v>
      </c>
      <c r="R1070" s="21">
        <v>111</v>
      </c>
      <c r="S1070" s="21">
        <v>6</v>
      </c>
      <c r="T1070" s="21">
        <v>0.20419999999999999</v>
      </c>
      <c r="U1070" s="21">
        <v>4.1300000000000003E-2</v>
      </c>
      <c r="V1070" s="21">
        <v>0.78520000000000001</v>
      </c>
      <c r="W1070" s="21">
        <v>657</v>
      </c>
      <c r="X1070" s="21">
        <v>521</v>
      </c>
      <c r="Y1070" s="21">
        <v>912</v>
      </c>
      <c r="Z1070" s="21">
        <v>0.1</v>
      </c>
      <c r="AA1070" s="21">
        <v>0.6</v>
      </c>
      <c r="AB1070" s="21">
        <v>3368</v>
      </c>
      <c r="AC1070" s="21">
        <v>3368</v>
      </c>
      <c r="AD1070" s="21">
        <v>3669</v>
      </c>
      <c r="AE1070" s="21">
        <v>117</v>
      </c>
      <c r="AF1070" s="21">
        <v>2.9499999999999998E-2</v>
      </c>
      <c r="AG1070" s="21">
        <v>719</v>
      </c>
      <c r="AH1070" s="21">
        <v>0.18110000000000001</v>
      </c>
      <c r="AI1070" s="21">
        <v>8.7599999999999997E-2</v>
      </c>
      <c r="AJ1070" s="21">
        <v>0.52600000000000002</v>
      </c>
      <c r="AK1070" s="21">
        <v>529</v>
      </c>
      <c r="AL1070" s="21">
        <v>0.14419999999999999</v>
      </c>
      <c r="AM1070" s="21">
        <v>308</v>
      </c>
      <c r="AN1070" s="21">
        <v>8.3900000000000002E-2</v>
      </c>
      <c r="AO1070" s="21">
        <v>0.44969999999999999</v>
      </c>
      <c r="AP1070" s="21">
        <v>26</v>
      </c>
      <c r="AQ1070" s="21">
        <v>26</v>
      </c>
      <c r="AR1070" s="21">
        <v>25</v>
      </c>
      <c r="AS1070" s="21">
        <v>0</v>
      </c>
      <c r="AT1070" s="21">
        <v>0</v>
      </c>
      <c r="AU1070" s="21">
        <v>2263</v>
      </c>
      <c r="AV1070" s="21">
        <v>422</v>
      </c>
    </row>
    <row r="1071" spans="1:48" x14ac:dyDescent="0.15">
      <c r="A1071" s="20" t="s">
        <v>0</v>
      </c>
      <c r="B1071" s="20" t="s">
        <v>178</v>
      </c>
      <c r="C1071" s="21">
        <v>209427</v>
      </c>
      <c r="D1071" s="21">
        <v>24148</v>
      </c>
      <c r="E1071" s="21">
        <v>0</v>
      </c>
      <c r="F1071" s="21">
        <v>233575</v>
      </c>
      <c r="G1071" s="21">
        <v>19379</v>
      </c>
      <c r="H1071" s="21">
        <v>82107</v>
      </c>
      <c r="I1071" s="21">
        <v>31539</v>
      </c>
      <c r="J1071" s="21">
        <v>61424</v>
      </c>
      <c r="K1071" s="21">
        <v>34772</v>
      </c>
      <c r="L1071" s="21">
        <v>2389</v>
      </c>
      <c r="M1071" s="21">
        <v>0.77339999999999998</v>
      </c>
      <c r="N1071" s="21">
        <v>0.7036</v>
      </c>
      <c r="O1071" s="21">
        <v>0.56399999999999995</v>
      </c>
      <c r="P1071" s="21">
        <v>17201</v>
      </c>
      <c r="Q1071" s="21">
        <v>0.30880000000000002</v>
      </c>
      <c r="R1071" s="21">
        <v>97</v>
      </c>
      <c r="S1071" s="21">
        <v>14</v>
      </c>
      <c r="T1071" s="21">
        <v>0.1091</v>
      </c>
      <c r="U1071" s="21">
        <v>4.82E-2</v>
      </c>
      <c r="V1071" s="21">
        <v>0.96609999999999996</v>
      </c>
      <c r="W1071" s="21">
        <v>4951</v>
      </c>
      <c r="X1071" s="21">
        <v>3516</v>
      </c>
      <c r="Y1071" s="21">
        <v>4756</v>
      </c>
      <c r="Z1071" s="21">
        <v>0.2</v>
      </c>
      <c r="AA1071" s="21">
        <v>0.7</v>
      </c>
      <c r="AB1071" s="21">
        <v>19407</v>
      </c>
      <c r="AC1071" s="21">
        <v>17918</v>
      </c>
      <c r="AD1071" s="21">
        <v>19430</v>
      </c>
      <c r="AE1071" s="21">
        <v>2109</v>
      </c>
      <c r="AF1071" s="21">
        <v>0.1084</v>
      </c>
      <c r="AG1071" s="21">
        <v>2156</v>
      </c>
      <c r="AH1071" s="21">
        <v>0.1108</v>
      </c>
      <c r="AI1071" s="21">
        <v>9.6500000000000002E-2</v>
      </c>
      <c r="AJ1071" s="21">
        <v>0.60650000000000004</v>
      </c>
      <c r="AK1071" s="21">
        <v>2885</v>
      </c>
      <c r="AL1071" s="21">
        <v>0.1545</v>
      </c>
      <c r="AM1071" s="21">
        <v>1658</v>
      </c>
      <c r="AN1071" s="21">
        <v>8.8800000000000004E-2</v>
      </c>
      <c r="AO1071" s="21">
        <v>0.56110000000000004</v>
      </c>
      <c r="AP1071" s="21">
        <v>1132</v>
      </c>
      <c r="AQ1071" s="21">
        <v>1010</v>
      </c>
      <c r="AR1071" s="21">
        <v>838</v>
      </c>
      <c r="AS1071" s="21">
        <v>108</v>
      </c>
      <c r="AT1071" s="21">
        <v>64</v>
      </c>
      <c r="AU1071" s="21">
        <v>64191</v>
      </c>
      <c r="AV1071" s="21">
        <v>6624</v>
      </c>
    </row>
    <row r="1072" spans="1:48" x14ac:dyDescent="0.15">
      <c r="A1072" s="20" t="s">
        <v>54</v>
      </c>
      <c r="B1072" s="20" t="s">
        <v>178</v>
      </c>
      <c r="C1072" s="21">
        <v>14051</v>
      </c>
      <c r="D1072" s="21">
        <v>3327</v>
      </c>
      <c r="E1072" s="21">
        <v>0</v>
      </c>
      <c r="F1072" s="21">
        <v>17379</v>
      </c>
      <c r="G1072" s="21">
        <v>2419</v>
      </c>
      <c r="H1072" s="21">
        <v>4034</v>
      </c>
      <c r="I1072" s="21">
        <v>3193</v>
      </c>
      <c r="J1072" s="21">
        <v>6641</v>
      </c>
      <c r="K1072" s="21">
        <v>970</v>
      </c>
      <c r="L1072" s="21">
        <v>197</v>
      </c>
      <c r="M1072" s="21">
        <v>0.91039999999999999</v>
      </c>
      <c r="N1072" s="21">
        <v>0.71140000000000003</v>
      </c>
      <c r="O1072" s="21">
        <v>0.77610000000000001</v>
      </c>
      <c r="P1072" s="21">
        <v>565</v>
      </c>
      <c r="Q1072" s="21">
        <v>1.1345000000000001</v>
      </c>
      <c r="R1072" s="21">
        <v>88</v>
      </c>
      <c r="S1072" s="21">
        <v>31</v>
      </c>
      <c r="T1072" s="21">
        <v>0.1119</v>
      </c>
      <c r="U1072" s="21">
        <v>2.35E-2</v>
      </c>
      <c r="V1072" s="21">
        <v>0.97140000000000004</v>
      </c>
      <c r="W1072" s="21">
        <v>322</v>
      </c>
      <c r="X1072" s="21">
        <v>233</v>
      </c>
      <c r="Y1072" s="21">
        <v>296</v>
      </c>
      <c r="Z1072" s="21">
        <v>0.2</v>
      </c>
      <c r="AA1072" s="21">
        <v>0.8</v>
      </c>
      <c r="AB1072" s="21">
        <v>941</v>
      </c>
      <c r="AC1072" s="21">
        <v>941</v>
      </c>
      <c r="AD1072" s="21">
        <v>946</v>
      </c>
      <c r="AE1072" s="21">
        <v>54</v>
      </c>
      <c r="AF1072" s="21">
        <v>5.67E-2</v>
      </c>
      <c r="AG1072" s="21">
        <v>65</v>
      </c>
      <c r="AH1072" s="21">
        <v>6.83E-2</v>
      </c>
      <c r="AI1072" s="21">
        <v>0.1429</v>
      </c>
      <c r="AJ1072" s="21">
        <v>0.4</v>
      </c>
      <c r="AK1072" s="21">
        <v>197</v>
      </c>
      <c r="AL1072" s="21">
        <v>0.20810000000000001</v>
      </c>
      <c r="AM1072" s="21">
        <v>143</v>
      </c>
      <c r="AN1072" s="21">
        <v>0.15110000000000001</v>
      </c>
      <c r="AO1072" s="21">
        <v>0.75180000000000002</v>
      </c>
      <c r="AP1072" s="21">
        <v>135</v>
      </c>
      <c r="AQ1072" s="21">
        <v>135</v>
      </c>
      <c r="AR1072" s="21">
        <v>121</v>
      </c>
      <c r="AS1072" s="21">
        <v>13</v>
      </c>
      <c r="AT1072" s="21">
        <v>1</v>
      </c>
      <c r="AU1072" s="21">
        <v>8106</v>
      </c>
      <c r="AV1072" s="21">
        <v>429</v>
      </c>
    </row>
    <row r="1073" spans="1:48" x14ac:dyDescent="0.15">
      <c r="A1073" s="20" t="s">
        <v>55</v>
      </c>
      <c r="B1073" s="20" t="s">
        <v>178</v>
      </c>
      <c r="C1073" s="21">
        <v>3073</v>
      </c>
      <c r="D1073" s="21">
        <v>91</v>
      </c>
      <c r="E1073" s="21">
        <v>0</v>
      </c>
      <c r="F1073" s="21">
        <v>3164</v>
      </c>
      <c r="G1073" s="21">
        <v>-6</v>
      </c>
      <c r="H1073" s="21">
        <v>797</v>
      </c>
      <c r="I1073" s="21">
        <v>1995</v>
      </c>
      <c r="J1073" s="21">
        <v>225</v>
      </c>
      <c r="K1073" s="21">
        <v>140</v>
      </c>
      <c r="L1073" s="21">
        <v>94</v>
      </c>
      <c r="M1073" s="21">
        <v>0.65310000000000001</v>
      </c>
      <c r="N1073" s="21">
        <v>0.51019999999999999</v>
      </c>
      <c r="O1073" s="21">
        <v>0.26529999999999998</v>
      </c>
      <c r="P1073" s="21">
        <v>1318</v>
      </c>
      <c r="Q1073" s="21">
        <v>8.3500000000000005E-2</v>
      </c>
      <c r="R1073" s="21">
        <v>33</v>
      </c>
      <c r="S1073" s="21">
        <v>2</v>
      </c>
      <c r="T1073" s="21">
        <v>0.1045</v>
      </c>
      <c r="U1073" s="21">
        <v>1.3100000000000001E-2</v>
      </c>
      <c r="V1073" s="21">
        <v>0.97460000000000002</v>
      </c>
      <c r="W1073" s="21">
        <v>163</v>
      </c>
      <c r="X1073" s="21">
        <v>116</v>
      </c>
      <c r="Y1073" s="21">
        <v>165</v>
      </c>
      <c r="Z1073" s="21">
        <v>0.2</v>
      </c>
      <c r="AA1073" s="21">
        <v>0.7</v>
      </c>
      <c r="AB1073" s="21">
        <v>1012</v>
      </c>
      <c r="AC1073" s="21">
        <v>293</v>
      </c>
      <c r="AD1073" s="21">
        <v>664</v>
      </c>
      <c r="AE1073" s="21">
        <v>726</v>
      </c>
      <c r="AF1073" s="21">
        <v>2.3048000000000002</v>
      </c>
      <c r="AG1073" s="21">
        <v>29</v>
      </c>
      <c r="AH1073" s="21">
        <v>9.2100000000000001E-2</v>
      </c>
      <c r="AI1073" s="21">
        <v>7.1400000000000005E-2</v>
      </c>
      <c r="AJ1073" s="21">
        <v>0.62990000000000002</v>
      </c>
      <c r="AK1073" s="21">
        <v>100</v>
      </c>
      <c r="AL1073" s="21">
        <v>0.32890000000000003</v>
      </c>
      <c r="AM1073" s="21">
        <v>70</v>
      </c>
      <c r="AN1073" s="21">
        <v>0.2303</v>
      </c>
      <c r="AO1073" s="21">
        <v>0.72540000000000004</v>
      </c>
      <c r="AP1073" s="21">
        <v>43</v>
      </c>
      <c r="AQ1073" s="21">
        <v>43</v>
      </c>
      <c r="AR1073" s="21">
        <v>20</v>
      </c>
      <c r="AS1073" s="21">
        <v>0</v>
      </c>
      <c r="AT1073" s="21">
        <v>22</v>
      </c>
      <c r="AU1073" s="21">
        <v>375</v>
      </c>
      <c r="AV1073" s="21">
        <v>68</v>
      </c>
    </row>
    <row r="1074" spans="1:48" x14ac:dyDescent="0.15">
      <c r="A1074" s="20" t="s">
        <v>56</v>
      </c>
      <c r="B1074" s="20" t="s">
        <v>178</v>
      </c>
      <c r="C1074" s="21">
        <v>339</v>
      </c>
      <c r="D1074" s="21">
        <v>36</v>
      </c>
      <c r="E1074" s="21">
        <v>0</v>
      </c>
      <c r="F1074" s="21">
        <v>375</v>
      </c>
      <c r="G1074" s="21">
        <v>0</v>
      </c>
      <c r="H1074" s="21">
        <v>-1</v>
      </c>
      <c r="I1074" s="21">
        <v>0</v>
      </c>
      <c r="J1074" s="21">
        <v>31</v>
      </c>
      <c r="K1074" s="21">
        <v>330</v>
      </c>
      <c r="L1074" s="21">
        <v>50</v>
      </c>
      <c r="M1074" s="21">
        <v>0.32140000000000002</v>
      </c>
      <c r="N1074" s="21">
        <v>0.26790000000000003</v>
      </c>
      <c r="O1074" s="21">
        <v>0.1429</v>
      </c>
      <c r="P1074" s="21">
        <v>2048</v>
      </c>
      <c r="Q1074" s="21">
        <v>1.5100000000000001E-2</v>
      </c>
      <c r="R1074" s="21">
        <v>7</v>
      </c>
      <c r="S1074" s="21">
        <v>0</v>
      </c>
      <c r="T1074" s="21">
        <v>7.1300000000000002E-2</v>
      </c>
      <c r="U1074" s="21">
        <v>4.4600000000000001E-2</v>
      </c>
      <c r="V1074" s="21">
        <v>0.98460000000000003</v>
      </c>
      <c r="W1074" s="21">
        <v>268</v>
      </c>
      <c r="X1074" s="21">
        <v>175</v>
      </c>
      <c r="Y1074" s="21">
        <v>96</v>
      </c>
      <c r="Z1074" s="21">
        <v>0.9</v>
      </c>
      <c r="AA1074" s="21">
        <v>1.8</v>
      </c>
      <c r="AB1074" s="21">
        <v>189</v>
      </c>
      <c r="AC1074" s="21">
        <v>189</v>
      </c>
      <c r="AD1074" s="21">
        <v>196</v>
      </c>
      <c r="AE1074" s="21">
        <v>18</v>
      </c>
      <c r="AF1074" s="21">
        <v>8.8700000000000001E-2</v>
      </c>
      <c r="AG1074" s="21">
        <v>32</v>
      </c>
      <c r="AH1074" s="21">
        <v>0.15759999999999999</v>
      </c>
      <c r="AI1074" s="21">
        <v>0</v>
      </c>
      <c r="AJ1074" s="21">
        <v>0.36840000000000001</v>
      </c>
      <c r="AK1074" s="21">
        <v>57</v>
      </c>
      <c r="AL1074" s="21">
        <v>0.2908</v>
      </c>
      <c r="AM1074" s="21">
        <v>42</v>
      </c>
      <c r="AN1074" s="21">
        <v>0.21429999999999999</v>
      </c>
      <c r="AO1074" s="21">
        <v>0.87029999999999996</v>
      </c>
      <c r="AP1074" s="21">
        <v>125</v>
      </c>
      <c r="AQ1074" s="21">
        <v>125</v>
      </c>
      <c r="AR1074" s="21">
        <v>101</v>
      </c>
      <c r="AS1074" s="21">
        <v>13</v>
      </c>
      <c r="AT1074" s="21">
        <v>11</v>
      </c>
      <c r="AU1074" s="21">
        <v>2661</v>
      </c>
      <c r="AV1074" s="21">
        <v>355</v>
      </c>
    </row>
    <row r="1075" spans="1:48" x14ac:dyDescent="0.15">
      <c r="A1075" s="20" t="s">
        <v>57</v>
      </c>
      <c r="B1075" s="20" t="s">
        <v>178</v>
      </c>
      <c r="C1075" s="21">
        <v>17282</v>
      </c>
      <c r="D1075" s="21">
        <v>1616</v>
      </c>
      <c r="E1075" s="21">
        <v>0</v>
      </c>
      <c r="F1075" s="21">
        <v>18897</v>
      </c>
      <c r="G1075" s="21">
        <v>304</v>
      </c>
      <c r="H1075" s="21">
        <v>2268</v>
      </c>
      <c r="I1075" s="21">
        <v>1158</v>
      </c>
      <c r="J1075" s="21">
        <v>16091</v>
      </c>
      <c r="K1075" s="21">
        <v>51</v>
      </c>
      <c r="L1075" s="21">
        <v>151</v>
      </c>
      <c r="M1075" s="21">
        <v>0.63580000000000003</v>
      </c>
      <c r="N1075" s="21">
        <v>0.6159</v>
      </c>
      <c r="O1075" s="21">
        <v>0.45700000000000002</v>
      </c>
      <c r="P1075" s="21">
        <v>692</v>
      </c>
      <c r="Q1075" s="21">
        <v>0.21529999999999999</v>
      </c>
      <c r="R1075" s="21">
        <v>120</v>
      </c>
      <c r="S1075" s="21">
        <v>27</v>
      </c>
      <c r="T1075" s="21">
        <v>8.9399999999999993E-2</v>
      </c>
      <c r="U1075" s="21">
        <v>2.8299999999999999E-2</v>
      </c>
      <c r="V1075" s="21">
        <v>0.97829999999999995</v>
      </c>
      <c r="W1075" s="21">
        <v>340</v>
      </c>
      <c r="X1075" s="21">
        <v>228</v>
      </c>
      <c r="Y1075" s="21">
        <v>144</v>
      </c>
      <c r="Z1075" s="21">
        <v>0.3</v>
      </c>
      <c r="AA1075" s="21">
        <v>1.6</v>
      </c>
      <c r="AB1075" s="21">
        <v>731</v>
      </c>
      <c r="AC1075" s="21">
        <v>731</v>
      </c>
      <c r="AD1075" s="21">
        <v>734</v>
      </c>
      <c r="AE1075" s="21">
        <v>32</v>
      </c>
      <c r="AF1075" s="21">
        <v>4.3400000000000001E-2</v>
      </c>
      <c r="AG1075" s="21">
        <v>39</v>
      </c>
      <c r="AH1075" s="21">
        <v>5.28E-2</v>
      </c>
      <c r="AI1075" s="21">
        <v>0</v>
      </c>
      <c r="AJ1075" s="21">
        <v>0.57330000000000003</v>
      </c>
      <c r="AK1075" s="21">
        <v>85</v>
      </c>
      <c r="AL1075" s="21">
        <v>0.1157</v>
      </c>
      <c r="AM1075" s="21">
        <v>51</v>
      </c>
      <c r="AN1075" s="21">
        <v>6.9400000000000003E-2</v>
      </c>
      <c r="AO1075" s="21">
        <v>0.57620000000000005</v>
      </c>
      <c r="AP1075" s="21">
        <v>329</v>
      </c>
      <c r="AQ1075" s="21">
        <v>231</v>
      </c>
      <c r="AR1075" s="21">
        <v>198</v>
      </c>
      <c r="AS1075" s="21">
        <v>24</v>
      </c>
      <c r="AT1075" s="21">
        <v>10</v>
      </c>
      <c r="AU1075" s="21">
        <v>4166</v>
      </c>
      <c r="AV1075" s="21">
        <v>737</v>
      </c>
    </row>
    <row r="1076" spans="1:48" x14ac:dyDescent="0.15">
      <c r="A1076" s="20" t="s">
        <v>58</v>
      </c>
      <c r="B1076" s="20" t="s">
        <v>178</v>
      </c>
      <c r="C1076" s="21">
        <v>47766</v>
      </c>
      <c r="D1076" s="21">
        <v>4096</v>
      </c>
      <c r="E1076" s="21">
        <v>0</v>
      </c>
      <c r="F1076" s="21">
        <v>51862</v>
      </c>
      <c r="G1076" s="21">
        <v>9930</v>
      </c>
      <c r="H1076" s="21">
        <v>23176</v>
      </c>
      <c r="J1076" s="21">
        <v>5347</v>
      </c>
      <c r="K1076" s="21">
        <v>13079</v>
      </c>
      <c r="L1076" s="21">
        <v>391</v>
      </c>
      <c r="M1076" s="21">
        <v>0.88280000000000003</v>
      </c>
      <c r="N1076" s="21">
        <v>0.87029999999999996</v>
      </c>
      <c r="O1076" s="21">
        <v>0.69579999999999997</v>
      </c>
      <c r="P1076" s="21">
        <v>2586</v>
      </c>
      <c r="Q1076" s="21">
        <v>0.47560000000000002</v>
      </c>
      <c r="R1076" s="21">
        <v>132</v>
      </c>
      <c r="S1076" s="21">
        <v>20</v>
      </c>
      <c r="T1076" s="21">
        <v>0.1447</v>
      </c>
      <c r="U1076" s="21">
        <v>8.1299999999999997E-2</v>
      </c>
      <c r="V1076" s="21">
        <v>0.95220000000000005</v>
      </c>
      <c r="W1076" s="21">
        <v>982</v>
      </c>
      <c r="X1076" s="21">
        <v>655</v>
      </c>
      <c r="Y1076" s="21">
        <v>839</v>
      </c>
      <c r="Z1076" s="21">
        <v>0.2</v>
      </c>
      <c r="AA1076" s="21">
        <v>0.8</v>
      </c>
      <c r="AB1076" s="21">
        <v>3650</v>
      </c>
      <c r="AC1076" s="21">
        <v>3164</v>
      </c>
      <c r="AD1076" s="21">
        <v>3430</v>
      </c>
      <c r="AE1076" s="21">
        <v>516</v>
      </c>
      <c r="AF1076" s="21">
        <v>0.1608</v>
      </c>
      <c r="AG1076" s="21">
        <v>75</v>
      </c>
      <c r="AH1076" s="21">
        <v>2.3400000000000001E-2</v>
      </c>
      <c r="AI1076" s="21">
        <v>7.3200000000000001E-2</v>
      </c>
      <c r="AJ1076" s="21">
        <v>0.73709999999999998</v>
      </c>
      <c r="AK1076" s="21">
        <v>436</v>
      </c>
      <c r="AL1076" s="21">
        <v>0.1368</v>
      </c>
      <c r="AM1076" s="21">
        <v>264</v>
      </c>
      <c r="AN1076" s="21">
        <v>8.2799999999999999E-2</v>
      </c>
      <c r="AO1076" s="21">
        <v>0.80579999999999996</v>
      </c>
      <c r="AP1076" s="21">
        <v>70</v>
      </c>
      <c r="AQ1076" s="21">
        <v>70</v>
      </c>
      <c r="AR1076" s="21">
        <v>59</v>
      </c>
      <c r="AS1076" s="21">
        <v>11</v>
      </c>
      <c r="AT1076" s="21">
        <v>0</v>
      </c>
      <c r="AU1076" s="21">
        <v>6338</v>
      </c>
      <c r="AV1076" s="21">
        <v>850</v>
      </c>
    </row>
    <row r="1077" spans="1:48" x14ac:dyDescent="0.15">
      <c r="A1077" s="20" t="s">
        <v>59</v>
      </c>
      <c r="B1077" s="20" t="s">
        <v>178</v>
      </c>
      <c r="C1077" s="21">
        <v>6448</v>
      </c>
      <c r="D1077" s="21">
        <v>514</v>
      </c>
      <c r="E1077" s="21">
        <v>0</v>
      </c>
      <c r="F1077" s="21">
        <v>6962</v>
      </c>
      <c r="G1077" s="21">
        <v>3167</v>
      </c>
      <c r="H1077" s="21">
        <v>675</v>
      </c>
      <c r="I1077" s="21">
        <v>662</v>
      </c>
      <c r="J1077" s="21">
        <v>2575</v>
      </c>
      <c r="K1077" s="21">
        <v>0</v>
      </c>
      <c r="L1077" s="21">
        <v>52</v>
      </c>
      <c r="M1077" s="21">
        <v>0.52310000000000001</v>
      </c>
      <c r="N1077" s="21">
        <v>0.52310000000000001</v>
      </c>
      <c r="O1077" s="21">
        <v>0.2923</v>
      </c>
      <c r="P1077" s="21">
        <v>1155</v>
      </c>
      <c r="Q1077" s="21">
        <v>6.0600000000000001E-2</v>
      </c>
      <c r="R1077" s="21">
        <v>119</v>
      </c>
      <c r="S1077" s="21">
        <v>6</v>
      </c>
      <c r="T1077" s="21">
        <v>8.5400000000000004E-2</v>
      </c>
      <c r="U1077" s="21">
        <v>8.3699999999999997E-2</v>
      </c>
      <c r="V1077" s="21">
        <v>0.98360000000000003</v>
      </c>
      <c r="W1077" s="21">
        <v>9</v>
      </c>
      <c r="X1077" s="21">
        <v>10</v>
      </c>
      <c r="Y1077" s="21">
        <v>17</v>
      </c>
      <c r="Z1077" s="21">
        <v>0.1</v>
      </c>
      <c r="AA1077" s="21">
        <v>0.6</v>
      </c>
      <c r="AB1077" s="21">
        <v>107</v>
      </c>
      <c r="AC1077" s="21">
        <v>107</v>
      </c>
      <c r="AD1077" s="21">
        <v>114</v>
      </c>
      <c r="AE1077" s="21">
        <v>3</v>
      </c>
      <c r="AF1077" s="21">
        <v>2.5000000000000001E-2</v>
      </c>
      <c r="AG1077" s="21">
        <v>16</v>
      </c>
      <c r="AH1077" s="21">
        <v>0.1333</v>
      </c>
      <c r="AI1077" s="21">
        <v>0</v>
      </c>
      <c r="AJ1077" s="21">
        <v>0.44440000000000002</v>
      </c>
      <c r="AK1077" s="21">
        <v>14</v>
      </c>
      <c r="AL1077" s="21">
        <v>0.12330000000000001</v>
      </c>
      <c r="AM1077" s="21">
        <v>9</v>
      </c>
      <c r="AN1077" s="21">
        <v>7.9299999999999995E-2</v>
      </c>
      <c r="AO1077" s="21">
        <v>0.31190000000000001</v>
      </c>
      <c r="AP1077" s="21">
        <v>108</v>
      </c>
      <c r="AQ1077" s="21">
        <v>108</v>
      </c>
      <c r="AR1077" s="21">
        <v>93</v>
      </c>
      <c r="AS1077" s="21">
        <v>16</v>
      </c>
      <c r="AT1077" s="21">
        <v>0</v>
      </c>
      <c r="AU1077" s="21">
        <v>3602</v>
      </c>
      <c r="AV1077" s="21">
        <v>33</v>
      </c>
    </row>
    <row r="1078" spans="1:48" x14ac:dyDescent="0.15">
      <c r="A1078" s="20" t="s">
        <v>60</v>
      </c>
      <c r="B1078" s="20" t="s">
        <v>178</v>
      </c>
      <c r="C1078" s="21">
        <v>3174</v>
      </c>
      <c r="D1078" s="21">
        <v>108</v>
      </c>
      <c r="E1078" s="21">
        <v>0</v>
      </c>
      <c r="F1078" s="21">
        <v>3283</v>
      </c>
      <c r="G1078" s="21">
        <v>110</v>
      </c>
      <c r="H1078" s="21">
        <v>1707</v>
      </c>
      <c r="I1078" s="21">
        <v>1161</v>
      </c>
      <c r="J1078" s="21">
        <v>63</v>
      </c>
      <c r="K1078" s="21">
        <v>118</v>
      </c>
      <c r="L1078" s="21">
        <v>70</v>
      </c>
      <c r="M1078" s="21">
        <v>0.62649999999999995</v>
      </c>
      <c r="N1078" s="21">
        <v>0.56630000000000003</v>
      </c>
      <c r="O1078" s="21">
        <v>0.253</v>
      </c>
      <c r="P1078" s="21">
        <v>463</v>
      </c>
      <c r="Q1078" s="21">
        <v>0.2268</v>
      </c>
      <c r="R1078" s="21">
        <v>43</v>
      </c>
      <c r="S1078" s="21">
        <v>7</v>
      </c>
      <c r="T1078" s="21">
        <v>4.6800000000000001E-2</v>
      </c>
      <c r="U1078" s="21">
        <v>3.2399999999999998E-2</v>
      </c>
      <c r="V1078" s="21">
        <v>0.97050000000000003</v>
      </c>
      <c r="W1078" s="21">
        <v>163</v>
      </c>
      <c r="X1078" s="21">
        <v>112</v>
      </c>
      <c r="Y1078" s="21">
        <v>180</v>
      </c>
      <c r="Z1078" s="21">
        <v>0.1</v>
      </c>
      <c r="AA1078" s="21">
        <v>0.6</v>
      </c>
      <c r="AB1078" s="21">
        <v>887</v>
      </c>
      <c r="AC1078" s="21">
        <v>887</v>
      </c>
      <c r="AD1078" s="21">
        <v>946</v>
      </c>
      <c r="AE1078" s="21">
        <v>24</v>
      </c>
      <c r="AF1078" s="21">
        <v>2.3900000000000001E-2</v>
      </c>
      <c r="AG1078" s="21">
        <v>142</v>
      </c>
      <c r="AH1078" s="21">
        <v>0.14130000000000001</v>
      </c>
      <c r="AI1078" s="21">
        <v>6.8199999999999997E-2</v>
      </c>
      <c r="AJ1078" s="21">
        <v>0.80359999999999998</v>
      </c>
      <c r="AK1078" s="21">
        <v>107</v>
      </c>
      <c r="AL1078" s="21">
        <v>0.11310000000000001</v>
      </c>
      <c r="AM1078" s="21">
        <v>56</v>
      </c>
      <c r="AN1078" s="21">
        <v>5.9200000000000003E-2</v>
      </c>
      <c r="AO1078" s="21">
        <v>0.61209999999999998</v>
      </c>
      <c r="AP1078" s="21">
        <v>6</v>
      </c>
      <c r="AQ1078" s="21">
        <v>6</v>
      </c>
      <c r="AR1078" s="21">
        <v>4</v>
      </c>
      <c r="AS1078" s="21">
        <v>2</v>
      </c>
      <c r="AT1078" s="21">
        <v>0</v>
      </c>
      <c r="AU1078" s="21">
        <v>4022</v>
      </c>
      <c r="AV1078" s="21">
        <v>599</v>
      </c>
    </row>
    <row r="1079" spans="1:48" x14ac:dyDescent="0.15">
      <c r="A1079" s="20" t="s">
        <v>61</v>
      </c>
      <c r="B1079" s="20" t="s">
        <v>178</v>
      </c>
      <c r="C1079" s="21">
        <v>5820</v>
      </c>
      <c r="D1079" s="21">
        <v>13</v>
      </c>
      <c r="E1079" s="21">
        <v>0</v>
      </c>
      <c r="F1079" s="21">
        <v>5833</v>
      </c>
      <c r="G1079" s="21">
        <v>793</v>
      </c>
      <c r="H1079" s="21">
        <v>1242</v>
      </c>
      <c r="I1079" s="21">
        <v>1364</v>
      </c>
      <c r="J1079" s="21">
        <v>2329</v>
      </c>
      <c r="K1079" s="21">
        <v>106</v>
      </c>
      <c r="L1079" s="21">
        <v>64</v>
      </c>
      <c r="M1079" s="21">
        <v>0.74239999999999995</v>
      </c>
      <c r="N1079" s="21">
        <v>0.74239999999999995</v>
      </c>
      <c r="O1079" s="21">
        <v>0.36359999999999998</v>
      </c>
      <c r="P1079" s="21">
        <v>230</v>
      </c>
      <c r="Q1079" s="21">
        <v>0.38700000000000001</v>
      </c>
      <c r="R1079" s="21">
        <v>90</v>
      </c>
      <c r="S1079" s="21">
        <v>25</v>
      </c>
      <c r="T1079" s="21">
        <v>0.1721</v>
      </c>
      <c r="U1079" s="21">
        <v>3.5900000000000001E-2</v>
      </c>
      <c r="V1079" s="21">
        <v>0.9657</v>
      </c>
      <c r="W1079" s="21">
        <v>48</v>
      </c>
      <c r="X1079" s="21">
        <v>32</v>
      </c>
      <c r="Y1079" s="21">
        <v>45</v>
      </c>
      <c r="Z1079" s="21">
        <v>0.2</v>
      </c>
      <c r="AA1079" s="21">
        <v>0.7</v>
      </c>
      <c r="AB1079" s="21">
        <v>140</v>
      </c>
      <c r="AC1079" s="21">
        <v>140</v>
      </c>
      <c r="AD1079" s="21">
        <v>142</v>
      </c>
      <c r="AE1079" s="21">
        <v>2</v>
      </c>
      <c r="AF1079" s="21">
        <v>1.38E-2</v>
      </c>
      <c r="AG1079" s="21">
        <v>7</v>
      </c>
      <c r="AH1079" s="21">
        <v>4.8300000000000003E-2</v>
      </c>
      <c r="AI1079" s="21">
        <v>0</v>
      </c>
      <c r="AJ1079" s="21">
        <v>0.69230000000000003</v>
      </c>
      <c r="AK1079" s="21">
        <v>23</v>
      </c>
      <c r="AL1079" s="21">
        <v>0.16139999999999999</v>
      </c>
      <c r="AM1079" s="21">
        <v>14</v>
      </c>
      <c r="AN1079" s="21">
        <v>9.8199999999999996E-2</v>
      </c>
      <c r="AO1079" s="21">
        <v>0.84989999999999999</v>
      </c>
      <c r="AP1079" s="21">
        <v>2</v>
      </c>
      <c r="AQ1079" s="21">
        <v>2</v>
      </c>
      <c r="AR1079" s="21">
        <v>2</v>
      </c>
      <c r="AS1079" s="21">
        <v>0</v>
      </c>
      <c r="AT1079" s="21">
        <v>0</v>
      </c>
      <c r="AU1079" s="21">
        <v>2303</v>
      </c>
      <c r="AV1079" s="21">
        <v>87</v>
      </c>
    </row>
    <row r="1080" spans="1:48" x14ac:dyDescent="0.15">
      <c r="A1080" s="20" t="s">
        <v>48</v>
      </c>
      <c r="B1080" s="20" t="s">
        <v>180</v>
      </c>
      <c r="C1080" s="21">
        <v>10158</v>
      </c>
      <c r="D1080" s="21">
        <v>0</v>
      </c>
      <c r="E1080" s="21">
        <v>0</v>
      </c>
      <c r="F1080" s="21">
        <v>10158</v>
      </c>
      <c r="G1080" s="21">
        <v>651</v>
      </c>
      <c r="H1080" s="21">
        <v>4237</v>
      </c>
      <c r="I1080" s="21">
        <v>1148</v>
      </c>
      <c r="J1080" s="21">
        <v>4127</v>
      </c>
      <c r="K1080" s="21">
        <v>-1</v>
      </c>
      <c r="L1080" s="21">
        <v>91</v>
      </c>
      <c r="M1080" s="21">
        <v>0.49480000000000002</v>
      </c>
      <c r="N1080" s="21">
        <v>0.4536</v>
      </c>
      <c r="O1080" s="21">
        <v>7.22E-2</v>
      </c>
      <c r="P1080" s="21">
        <v>1003</v>
      </c>
      <c r="Q1080" s="21">
        <v>9.0700000000000003E-2</v>
      </c>
      <c r="R1080" s="21">
        <v>112</v>
      </c>
      <c r="S1080" s="21">
        <v>10</v>
      </c>
      <c r="T1080" s="21">
        <v>5.45E-2</v>
      </c>
      <c r="U1080" s="21">
        <v>4.1399999999999999E-2</v>
      </c>
      <c r="V1080" s="21">
        <v>0.90720000000000001</v>
      </c>
      <c r="W1080" s="21">
        <v>16</v>
      </c>
      <c r="X1080" s="21">
        <v>17</v>
      </c>
      <c r="Y1080" s="21">
        <v>28</v>
      </c>
      <c r="Z1080" s="21">
        <v>0.1</v>
      </c>
      <c r="AA1080" s="21">
        <v>0.6</v>
      </c>
      <c r="AB1080" s="21">
        <v>201</v>
      </c>
      <c r="AC1080" s="21">
        <v>201</v>
      </c>
      <c r="AD1080" s="21">
        <v>233</v>
      </c>
      <c r="AE1080" s="21">
        <v>13</v>
      </c>
      <c r="AF1080" s="21">
        <v>4.9099999999999998E-2</v>
      </c>
      <c r="AG1080" s="21">
        <v>77</v>
      </c>
      <c r="AH1080" s="21">
        <v>0.29060000000000002</v>
      </c>
      <c r="AI1080" s="21">
        <v>0</v>
      </c>
      <c r="AJ1080" s="21">
        <v>0.2742</v>
      </c>
      <c r="AK1080" s="21">
        <v>19</v>
      </c>
      <c r="AL1080" s="21">
        <v>8.1500000000000003E-2</v>
      </c>
      <c r="AM1080" s="21">
        <v>7</v>
      </c>
      <c r="AN1080" s="21">
        <v>0.03</v>
      </c>
      <c r="AO1080" s="21">
        <v>0.93610000000000004</v>
      </c>
      <c r="AP1080" s="21">
        <v>11</v>
      </c>
      <c r="AQ1080" s="21">
        <v>11</v>
      </c>
      <c r="AR1080" s="21">
        <v>11</v>
      </c>
      <c r="AS1080" s="21">
        <v>0</v>
      </c>
      <c r="AT1080" s="21">
        <v>0</v>
      </c>
      <c r="AU1080" s="21">
        <v>3711</v>
      </c>
      <c r="AV1080" s="21">
        <v>332</v>
      </c>
    </row>
    <row r="1081" spans="1:48" x14ac:dyDescent="0.15">
      <c r="A1081" s="20" t="s">
        <v>50</v>
      </c>
      <c r="B1081" s="20" t="s">
        <v>180</v>
      </c>
      <c r="C1081" s="21">
        <v>33720</v>
      </c>
      <c r="D1081" s="21">
        <v>615</v>
      </c>
      <c r="E1081" s="21">
        <v>0</v>
      </c>
      <c r="F1081" s="21">
        <v>34335</v>
      </c>
      <c r="G1081" s="21">
        <v>123</v>
      </c>
      <c r="H1081" s="21">
        <v>25217</v>
      </c>
      <c r="I1081" s="21">
        <v>0</v>
      </c>
      <c r="J1081" s="21">
        <v>4293</v>
      </c>
      <c r="K1081" s="21">
        <v>342</v>
      </c>
      <c r="L1081" s="21">
        <v>154</v>
      </c>
      <c r="M1081" s="21">
        <v>0.82099999999999995</v>
      </c>
      <c r="N1081" s="21">
        <v>0.81479999999999997</v>
      </c>
      <c r="O1081" s="21">
        <v>0.62960000000000005</v>
      </c>
      <c r="P1081" s="21">
        <v>903</v>
      </c>
      <c r="Q1081" s="21">
        <v>0.50829999999999997</v>
      </c>
      <c r="R1081" s="21">
        <v>234</v>
      </c>
      <c r="S1081" s="21">
        <v>38</v>
      </c>
      <c r="T1081" s="21">
        <v>9.5000000000000001E-2</v>
      </c>
      <c r="U1081" s="21">
        <v>3.32E-2</v>
      </c>
      <c r="V1081" s="21">
        <v>0.99209999999999998</v>
      </c>
      <c r="W1081" s="21">
        <v>20</v>
      </c>
      <c r="X1081" s="21">
        <v>27</v>
      </c>
      <c r="Y1081" s="21">
        <v>54</v>
      </c>
      <c r="Z1081" s="21">
        <v>0.2</v>
      </c>
      <c r="AA1081" s="21">
        <v>0.5</v>
      </c>
      <c r="AB1081" s="21">
        <v>144</v>
      </c>
      <c r="AC1081" s="21">
        <v>144</v>
      </c>
      <c r="AD1081" s="21">
        <v>140</v>
      </c>
      <c r="AE1081" s="21">
        <v>32</v>
      </c>
      <c r="AF1081" s="21">
        <v>0.23699999999999999</v>
      </c>
      <c r="AG1081" s="21">
        <v>23</v>
      </c>
      <c r="AH1081" s="21">
        <v>0.1704</v>
      </c>
      <c r="AI1081" s="21">
        <v>5.2600000000000001E-2</v>
      </c>
      <c r="AJ1081" s="21">
        <v>0.54169999999999996</v>
      </c>
      <c r="AK1081" s="21">
        <v>41</v>
      </c>
      <c r="AL1081" s="21">
        <v>0.29389999999999999</v>
      </c>
      <c r="AM1081" s="21">
        <v>12</v>
      </c>
      <c r="AN1081" s="21">
        <v>8.5999999999999993E-2</v>
      </c>
      <c r="AO1081" s="21">
        <v>0.77939999999999998</v>
      </c>
      <c r="AP1081" s="21">
        <v>12</v>
      </c>
      <c r="AQ1081" s="21">
        <v>12</v>
      </c>
      <c r="AR1081" s="21">
        <v>11</v>
      </c>
      <c r="AS1081" s="21">
        <v>0</v>
      </c>
      <c r="AT1081" s="21">
        <v>0</v>
      </c>
      <c r="AU1081" s="21">
        <v>5462</v>
      </c>
      <c r="AV1081" s="21">
        <v>183</v>
      </c>
    </row>
    <row r="1082" spans="1:48" x14ac:dyDescent="0.15">
      <c r="A1082" s="20" t="s">
        <v>51</v>
      </c>
      <c r="B1082" s="20" t="s">
        <v>180</v>
      </c>
      <c r="C1082" s="21">
        <v>44296</v>
      </c>
      <c r="D1082" s="21">
        <v>9353</v>
      </c>
      <c r="E1082" s="21">
        <v>0</v>
      </c>
      <c r="F1082" s="21">
        <v>53649</v>
      </c>
      <c r="G1082" s="21">
        <v>1528</v>
      </c>
      <c r="H1082" s="21">
        <v>23107</v>
      </c>
      <c r="I1082" s="21">
        <v>9847</v>
      </c>
      <c r="J1082" s="21">
        <v>9246</v>
      </c>
      <c r="K1082" s="21">
        <v>9463</v>
      </c>
      <c r="L1082" s="21">
        <v>760</v>
      </c>
      <c r="M1082" s="21">
        <v>0.75739999999999996</v>
      </c>
      <c r="N1082" s="21">
        <v>0.66879999999999995</v>
      </c>
      <c r="O1082" s="21">
        <v>0.64439999999999997</v>
      </c>
      <c r="P1082" s="21">
        <v>3078</v>
      </c>
      <c r="Q1082" s="21">
        <v>0.51949999999999996</v>
      </c>
      <c r="R1082" s="21">
        <v>70</v>
      </c>
      <c r="S1082" s="21">
        <v>17</v>
      </c>
      <c r="T1082" s="21">
        <v>0.129</v>
      </c>
      <c r="U1082" s="21">
        <v>8.6499999999999994E-2</v>
      </c>
      <c r="V1082" s="21">
        <v>0.96179999999999999</v>
      </c>
      <c r="W1082" s="21">
        <v>842</v>
      </c>
      <c r="X1082" s="21">
        <v>1019</v>
      </c>
      <c r="Y1082" s="21">
        <v>1999</v>
      </c>
      <c r="Z1082" s="21">
        <v>0.1</v>
      </c>
      <c r="AA1082" s="21">
        <v>0.5</v>
      </c>
      <c r="AB1082" s="21">
        <v>7994</v>
      </c>
      <c r="AC1082" s="21">
        <v>7841</v>
      </c>
      <c r="AD1082" s="21">
        <v>7707</v>
      </c>
      <c r="AE1082" s="21">
        <v>1338</v>
      </c>
      <c r="AF1082" s="21">
        <v>0.18029999999999999</v>
      </c>
      <c r="AG1082" s="21">
        <v>764</v>
      </c>
      <c r="AH1082" s="21">
        <v>0.10299999999999999</v>
      </c>
      <c r="AI1082" s="21">
        <v>6.4100000000000004E-2</v>
      </c>
      <c r="AJ1082" s="21">
        <v>0.52510000000000001</v>
      </c>
      <c r="AK1082" s="21">
        <v>1498</v>
      </c>
      <c r="AL1082" s="21">
        <v>0.19650000000000001</v>
      </c>
      <c r="AM1082" s="21">
        <v>581</v>
      </c>
      <c r="AN1082" s="21">
        <v>7.6200000000000004E-2</v>
      </c>
      <c r="AO1082" s="21">
        <v>0.61709999999999998</v>
      </c>
      <c r="AP1082" s="21">
        <v>157</v>
      </c>
      <c r="AQ1082" s="21">
        <v>157</v>
      </c>
      <c r="AR1082" s="21">
        <v>52</v>
      </c>
      <c r="AS1082" s="21">
        <v>83</v>
      </c>
      <c r="AT1082" s="21">
        <v>22</v>
      </c>
      <c r="AU1082" s="21">
        <v>15952</v>
      </c>
      <c r="AV1082" s="21">
        <v>1731</v>
      </c>
    </row>
    <row r="1083" spans="1:48" x14ac:dyDescent="0.15">
      <c r="A1083" s="20" t="s">
        <v>52</v>
      </c>
      <c r="B1083" s="20" t="s">
        <v>180</v>
      </c>
      <c r="C1083" s="21">
        <v>24496</v>
      </c>
      <c r="D1083" s="21">
        <v>1514</v>
      </c>
      <c r="E1083" s="21">
        <v>0</v>
      </c>
      <c r="F1083" s="21">
        <v>26010</v>
      </c>
      <c r="G1083" s="21">
        <v>1672</v>
      </c>
      <c r="H1083" s="21">
        <v>9311</v>
      </c>
      <c r="I1083" s="21">
        <v>6968</v>
      </c>
      <c r="J1083" s="21">
        <v>7467</v>
      </c>
      <c r="K1083" s="21">
        <v>541</v>
      </c>
      <c r="L1083" s="21">
        <v>214</v>
      </c>
      <c r="M1083" s="21">
        <v>0.7944</v>
      </c>
      <c r="N1083" s="21">
        <v>0.76639999999999997</v>
      </c>
      <c r="O1083" s="21">
        <v>0.47199999999999998</v>
      </c>
      <c r="P1083" s="21">
        <v>1177</v>
      </c>
      <c r="Q1083" s="21">
        <v>0.38829999999999998</v>
      </c>
      <c r="R1083" s="21">
        <v>122</v>
      </c>
      <c r="S1083" s="21">
        <v>22</v>
      </c>
      <c r="T1083" s="21">
        <v>9.7600000000000006E-2</v>
      </c>
      <c r="U1083" s="21">
        <v>3.8100000000000002E-2</v>
      </c>
      <c r="V1083" s="21">
        <v>0.96619999999999995</v>
      </c>
      <c r="W1083" s="21">
        <v>392</v>
      </c>
      <c r="X1083" s="21">
        <v>175</v>
      </c>
      <c r="Y1083" s="21">
        <v>177</v>
      </c>
      <c r="Z1083" s="21">
        <v>0.3</v>
      </c>
      <c r="AA1083" s="21">
        <v>1</v>
      </c>
      <c r="AB1083" s="21">
        <v>584</v>
      </c>
      <c r="AC1083" s="21">
        <v>583</v>
      </c>
      <c r="AD1083" s="21">
        <v>573</v>
      </c>
      <c r="AE1083" s="21">
        <v>47</v>
      </c>
      <c r="AF1083" s="21">
        <v>8.3599999999999994E-2</v>
      </c>
      <c r="AG1083" s="21">
        <v>25</v>
      </c>
      <c r="AH1083" s="21">
        <v>4.4499999999999998E-2</v>
      </c>
      <c r="AI1083" s="21">
        <v>0.1429</v>
      </c>
      <c r="AJ1083" s="21">
        <v>0.83330000000000004</v>
      </c>
      <c r="AK1083" s="21">
        <v>119</v>
      </c>
      <c r="AL1083" s="21">
        <v>0.2079</v>
      </c>
      <c r="AM1083" s="21">
        <v>66</v>
      </c>
      <c r="AN1083" s="21">
        <v>0.1153</v>
      </c>
      <c r="AO1083" s="21">
        <v>0.96179999999999999</v>
      </c>
      <c r="AP1083" s="21">
        <v>48</v>
      </c>
      <c r="AQ1083" s="21">
        <v>48</v>
      </c>
      <c r="AR1083" s="21">
        <v>48</v>
      </c>
      <c r="AS1083" s="21">
        <v>1</v>
      </c>
      <c r="AT1083" s="21">
        <v>0</v>
      </c>
      <c r="AU1083" s="21">
        <v>2966</v>
      </c>
      <c r="AV1083" s="21">
        <v>607</v>
      </c>
    </row>
    <row r="1084" spans="1:48" x14ac:dyDescent="0.15">
      <c r="A1084" s="20" t="s">
        <v>53</v>
      </c>
      <c r="B1084" s="20" t="s">
        <v>180</v>
      </c>
      <c r="C1084" s="21">
        <v>9755</v>
      </c>
      <c r="D1084" s="21">
        <v>519</v>
      </c>
      <c r="E1084" s="21">
        <v>0</v>
      </c>
      <c r="F1084" s="21">
        <v>10274</v>
      </c>
      <c r="H1084" s="21">
        <v>-6</v>
      </c>
      <c r="I1084" s="21">
        <v>3831</v>
      </c>
      <c r="J1084" s="21">
        <v>6195</v>
      </c>
      <c r="K1084" s="21">
        <v>0</v>
      </c>
      <c r="L1084" s="21">
        <v>200</v>
      </c>
      <c r="M1084" s="21">
        <v>0.66830000000000001</v>
      </c>
      <c r="N1084" s="21">
        <v>0.64849999999999997</v>
      </c>
      <c r="O1084" s="21">
        <v>0.23760000000000001</v>
      </c>
      <c r="P1084" s="21">
        <v>2014</v>
      </c>
      <c r="Q1084" s="21">
        <v>9.7799999999999998E-2</v>
      </c>
      <c r="R1084" s="21">
        <v>65</v>
      </c>
      <c r="S1084" s="21">
        <v>5</v>
      </c>
      <c r="T1084" s="21">
        <v>0.16170000000000001</v>
      </c>
      <c r="U1084" s="21">
        <v>4.3499999999999997E-2</v>
      </c>
      <c r="V1084" s="21">
        <v>0.94940000000000002</v>
      </c>
      <c r="W1084" s="21">
        <v>459</v>
      </c>
      <c r="X1084" s="21">
        <v>513</v>
      </c>
      <c r="Y1084" s="21">
        <v>961</v>
      </c>
      <c r="Z1084" s="21">
        <v>0.2</v>
      </c>
      <c r="AA1084" s="21">
        <v>0.5</v>
      </c>
      <c r="AB1084" s="21">
        <v>2935</v>
      </c>
      <c r="AC1084" s="21">
        <v>2934</v>
      </c>
      <c r="AD1084" s="21">
        <v>3152</v>
      </c>
      <c r="AE1084" s="21">
        <v>429</v>
      </c>
      <c r="AF1084" s="21">
        <v>0.12740000000000001</v>
      </c>
      <c r="AG1084" s="21">
        <v>862</v>
      </c>
      <c r="AH1084" s="21">
        <v>0.25590000000000002</v>
      </c>
      <c r="AI1084" s="21">
        <v>6.0900000000000003E-2</v>
      </c>
      <c r="AJ1084" s="21">
        <v>0.57569999999999999</v>
      </c>
      <c r="AK1084" s="21">
        <v>699</v>
      </c>
      <c r="AL1084" s="21">
        <v>0.2218</v>
      </c>
      <c r="AM1084" s="21">
        <v>305</v>
      </c>
      <c r="AN1084" s="21">
        <v>9.6799999999999997E-2</v>
      </c>
      <c r="AO1084" s="21">
        <v>0.30880000000000002</v>
      </c>
      <c r="AP1084" s="21">
        <v>16</v>
      </c>
      <c r="AQ1084" s="21">
        <v>16</v>
      </c>
      <c r="AR1084" s="21">
        <v>14</v>
      </c>
      <c r="AS1084" s="21">
        <v>2</v>
      </c>
      <c r="AT1084" s="21">
        <v>0</v>
      </c>
      <c r="AU1084" s="21">
        <v>2333</v>
      </c>
      <c r="AV1084" s="21">
        <v>397</v>
      </c>
    </row>
    <row r="1085" spans="1:48" x14ac:dyDescent="0.15">
      <c r="A1085" s="20" t="s">
        <v>0</v>
      </c>
      <c r="B1085" s="20" t="s">
        <v>180</v>
      </c>
      <c r="C1085" s="21">
        <v>239449</v>
      </c>
      <c r="D1085" s="21">
        <v>20098</v>
      </c>
      <c r="E1085" s="21">
        <v>0</v>
      </c>
      <c r="F1085" s="21">
        <v>259548</v>
      </c>
      <c r="G1085" s="21">
        <v>16463</v>
      </c>
      <c r="H1085" s="21">
        <v>100233</v>
      </c>
      <c r="I1085" s="21">
        <v>36155</v>
      </c>
      <c r="J1085" s="21">
        <v>79154</v>
      </c>
      <c r="K1085" s="21">
        <v>23122</v>
      </c>
      <c r="L1085" s="21">
        <v>2486</v>
      </c>
      <c r="M1085" s="21">
        <v>0.755</v>
      </c>
      <c r="N1085" s="21">
        <v>0.70740000000000003</v>
      </c>
      <c r="O1085" s="21">
        <v>0.48649999999999999</v>
      </c>
      <c r="P1085" s="21">
        <v>17237</v>
      </c>
      <c r="Q1085" s="21">
        <v>0.31040000000000001</v>
      </c>
      <c r="R1085" s="21">
        <v>106</v>
      </c>
      <c r="S1085" s="21">
        <v>15</v>
      </c>
      <c r="T1085" s="21">
        <v>0.1176</v>
      </c>
      <c r="U1085" s="21">
        <v>4.8099999999999997E-2</v>
      </c>
      <c r="V1085" s="21">
        <v>0.96530000000000005</v>
      </c>
      <c r="W1085" s="21">
        <v>2951</v>
      </c>
      <c r="X1085" s="21">
        <v>3027</v>
      </c>
      <c r="Y1085" s="21">
        <v>5635</v>
      </c>
      <c r="Z1085" s="21">
        <v>0.2</v>
      </c>
      <c r="AA1085" s="21">
        <v>0.5</v>
      </c>
      <c r="AB1085" s="21">
        <v>19549</v>
      </c>
      <c r="AC1085" s="21">
        <v>19258</v>
      </c>
      <c r="AD1085" s="21">
        <v>19478</v>
      </c>
      <c r="AE1085" s="21">
        <v>2884</v>
      </c>
      <c r="AF1085" s="21">
        <v>0.14860000000000001</v>
      </c>
      <c r="AG1085" s="21">
        <v>2742</v>
      </c>
      <c r="AH1085" s="21">
        <v>0.14130000000000001</v>
      </c>
      <c r="AI1085" s="21">
        <v>7.9899999999999999E-2</v>
      </c>
      <c r="AJ1085" s="21">
        <v>0.60409999999999997</v>
      </c>
      <c r="AK1085" s="21">
        <v>4032</v>
      </c>
      <c r="AL1085" s="21">
        <v>0.20860000000000001</v>
      </c>
      <c r="AM1085" s="21">
        <v>1707</v>
      </c>
      <c r="AN1085" s="21">
        <v>8.8300000000000003E-2</v>
      </c>
      <c r="AO1085" s="21">
        <v>0.68569999999999998</v>
      </c>
      <c r="AP1085" s="21">
        <v>973</v>
      </c>
      <c r="AQ1085" s="21">
        <v>972</v>
      </c>
      <c r="AR1085" s="21">
        <v>554</v>
      </c>
      <c r="AS1085" s="21">
        <v>320</v>
      </c>
      <c r="AT1085" s="21">
        <v>97</v>
      </c>
      <c r="AU1085" s="21">
        <v>58836</v>
      </c>
      <c r="AV1085" s="21">
        <v>5261</v>
      </c>
    </row>
    <row r="1086" spans="1:48" x14ac:dyDescent="0.15">
      <c r="A1086" s="20" t="s">
        <v>54</v>
      </c>
      <c r="B1086" s="20" t="s">
        <v>180</v>
      </c>
      <c r="C1086" s="21">
        <v>26815</v>
      </c>
      <c r="D1086" s="21">
        <v>3254</v>
      </c>
      <c r="E1086" s="21">
        <v>0</v>
      </c>
      <c r="F1086" s="21">
        <v>30069</v>
      </c>
      <c r="G1086" s="21">
        <v>4740</v>
      </c>
      <c r="H1086" s="21">
        <v>7670</v>
      </c>
      <c r="I1086" s="21">
        <v>3711</v>
      </c>
      <c r="J1086" s="21">
        <v>11958</v>
      </c>
      <c r="K1086" s="21">
        <v>657</v>
      </c>
      <c r="L1086" s="21">
        <v>240</v>
      </c>
      <c r="M1086" s="21">
        <v>0.81850000000000001</v>
      </c>
      <c r="N1086" s="21">
        <v>0.7258</v>
      </c>
      <c r="O1086" s="21">
        <v>0.629</v>
      </c>
      <c r="P1086" s="21">
        <v>571</v>
      </c>
      <c r="Q1086" s="21">
        <v>1.4256</v>
      </c>
      <c r="R1086" s="21">
        <v>138</v>
      </c>
      <c r="S1086" s="21">
        <v>53</v>
      </c>
      <c r="T1086" s="21">
        <v>0.1205</v>
      </c>
      <c r="U1086" s="21">
        <v>2.4400000000000002E-2</v>
      </c>
      <c r="V1086" s="21">
        <v>0.97960000000000003</v>
      </c>
      <c r="W1086" s="21">
        <v>178</v>
      </c>
      <c r="X1086" s="21">
        <v>193</v>
      </c>
      <c r="Y1086" s="21">
        <v>355</v>
      </c>
      <c r="Z1086" s="21">
        <v>0.2</v>
      </c>
      <c r="AA1086" s="21">
        <v>0.5</v>
      </c>
      <c r="AB1086" s="21">
        <v>933</v>
      </c>
      <c r="AC1086" s="21">
        <v>933</v>
      </c>
      <c r="AD1086" s="21">
        <v>937</v>
      </c>
      <c r="AE1086" s="21">
        <v>137</v>
      </c>
      <c r="AF1086" s="21">
        <v>0.14560000000000001</v>
      </c>
      <c r="AG1086" s="21">
        <v>145</v>
      </c>
      <c r="AH1086" s="21">
        <v>0.15409999999999999</v>
      </c>
      <c r="AI1086" s="21">
        <v>0.13039999999999999</v>
      </c>
      <c r="AJ1086" s="21">
        <v>0.3609</v>
      </c>
      <c r="AK1086" s="21">
        <v>261</v>
      </c>
      <c r="AL1086" s="21">
        <v>0.27850000000000003</v>
      </c>
      <c r="AM1086" s="21">
        <v>152</v>
      </c>
      <c r="AN1086" s="21">
        <v>0.16220000000000001</v>
      </c>
      <c r="AO1086" s="21">
        <v>0.83879999999999999</v>
      </c>
      <c r="AP1086" s="21">
        <v>93</v>
      </c>
      <c r="AQ1086" s="21">
        <v>93</v>
      </c>
      <c r="AR1086" s="21">
        <v>77</v>
      </c>
      <c r="AS1086" s="21">
        <v>16</v>
      </c>
      <c r="AT1086" s="21">
        <v>0</v>
      </c>
      <c r="AU1086" s="21">
        <v>6526</v>
      </c>
      <c r="AV1086" s="21">
        <v>228</v>
      </c>
    </row>
    <row r="1087" spans="1:48" x14ac:dyDescent="0.15">
      <c r="A1087" s="20" t="s">
        <v>55</v>
      </c>
      <c r="B1087" s="20" t="s">
        <v>180</v>
      </c>
      <c r="C1087" s="21">
        <v>8455</v>
      </c>
      <c r="D1087" s="21">
        <v>630</v>
      </c>
      <c r="E1087" s="21">
        <v>0</v>
      </c>
      <c r="F1087" s="21">
        <v>9085</v>
      </c>
      <c r="G1087" s="21">
        <v>67</v>
      </c>
      <c r="H1087" s="21">
        <v>202</v>
      </c>
      <c r="I1087" s="21">
        <v>5405</v>
      </c>
      <c r="J1087" s="21">
        <v>961</v>
      </c>
      <c r="K1087" s="21">
        <v>2478</v>
      </c>
      <c r="L1087" s="21">
        <v>98</v>
      </c>
      <c r="M1087" s="21">
        <v>0.80559999999999998</v>
      </c>
      <c r="N1087" s="21">
        <v>0.80559999999999998</v>
      </c>
      <c r="O1087" s="21">
        <v>0.25929999999999997</v>
      </c>
      <c r="P1087" s="21">
        <v>1318</v>
      </c>
      <c r="Q1087" s="21">
        <v>0.17749999999999999</v>
      </c>
      <c r="R1087" s="21">
        <v>95</v>
      </c>
      <c r="S1087" s="21">
        <v>7</v>
      </c>
      <c r="T1087" s="21">
        <v>0.1268</v>
      </c>
      <c r="U1087" s="21">
        <v>2.8299999999999999E-2</v>
      </c>
      <c r="V1087" s="21">
        <v>0.99099999999999999</v>
      </c>
      <c r="W1087" s="21">
        <v>225</v>
      </c>
      <c r="X1087" s="21">
        <v>228</v>
      </c>
      <c r="Y1087" s="21">
        <v>470</v>
      </c>
      <c r="Z1087" s="21">
        <v>0.2</v>
      </c>
      <c r="AA1087" s="21">
        <v>0.5</v>
      </c>
      <c r="AB1087" s="21">
        <v>948</v>
      </c>
      <c r="AC1087" s="21">
        <v>948</v>
      </c>
      <c r="AD1087" s="21">
        <v>980</v>
      </c>
      <c r="AE1087" s="21">
        <v>127</v>
      </c>
      <c r="AF1087" s="21">
        <v>0.1255</v>
      </c>
      <c r="AG1087" s="21">
        <v>191</v>
      </c>
      <c r="AH1087" s="21">
        <v>0.18870000000000001</v>
      </c>
      <c r="AI1087" s="21">
        <v>0</v>
      </c>
      <c r="AJ1087" s="21">
        <v>0.52290000000000003</v>
      </c>
      <c r="AK1087" s="21">
        <v>301</v>
      </c>
      <c r="AL1087" s="21">
        <v>0.30709999999999998</v>
      </c>
      <c r="AM1087" s="21">
        <v>129</v>
      </c>
      <c r="AN1087" s="21">
        <v>0.13159999999999999</v>
      </c>
      <c r="AO1087" s="21">
        <v>0.81220000000000003</v>
      </c>
      <c r="AP1087" s="21">
        <v>31</v>
      </c>
      <c r="AQ1087" s="21">
        <v>31</v>
      </c>
      <c r="AR1087" s="21">
        <v>12</v>
      </c>
      <c r="AS1087" s="21">
        <v>0</v>
      </c>
      <c r="AT1087" s="21">
        <v>19</v>
      </c>
      <c r="AU1087" s="21">
        <v>512</v>
      </c>
      <c r="AV1087" s="21">
        <v>53</v>
      </c>
    </row>
    <row r="1088" spans="1:48" x14ac:dyDescent="0.15">
      <c r="A1088" s="20" t="s">
        <v>56</v>
      </c>
      <c r="B1088" s="20" t="s">
        <v>180</v>
      </c>
      <c r="C1088" s="21">
        <v>47</v>
      </c>
      <c r="D1088" s="21">
        <v>31</v>
      </c>
      <c r="E1088" s="21">
        <v>0</v>
      </c>
      <c r="F1088" s="21">
        <v>78</v>
      </c>
      <c r="G1088" s="21">
        <v>0</v>
      </c>
      <c r="H1088" s="21">
        <v>0</v>
      </c>
      <c r="I1088" s="21">
        <v>0</v>
      </c>
      <c r="J1088" s="21">
        <v>39</v>
      </c>
      <c r="K1088" s="21">
        <v>38</v>
      </c>
      <c r="L1088" s="21">
        <v>36</v>
      </c>
      <c r="M1088" s="21">
        <v>0.1837</v>
      </c>
      <c r="N1088" s="21">
        <v>0.1429</v>
      </c>
      <c r="O1088" s="21">
        <v>4.0800000000000003E-2</v>
      </c>
      <c r="P1088" s="21">
        <v>2041</v>
      </c>
      <c r="Q1088" s="21">
        <v>4.4000000000000003E-3</v>
      </c>
      <c r="R1088" s="21">
        <v>2</v>
      </c>
      <c r="S1088" s="21">
        <v>0</v>
      </c>
      <c r="T1088" s="21">
        <v>0.42220000000000002</v>
      </c>
      <c r="U1088" s="21">
        <v>4.7E-2</v>
      </c>
      <c r="V1088" s="21">
        <v>0.98209999999999997</v>
      </c>
      <c r="W1088" s="21">
        <v>84</v>
      </c>
      <c r="X1088" s="21">
        <v>67</v>
      </c>
      <c r="Y1088" s="21">
        <v>99</v>
      </c>
      <c r="Z1088" s="21">
        <v>0.3</v>
      </c>
      <c r="AA1088" s="21">
        <v>0.7</v>
      </c>
      <c r="AB1088" s="21">
        <v>196</v>
      </c>
      <c r="AC1088" s="21">
        <v>196</v>
      </c>
      <c r="AD1088" s="21">
        <v>192</v>
      </c>
      <c r="AE1088" s="21">
        <v>14</v>
      </c>
      <c r="AF1088" s="21">
        <v>7.4099999999999999E-2</v>
      </c>
      <c r="AG1088" s="21">
        <v>7</v>
      </c>
      <c r="AH1088" s="21">
        <v>3.6999999999999998E-2</v>
      </c>
      <c r="AI1088" s="21">
        <v>0.2903</v>
      </c>
      <c r="AJ1088" s="21">
        <v>1</v>
      </c>
      <c r="AK1088" s="21">
        <v>60</v>
      </c>
      <c r="AL1088" s="21">
        <v>0.31169999999999998</v>
      </c>
      <c r="AM1088" s="21">
        <v>38</v>
      </c>
      <c r="AN1088" s="21">
        <v>0.19739999999999999</v>
      </c>
      <c r="AO1088" s="21">
        <v>0.91510000000000002</v>
      </c>
      <c r="AP1088" s="21">
        <v>204</v>
      </c>
      <c r="AQ1088" s="21">
        <v>204</v>
      </c>
      <c r="AR1088" s="21">
        <v>89</v>
      </c>
      <c r="AS1088" s="21">
        <v>115</v>
      </c>
      <c r="AT1088" s="21">
        <v>0</v>
      </c>
      <c r="AU1088" s="21">
        <v>3021</v>
      </c>
      <c r="AV1088" s="21">
        <v>253</v>
      </c>
    </row>
    <row r="1089" spans="1:48" x14ac:dyDescent="0.15">
      <c r="A1089" s="20" t="s">
        <v>57</v>
      </c>
      <c r="B1089" s="20" t="s">
        <v>180</v>
      </c>
      <c r="C1089" s="21">
        <v>24641</v>
      </c>
      <c r="D1089" s="21">
        <v>1853</v>
      </c>
      <c r="E1089" s="21">
        <v>0</v>
      </c>
      <c r="F1089" s="21">
        <v>26493</v>
      </c>
      <c r="G1089" s="21">
        <v>21</v>
      </c>
      <c r="H1089" s="21">
        <v>3399</v>
      </c>
      <c r="I1089" s="21">
        <v>1410</v>
      </c>
      <c r="J1089" s="21">
        <v>23314</v>
      </c>
      <c r="K1089" s="21">
        <v>114</v>
      </c>
      <c r="L1089" s="21">
        <v>144</v>
      </c>
      <c r="M1089" s="21">
        <v>0.63890000000000002</v>
      </c>
      <c r="N1089" s="21">
        <v>0.60419999999999996</v>
      </c>
      <c r="O1089" s="21">
        <v>0.51390000000000002</v>
      </c>
      <c r="P1089" s="21">
        <v>694</v>
      </c>
      <c r="Q1089" s="21">
        <v>0.25650000000000001</v>
      </c>
      <c r="R1089" s="21">
        <v>180</v>
      </c>
      <c r="S1089" s="21">
        <v>38</v>
      </c>
      <c r="T1089" s="21">
        <v>9.5699999999999993E-2</v>
      </c>
      <c r="U1089" s="21">
        <v>2.6599999999999999E-2</v>
      </c>
      <c r="V1089" s="21">
        <v>0.97570000000000001</v>
      </c>
      <c r="W1089" s="21">
        <v>96</v>
      </c>
      <c r="X1089" s="21">
        <v>115</v>
      </c>
      <c r="Y1089" s="21">
        <v>150</v>
      </c>
      <c r="Z1089" s="21">
        <v>0.2</v>
      </c>
      <c r="AA1089" s="21">
        <v>0.8</v>
      </c>
      <c r="AB1089" s="21">
        <v>715</v>
      </c>
      <c r="AC1089" s="21">
        <v>715</v>
      </c>
      <c r="AD1089" s="21">
        <v>723</v>
      </c>
      <c r="AE1089" s="21">
        <v>52</v>
      </c>
      <c r="AF1089" s="21">
        <v>7.1099999999999997E-2</v>
      </c>
      <c r="AG1089" s="21">
        <v>68</v>
      </c>
      <c r="AH1089" s="21">
        <v>9.2999999999999999E-2</v>
      </c>
      <c r="AI1089" s="21">
        <v>0.17069999999999999</v>
      </c>
      <c r="AJ1089" s="21">
        <v>0.64439999999999997</v>
      </c>
      <c r="AK1089" s="21">
        <v>115</v>
      </c>
      <c r="AL1089" s="21">
        <v>0.15909999999999999</v>
      </c>
      <c r="AM1089" s="21">
        <v>54</v>
      </c>
      <c r="AN1089" s="21">
        <v>7.4700000000000003E-2</v>
      </c>
      <c r="AO1089" s="21">
        <v>0.7046</v>
      </c>
      <c r="AP1089" s="21">
        <v>176</v>
      </c>
      <c r="AQ1089" s="21">
        <v>176</v>
      </c>
      <c r="AR1089" s="21">
        <v>57</v>
      </c>
      <c r="AS1089" s="21">
        <v>64</v>
      </c>
      <c r="AT1089" s="21">
        <v>55</v>
      </c>
      <c r="AU1089" s="21">
        <v>5042</v>
      </c>
      <c r="AV1089" s="21">
        <v>374</v>
      </c>
    </row>
    <row r="1090" spans="1:48" x14ac:dyDescent="0.15">
      <c r="A1090" s="20" t="s">
        <v>58</v>
      </c>
      <c r="B1090" s="20" t="s">
        <v>180</v>
      </c>
      <c r="C1090" s="21">
        <v>40015</v>
      </c>
      <c r="D1090" s="21">
        <v>1136</v>
      </c>
      <c r="E1090" s="21">
        <v>0</v>
      </c>
      <c r="F1090" s="21">
        <v>41151</v>
      </c>
      <c r="G1090" s="21">
        <v>5301</v>
      </c>
      <c r="H1090" s="21">
        <v>21202</v>
      </c>
      <c r="J1090" s="21">
        <v>5170</v>
      </c>
      <c r="K1090" s="21">
        <v>9209</v>
      </c>
      <c r="L1090" s="21">
        <v>372</v>
      </c>
      <c r="M1090" s="21">
        <v>0.87529999999999997</v>
      </c>
      <c r="N1090" s="21">
        <v>0.86260000000000003</v>
      </c>
      <c r="O1090" s="21">
        <v>0.45800000000000002</v>
      </c>
      <c r="P1090" s="21">
        <v>2590</v>
      </c>
      <c r="Q1090" s="21">
        <v>0.40079999999999999</v>
      </c>
      <c r="R1090" s="21">
        <v>108</v>
      </c>
      <c r="S1090" s="21">
        <v>16</v>
      </c>
      <c r="T1090" s="21">
        <v>0.15989999999999999</v>
      </c>
      <c r="U1090" s="21">
        <v>8.2600000000000007E-2</v>
      </c>
      <c r="V1090" s="21">
        <v>0.95489999999999997</v>
      </c>
      <c r="W1090" s="21">
        <v>513</v>
      </c>
      <c r="X1090" s="21">
        <v>526</v>
      </c>
      <c r="Y1090" s="21">
        <v>1077</v>
      </c>
      <c r="Z1090" s="21">
        <v>0.1</v>
      </c>
      <c r="AA1090" s="21">
        <v>0.5</v>
      </c>
      <c r="AB1090" s="21">
        <v>3987</v>
      </c>
      <c r="AC1090" s="21">
        <v>3940</v>
      </c>
      <c r="AD1090" s="21">
        <v>3818</v>
      </c>
      <c r="AE1090" s="21">
        <v>507</v>
      </c>
      <c r="AF1090" s="21">
        <v>0.1389</v>
      </c>
      <c r="AG1090" s="21">
        <v>170</v>
      </c>
      <c r="AH1090" s="21">
        <v>4.6600000000000003E-2</v>
      </c>
      <c r="AI1090" s="21">
        <v>9.0200000000000002E-2</v>
      </c>
      <c r="AJ1090" s="21">
        <v>0.85860000000000003</v>
      </c>
      <c r="AK1090" s="21">
        <v>713</v>
      </c>
      <c r="AL1090" s="21">
        <v>0.18790000000000001</v>
      </c>
      <c r="AM1090" s="21">
        <v>272</v>
      </c>
      <c r="AN1090" s="21">
        <v>7.17E-2</v>
      </c>
      <c r="AO1090" s="21">
        <v>0.81910000000000005</v>
      </c>
      <c r="AP1090" s="21">
        <v>190</v>
      </c>
      <c r="AQ1090" s="21">
        <v>190</v>
      </c>
      <c r="AR1090" s="21">
        <v>166</v>
      </c>
      <c r="AS1090" s="21">
        <v>24</v>
      </c>
      <c r="AT1090" s="21">
        <v>1</v>
      </c>
      <c r="AU1090" s="21">
        <v>4953</v>
      </c>
      <c r="AV1090" s="21">
        <v>570</v>
      </c>
    </row>
    <row r="1091" spans="1:48" x14ac:dyDescent="0.15">
      <c r="A1091" s="20" t="s">
        <v>59</v>
      </c>
      <c r="B1091" s="20" t="s">
        <v>180</v>
      </c>
      <c r="C1091" s="21">
        <v>4960</v>
      </c>
      <c r="D1091" s="21">
        <v>1062</v>
      </c>
      <c r="E1091" s="21">
        <v>0</v>
      </c>
      <c r="F1091" s="21">
        <v>6021</v>
      </c>
      <c r="G1091" s="21">
        <v>1092</v>
      </c>
      <c r="H1091" s="21">
        <v>1216</v>
      </c>
      <c r="I1091" s="21">
        <v>1604</v>
      </c>
      <c r="J1091" s="21">
        <v>2843</v>
      </c>
      <c r="K1091" s="21">
        <v>0</v>
      </c>
      <c r="L1091" s="21">
        <v>53</v>
      </c>
      <c r="M1091" s="21">
        <v>0.65449999999999997</v>
      </c>
      <c r="N1091" s="21">
        <v>0.6</v>
      </c>
      <c r="O1091" s="21">
        <v>0.54549999999999998</v>
      </c>
      <c r="P1091" s="21">
        <v>1155</v>
      </c>
      <c r="Q1091" s="21">
        <v>7.1900000000000006E-2</v>
      </c>
      <c r="R1091" s="21">
        <v>115</v>
      </c>
      <c r="S1091" s="21">
        <v>5</v>
      </c>
      <c r="T1091" s="21">
        <v>9.8599999999999993E-2</v>
      </c>
      <c r="U1091" s="21">
        <v>8.5199999999999998E-2</v>
      </c>
      <c r="V1091" s="21">
        <v>0.98519999999999996</v>
      </c>
      <c r="W1091" s="21">
        <v>11</v>
      </c>
      <c r="X1091" s="21">
        <v>11</v>
      </c>
      <c r="Y1091" s="21">
        <v>22</v>
      </c>
      <c r="Z1091" s="21">
        <v>0.1</v>
      </c>
      <c r="AA1091" s="21">
        <v>0.5</v>
      </c>
      <c r="AB1091" s="21">
        <v>97</v>
      </c>
      <c r="AC1091" s="21">
        <v>97</v>
      </c>
      <c r="AD1091" s="21">
        <v>102</v>
      </c>
      <c r="AE1091" s="21">
        <v>4</v>
      </c>
      <c r="AF1091" s="21">
        <v>3.7400000000000003E-2</v>
      </c>
      <c r="AG1091" s="21">
        <v>14</v>
      </c>
      <c r="AH1091" s="21">
        <v>0.1308</v>
      </c>
      <c r="AI1091" s="21">
        <v>0.2</v>
      </c>
      <c r="AJ1091" s="21">
        <v>0.66669999999999996</v>
      </c>
      <c r="AK1091" s="21">
        <v>15</v>
      </c>
      <c r="AL1091" s="21">
        <v>0.14710000000000001</v>
      </c>
      <c r="AM1091" s="21">
        <v>5</v>
      </c>
      <c r="AN1091" s="21">
        <v>4.9000000000000002E-2</v>
      </c>
      <c r="AO1091" s="21">
        <v>0.68799999999999994</v>
      </c>
      <c r="AP1091" s="21">
        <v>9</v>
      </c>
      <c r="AQ1091" s="21">
        <v>9</v>
      </c>
      <c r="AR1091" s="21">
        <v>9</v>
      </c>
      <c r="AS1091" s="21">
        <v>-1</v>
      </c>
      <c r="AT1091" s="21">
        <v>0</v>
      </c>
      <c r="AU1091" s="21">
        <v>2949</v>
      </c>
      <c r="AV1091" s="21">
        <v>28</v>
      </c>
    </row>
    <row r="1092" spans="1:48" x14ac:dyDescent="0.15">
      <c r="A1092" s="20" t="s">
        <v>60</v>
      </c>
      <c r="B1092" s="20" t="s">
        <v>180</v>
      </c>
      <c r="C1092" s="21">
        <v>3720</v>
      </c>
      <c r="D1092" s="21">
        <v>35</v>
      </c>
      <c r="E1092" s="21">
        <v>0</v>
      </c>
      <c r="F1092" s="21">
        <v>3755</v>
      </c>
      <c r="G1092" s="21">
        <v>63</v>
      </c>
      <c r="H1092" s="21">
        <v>1950</v>
      </c>
      <c r="I1092" s="21">
        <v>934</v>
      </c>
      <c r="J1092" s="21">
        <v>349</v>
      </c>
      <c r="K1092" s="21">
        <v>268</v>
      </c>
      <c r="L1092" s="21">
        <v>60</v>
      </c>
      <c r="M1092" s="21">
        <v>0.73909999999999998</v>
      </c>
      <c r="N1092" s="21">
        <v>0.73909999999999998</v>
      </c>
      <c r="O1092" s="21">
        <v>0.13039999999999999</v>
      </c>
      <c r="P1092" s="21">
        <v>463</v>
      </c>
      <c r="Q1092" s="21">
        <v>0.22459999999999999</v>
      </c>
      <c r="R1092" s="21">
        <v>58</v>
      </c>
      <c r="S1092" s="21">
        <v>8</v>
      </c>
      <c r="T1092" s="21">
        <v>7.3599999999999999E-2</v>
      </c>
      <c r="U1092" s="21">
        <v>3.1E-2</v>
      </c>
      <c r="V1092" s="21">
        <v>0.96640000000000004</v>
      </c>
      <c r="W1092" s="21">
        <v>99</v>
      </c>
      <c r="X1092" s="21">
        <v>115</v>
      </c>
      <c r="Y1092" s="21">
        <v>205</v>
      </c>
      <c r="Z1092" s="21">
        <v>0.1</v>
      </c>
      <c r="AA1092" s="21">
        <v>0.6</v>
      </c>
      <c r="AB1092" s="21">
        <v>679</v>
      </c>
      <c r="AC1092" s="21">
        <v>590</v>
      </c>
      <c r="AD1092" s="21">
        <v>783</v>
      </c>
      <c r="AE1092" s="21">
        <v>173</v>
      </c>
      <c r="AF1092" s="21">
        <v>0.19500000000000001</v>
      </c>
      <c r="AG1092" s="21">
        <v>381</v>
      </c>
      <c r="AH1092" s="21">
        <v>0.42949999999999999</v>
      </c>
      <c r="AI1092" s="21">
        <v>5.5599999999999997E-2</v>
      </c>
      <c r="AJ1092" s="21">
        <v>0.76839999999999997</v>
      </c>
      <c r="AK1092" s="21">
        <v>161</v>
      </c>
      <c r="AL1092" s="21">
        <v>0.218</v>
      </c>
      <c r="AM1092" s="21">
        <v>72</v>
      </c>
      <c r="AN1092" s="21">
        <v>9.7500000000000003E-2</v>
      </c>
      <c r="AO1092" s="21">
        <v>0.84770000000000001</v>
      </c>
      <c r="AP1092" s="21">
        <v>10</v>
      </c>
      <c r="AQ1092" s="21">
        <v>10</v>
      </c>
      <c r="AR1092" s="21">
        <v>6</v>
      </c>
      <c r="AS1092" s="21">
        <v>4</v>
      </c>
      <c r="AT1092" s="21">
        <v>0</v>
      </c>
      <c r="AU1092" s="21">
        <v>3274</v>
      </c>
      <c r="AV1092" s="21">
        <v>401</v>
      </c>
    </row>
    <row r="1093" spans="1:48" x14ac:dyDescent="0.15">
      <c r="A1093" s="20" t="s">
        <v>61</v>
      </c>
      <c r="B1093" s="20" t="s">
        <v>180</v>
      </c>
      <c r="C1093" s="21">
        <v>8372</v>
      </c>
      <c r="D1093" s="21">
        <v>97</v>
      </c>
      <c r="E1093" s="21">
        <v>0</v>
      </c>
      <c r="F1093" s="21">
        <v>8469</v>
      </c>
      <c r="G1093" s="21">
        <v>1205</v>
      </c>
      <c r="H1093" s="21">
        <v>2727</v>
      </c>
      <c r="I1093" s="21">
        <v>1299</v>
      </c>
      <c r="J1093" s="21">
        <v>3191</v>
      </c>
      <c r="K1093" s="21">
        <v>12</v>
      </c>
      <c r="L1093" s="21">
        <v>64</v>
      </c>
      <c r="M1093" s="21">
        <v>0.82809999999999995</v>
      </c>
      <c r="N1093" s="21">
        <v>0.8125</v>
      </c>
      <c r="O1093" s="21">
        <v>0.28120000000000001</v>
      </c>
      <c r="P1093" s="21">
        <v>230</v>
      </c>
      <c r="Q1093" s="21">
        <v>0.37830000000000003</v>
      </c>
      <c r="R1093" s="21">
        <v>132</v>
      </c>
      <c r="S1093" s="21">
        <v>37</v>
      </c>
      <c r="T1093" s="21">
        <v>7.2800000000000004E-2</v>
      </c>
      <c r="U1093" s="21">
        <v>3.49E-2</v>
      </c>
      <c r="V1093" s="21">
        <v>0.98460000000000003</v>
      </c>
      <c r="W1093" s="21">
        <v>16</v>
      </c>
      <c r="X1093" s="21">
        <v>20</v>
      </c>
      <c r="Y1093" s="21">
        <v>38</v>
      </c>
      <c r="Z1093" s="21">
        <v>0.1</v>
      </c>
      <c r="AA1093" s="21">
        <v>0.5</v>
      </c>
      <c r="AB1093" s="21">
        <v>136</v>
      </c>
      <c r="AC1093" s="21">
        <v>136</v>
      </c>
      <c r="AD1093" s="21">
        <v>138</v>
      </c>
      <c r="AE1093" s="21">
        <v>11</v>
      </c>
      <c r="AF1093" s="21">
        <v>7.8600000000000003E-2</v>
      </c>
      <c r="AG1093" s="21">
        <v>15</v>
      </c>
      <c r="AH1093" s="21">
        <v>0.1071</v>
      </c>
      <c r="AI1093" s="21">
        <v>0</v>
      </c>
      <c r="AJ1093" s="21">
        <v>0.87880000000000003</v>
      </c>
      <c r="AK1093" s="21">
        <v>30</v>
      </c>
      <c r="AL1093" s="21">
        <v>0.21740000000000001</v>
      </c>
      <c r="AM1093" s="21">
        <v>14</v>
      </c>
      <c r="AN1093" s="21">
        <v>0.1014</v>
      </c>
      <c r="AO1093" s="21">
        <v>0.83830000000000005</v>
      </c>
      <c r="AP1093" s="21">
        <v>16</v>
      </c>
      <c r="AQ1093" s="21">
        <v>16</v>
      </c>
      <c r="AR1093" s="21">
        <v>2</v>
      </c>
      <c r="AS1093" s="21">
        <v>13</v>
      </c>
      <c r="AT1093" s="21">
        <v>0</v>
      </c>
      <c r="AU1093" s="21">
        <v>2137</v>
      </c>
      <c r="AV1093" s="21">
        <v>104</v>
      </c>
    </row>
    <row r="1094" spans="1:48" x14ac:dyDescent="0.15">
      <c r="A1094" s="20" t="s">
        <v>48</v>
      </c>
      <c r="B1094" s="20" t="s">
        <v>181</v>
      </c>
      <c r="C1094" s="21">
        <v>200</v>
      </c>
      <c r="D1094" s="21">
        <v>0</v>
      </c>
      <c r="E1094" s="21">
        <v>0</v>
      </c>
      <c r="F1094" s="21">
        <v>200</v>
      </c>
      <c r="G1094" s="21">
        <v>0</v>
      </c>
      <c r="H1094" s="21">
        <v>0</v>
      </c>
      <c r="I1094" s="21">
        <v>0</v>
      </c>
      <c r="J1094" s="21">
        <v>200</v>
      </c>
      <c r="K1094" s="21">
        <v>0</v>
      </c>
      <c r="T1094" s="21">
        <v>0</v>
      </c>
      <c r="W1094" s="21">
        <v>3</v>
      </c>
      <c r="X1094" s="21">
        <v>1</v>
      </c>
      <c r="Y1094" s="21">
        <v>2</v>
      </c>
      <c r="Z1094" s="21">
        <v>0</v>
      </c>
      <c r="AA1094" s="21">
        <v>0.5</v>
      </c>
      <c r="AB1094" s="21">
        <v>201</v>
      </c>
      <c r="AC1094" s="21">
        <v>201</v>
      </c>
      <c r="AD1094" s="21">
        <v>201</v>
      </c>
      <c r="AE1094" s="21">
        <v>0</v>
      </c>
      <c r="AF1094" s="21">
        <v>0</v>
      </c>
      <c r="AG1094" s="21">
        <v>0</v>
      </c>
      <c r="AH1094" s="21">
        <v>0</v>
      </c>
      <c r="AI1094" s="21">
        <v>0</v>
      </c>
      <c r="AJ1094" s="21">
        <v>0.4</v>
      </c>
      <c r="AK1094" s="21">
        <v>1</v>
      </c>
      <c r="AL1094" s="21">
        <v>5.0000000000000001E-3</v>
      </c>
      <c r="AM1094" s="21">
        <v>1</v>
      </c>
      <c r="AN1094" s="21">
        <v>5.0000000000000001E-3</v>
      </c>
      <c r="AP1094" s="21">
        <v>0</v>
      </c>
      <c r="AQ1094" s="21">
        <v>0</v>
      </c>
      <c r="AR1094" s="21">
        <v>0</v>
      </c>
      <c r="AS1094" s="21">
        <v>0</v>
      </c>
      <c r="AT1094" s="21">
        <v>0</v>
      </c>
      <c r="AU1094" s="21">
        <v>3</v>
      </c>
      <c r="AV1094" s="21">
        <v>0</v>
      </c>
    </row>
    <row r="1095" spans="1:48" x14ac:dyDescent="0.15">
      <c r="A1095" s="20" t="s">
        <v>50</v>
      </c>
      <c r="B1095" s="20" t="s">
        <v>181</v>
      </c>
      <c r="C1095" s="21">
        <v>42</v>
      </c>
      <c r="D1095" s="21">
        <v>2</v>
      </c>
      <c r="E1095" s="21">
        <v>0</v>
      </c>
      <c r="F1095" s="21">
        <v>44</v>
      </c>
      <c r="G1095" s="21">
        <v>0</v>
      </c>
      <c r="H1095" s="21">
        <v>41</v>
      </c>
      <c r="I1095" s="21">
        <v>0</v>
      </c>
      <c r="J1095" s="21">
        <v>-6</v>
      </c>
      <c r="K1095" s="21">
        <v>2</v>
      </c>
      <c r="T1095" s="21">
        <v>0.74219999999999997</v>
      </c>
      <c r="W1095" s="21">
        <v>0</v>
      </c>
      <c r="X1095" s="21">
        <v>0</v>
      </c>
      <c r="Y1095" s="21">
        <v>1</v>
      </c>
      <c r="Z1095" s="21">
        <v>0</v>
      </c>
      <c r="AA1095" s="21">
        <v>0.4</v>
      </c>
      <c r="AB1095" s="21">
        <v>144</v>
      </c>
      <c r="AC1095" s="21">
        <v>144</v>
      </c>
      <c r="AD1095" s="21">
        <v>144</v>
      </c>
      <c r="AE1095" s="21">
        <v>0</v>
      </c>
      <c r="AF1095" s="21">
        <v>0</v>
      </c>
      <c r="AG1095" s="21">
        <v>0</v>
      </c>
      <c r="AH1095" s="21">
        <v>0</v>
      </c>
      <c r="AI1095" s="21">
        <v>0</v>
      </c>
      <c r="AJ1095" s="21">
        <v>0.75</v>
      </c>
      <c r="AK1095" s="21">
        <v>1</v>
      </c>
      <c r="AL1095" s="21">
        <v>6.8999999999999999E-3</v>
      </c>
      <c r="AM1095" s="21">
        <v>0</v>
      </c>
      <c r="AN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1">
        <v>0</v>
      </c>
      <c r="AV1095" s="21">
        <v>0</v>
      </c>
    </row>
    <row r="1096" spans="1:48" x14ac:dyDescent="0.15">
      <c r="A1096" s="20" t="s">
        <v>51</v>
      </c>
      <c r="B1096" s="20" t="s">
        <v>181</v>
      </c>
      <c r="C1096" s="21">
        <v>1593</v>
      </c>
      <c r="D1096" s="21">
        <v>81</v>
      </c>
      <c r="E1096" s="21">
        <v>0</v>
      </c>
      <c r="F1096" s="21">
        <v>1674</v>
      </c>
      <c r="G1096" s="21">
        <v>2</v>
      </c>
      <c r="H1096" s="21">
        <v>207</v>
      </c>
      <c r="I1096" s="21">
        <v>858</v>
      </c>
      <c r="J1096" s="21">
        <v>359</v>
      </c>
      <c r="K1096" s="21">
        <v>265</v>
      </c>
      <c r="T1096" s="21">
        <v>6.9500000000000006E-2</v>
      </c>
      <c r="W1096" s="21">
        <v>10</v>
      </c>
      <c r="X1096" s="21">
        <v>11</v>
      </c>
      <c r="Y1096" s="21">
        <v>33</v>
      </c>
      <c r="Z1096" s="21">
        <v>0</v>
      </c>
      <c r="AA1096" s="21">
        <v>0.3</v>
      </c>
      <c r="AB1096" s="21">
        <v>7994</v>
      </c>
      <c r="AC1096" s="21">
        <v>7994</v>
      </c>
      <c r="AD1096" s="21">
        <v>7994</v>
      </c>
      <c r="AE1096" s="21">
        <v>0</v>
      </c>
      <c r="AF1096" s="21">
        <v>0</v>
      </c>
      <c r="AG1096" s="21">
        <v>0</v>
      </c>
      <c r="AH1096" s="21">
        <v>0</v>
      </c>
      <c r="AI1096" s="21">
        <v>0</v>
      </c>
      <c r="AJ1096" s="21">
        <v>0.71430000000000005</v>
      </c>
      <c r="AK1096" s="21">
        <v>27</v>
      </c>
      <c r="AL1096" s="21">
        <v>3.3999999999999998E-3</v>
      </c>
      <c r="AM1096" s="21">
        <v>3</v>
      </c>
      <c r="AN1096" s="21">
        <v>4.0000000000000002E-4</v>
      </c>
      <c r="AP1096" s="21">
        <v>0</v>
      </c>
      <c r="AQ1096" s="21">
        <v>0</v>
      </c>
      <c r="AR1096" s="21">
        <v>0</v>
      </c>
      <c r="AS1096" s="21">
        <v>0</v>
      </c>
      <c r="AT1096" s="21">
        <v>0</v>
      </c>
      <c r="AU1096" s="21">
        <v>17</v>
      </c>
      <c r="AV1096" s="21">
        <v>10</v>
      </c>
    </row>
    <row r="1097" spans="1:48" x14ac:dyDescent="0.15">
      <c r="A1097" s="20" t="s">
        <v>52</v>
      </c>
      <c r="B1097" s="20" t="s">
        <v>181</v>
      </c>
      <c r="C1097" s="21">
        <v>454</v>
      </c>
      <c r="D1097" s="21">
        <v>7</v>
      </c>
      <c r="E1097" s="21">
        <v>0</v>
      </c>
      <c r="F1097" s="21">
        <v>461</v>
      </c>
      <c r="G1097" s="21">
        <v>11</v>
      </c>
      <c r="H1097" s="21">
        <v>132</v>
      </c>
      <c r="I1097" s="21">
        <v>48</v>
      </c>
      <c r="J1097" s="21">
        <v>259</v>
      </c>
      <c r="K1097" s="21">
        <v>10</v>
      </c>
      <c r="T1097" s="21">
        <v>4.1700000000000001E-2</v>
      </c>
      <c r="W1097" s="21">
        <v>2</v>
      </c>
      <c r="X1097" s="21">
        <v>2</v>
      </c>
      <c r="Y1097" s="21">
        <v>4</v>
      </c>
      <c r="Z1097" s="21">
        <v>0</v>
      </c>
      <c r="AA1097" s="21">
        <v>0.5</v>
      </c>
      <c r="AB1097" s="21">
        <v>584</v>
      </c>
      <c r="AC1097" s="21">
        <v>583</v>
      </c>
      <c r="AD1097" s="21">
        <v>584</v>
      </c>
      <c r="AE1097" s="21">
        <v>0</v>
      </c>
      <c r="AF1097" s="21">
        <v>0</v>
      </c>
      <c r="AG1097" s="21">
        <v>0</v>
      </c>
      <c r="AH1097" s="21">
        <v>0</v>
      </c>
      <c r="AI1097" s="21">
        <v>0</v>
      </c>
      <c r="AJ1097" s="21">
        <v>0.71430000000000005</v>
      </c>
      <c r="AK1097" s="21">
        <v>3</v>
      </c>
      <c r="AL1097" s="21">
        <v>5.1000000000000004E-3</v>
      </c>
      <c r="AM1097" s="21">
        <v>1</v>
      </c>
      <c r="AN1097" s="21">
        <v>1.6999999999999999E-3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1">
        <v>107</v>
      </c>
      <c r="AV1097" s="21">
        <v>8</v>
      </c>
    </row>
    <row r="1098" spans="1:48" x14ac:dyDescent="0.15">
      <c r="A1098" s="20" t="s">
        <v>53</v>
      </c>
      <c r="B1098" s="20" t="s">
        <v>181</v>
      </c>
      <c r="C1098" s="21">
        <v>165</v>
      </c>
      <c r="D1098" s="21">
        <v>64</v>
      </c>
      <c r="E1098" s="21">
        <v>0</v>
      </c>
      <c r="F1098" s="21">
        <v>229</v>
      </c>
      <c r="H1098" s="21">
        <v>0</v>
      </c>
      <c r="I1098" s="21">
        <v>19</v>
      </c>
      <c r="J1098" s="21">
        <v>253</v>
      </c>
      <c r="K1098" s="21">
        <v>0</v>
      </c>
      <c r="T1098" s="21">
        <v>0.114</v>
      </c>
      <c r="W1098" s="21">
        <v>4</v>
      </c>
      <c r="X1098" s="21">
        <v>5</v>
      </c>
      <c r="Y1098" s="21">
        <v>10</v>
      </c>
      <c r="Z1098" s="21">
        <v>0</v>
      </c>
      <c r="AA1098" s="21">
        <v>0.5</v>
      </c>
      <c r="AB1098" s="21">
        <v>2935</v>
      </c>
      <c r="AC1098" s="21">
        <v>2934</v>
      </c>
      <c r="AD1098" s="21">
        <v>2935</v>
      </c>
      <c r="AE1098" s="21">
        <v>0</v>
      </c>
      <c r="AF1098" s="21">
        <v>0</v>
      </c>
      <c r="AG1098" s="21">
        <v>0</v>
      </c>
      <c r="AH1098" s="21">
        <v>0</v>
      </c>
      <c r="AI1098" s="21">
        <v>0</v>
      </c>
      <c r="AJ1098" s="21">
        <v>0.6462</v>
      </c>
      <c r="AK1098" s="21">
        <v>10</v>
      </c>
      <c r="AL1098" s="21">
        <v>3.3999999999999998E-3</v>
      </c>
      <c r="AM1098" s="21">
        <v>0</v>
      </c>
      <c r="AN1098" s="21">
        <v>0</v>
      </c>
      <c r="AP1098" s="21">
        <v>0</v>
      </c>
      <c r="AQ1098" s="21">
        <v>0</v>
      </c>
      <c r="AR1098" s="21">
        <v>0</v>
      </c>
      <c r="AS1098" s="21">
        <v>0</v>
      </c>
      <c r="AT1098" s="21">
        <v>0</v>
      </c>
      <c r="AU1098" s="21">
        <v>0</v>
      </c>
      <c r="AV1098" s="21">
        <v>0</v>
      </c>
    </row>
    <row r="1099" spans="1:48" x14ac:dyDescent="0.15">
      <c r="A1099" s="20" t="s">
        <v>0</v>
      </c>
      <c r="B1099" s="20" t="s">
        <v>181</v>
      </c>
      <c r="C1099" s="21">
        <v>4696</v>
      </c>
      <c r="D1099" s="21">
        <v>281</v>
      </c>
      <c r="E1099" s="21">
        <v>0</v>
      </c>
      <c r="F1099" s="21">
        <v>4978</v>
      </c>
      <c r="G1099" s="21">
        <v>228</v>
      </c>
      <c r="H1099" s="21">
        <v>1361</v>
      </c>
      <c r="I1099" s="21">
        <v>1348</v>
      </c>
      <c r="J1099" s="21">
        <v>1745</v>
      </c>
      <c r="K1099" s="21">
        <v>313</v>
      </c>
      <c r="T1099" s="21">
        <v>0.1174</v>
      </c>
      <c r="W1099" s="21">
        <v>35</v>
      </c>
      <c r="X1099" s="21">
        <v>37</v>
      </c>
      <c r="Y1099" s="21">
        <v>89</v>
      </c>
      <c r="Z1099" s="21">
        <v>0</v>
      </c>
      <c r="AA1099" s="21">
        <v>0.4</v>
      </c>
      <c r="AB1099" s="21">
        <v>19549</v>
      </c>
      <c r="AC1099" s="21">
        <v>19546</v>
      </c>
      <c r="AD1099" s="21">
        <v>19549</v>
      </c>
      <c r="AE1099" s="21">
        <v>0</v>
      </c>
      <c r="AF1099" s="21">
        <v>0</v>
      </c>
      <c r="AG1099" s="21">
        <v>0</v>
      </c>
      <c r="AH1099" s="21">
        <v>0</v>
      </c>
      <c r="AI1099" s="21">
        <v>0</v>
      </c>
      <c r="AJ1099" s="21">
        <v>0.75009999999999999</v>
      </c>
      <c r="AK1099" s="21">
        <v>72</v>
      </c>
      <c r="AL1099" s="21">
        <v>3.7000000000000002E-3</v>
      </c>
      <c r="AM1099" s="21">
        <v>11</v>
      </c>
      <c r="AN1099" s="21">
        <v>5.9999999999999995E-4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1">
        <v>270</v>
      </c>
      <c r="AV1099" s="21">
        <v>43</v>
      </c>
    </row>
    <row r="1100" spans="1:48" x14ac:dyDescent="0.15">
      <c r="A1100" s="20" t="s">
        <v>54</v>
      </c>
      <c r="B1100" s="20" t="s">
        <v>181</v>
      </c>
      <c r="C1100" s="21">
        <v>331</v>
      </c>
      <c r="D1100" s="21">
        <v>56</v>
      </c>
      <c r="E1100" s="21">
        <v>0</v>
      </c>
      <c r="F1100" s="21">
        <v>386</v>
      </c>
      <c r="G1100" s="21">
        <v>66</v>
      </c>
      <c r="H1100" s="21">
        <v>151</v>
      </c>
      <c r="I1100" s="21">
        <v>42</v>
      </c>
      <c r="J1100" s="21">
        <v>92</v>
      </c>
      <c r="K1100" s="21">
        <v>6</v>
      </c>
      <c r="T1100" s="21">
        <v>2.23E-2</v>
      </c>
      <c r="W1100" s="21">
        <v>2</v>
      </c>
      <c r="X1100" s="21">
        <v>3</v>
      </c>
      <c r="Y1100" s="21">
        <v>6</v>
      </c>
      <c r="Z1100" s="21">
        <v>0</v>
      </c>
      <c r="AA1100" s="21">
        <v>0.5</v>
      </c>
      <c r="AB1100" s="21">
        <v>933</v>
      </c>
      <c r="AC1100" s="21">
        <v>933</v>
      </c>
      <c r="AD1100" s="21">
        <v>933</v>
      </c>
      <c r="AE1100" s="21">
        <v>0</v>
      </c>
      <c r="AF1100" s="21">
        <v>0</v>
      </c>
      <c r="AG1100" s="21">
        <v>0</v>
      </c>
      <c r="AH1100" s="21">
        <v>0</v>
      </c>
      <c r="AI1100" s="21">
        <v>0</v>
      </c>
      <c r="AJ1100" s="21">
        <v>0.83609999999999995</v>
      </c>
      <c r="AK1100" s="21">
        <v>5</v>
      </c>
      <c r="AL1100" s="21">
        <v>5.4000000000000003E-3</v>
      </c>
      <c r="AM1100" s="21">
        <v>1</v>
      </c>
      <c r="AN1100" s="21">
        <v>1.1000000000000001E-3</v>
      </c>
      <c r="AP1100" s="21">
        <v>0</v>
      </c>
      <c r="AQ1100" s="21">
        <v>0</v>
      </c>
      <c r="AR1100" s="21">
        <v>0</v>
      </c>
      <c r="AS1100" s="21">
        <v>0</v>
      </c>
      <c r="AT1100" s="21">
        <v>0</v>
      </c>
      <c r="AU1100" s="21">
        <v>0</v>
      </c>
      <c r="AV1100" s="21">
        <v>0</v>
      </c>
    </row>
    <row r="1101" spans="1:48" x14ac:dyDescent="0.15">
      <c r="A1101" s="20" t="s">
        <v>55</v>
      </c>
      <c r="B1101" s="20" t="s">
        <v>181</v>
      </c>
      <c r="C1101" s="21">
        <v>428</v>
      </c>
      <c r="D1101" s="21">
        <v>5</v>
      </c>
      <c r="E1101" s="21">
        <v>0</v>
      </c>
      <c r="F1101" s="21">
        <v>433</v>
      </c>
      <c r="G1101" s="21">
        <v>0</v>
      </c>
      <c r="H1101" s="21">
        <v>22</v>
      </c>
      <c r="I1101" s="21">
        <v>380</v>
      </c>
      <c r="J1101" s="21">
        <v>28</v>
      </c>
      <c r="K1101" s="21">
        <v>0</v>
      </c>
      <c r="T1101" s="21">
        <v>0.12139999999999999</v>
      </c>
      <c r="W1101" s="21">
        <v>3</v>
      </c>
      <c r="X1101" s="21">
        <v>4</v>
      </c>
      <c r="Y1101" s="21">
        <v>10</v>
      </c>
      <c r="Z1101" s="21">
        <v>0</v>
      </c>
      <c r="AA1101" s="21">
        <v>0.4</v>
      </c>
      <c r="AB1101" s="21">
        <v>948</v>
      </c>
      <c r="AC1101" s="21">
        <v>948</v>
      </c>
      <c r="AD1101" s="21">
        <v>948</v>
      </c>
      <c r="AE1101" s="21">
        <v>0</v>
      </c>
      <c r="AF1101" s="21">
        <v>0</v>
      </c>
      <c r="AG1101" s="21">
        <v>0</v>
      </c>
      <c r="AH1101" s="21">
        <v>0</v>
      </c>
      <c r="AI1101" s="21">
        <v>0</v>
      </c>
      <c r="AJ1101" s="21">
        <v>0.52939999999999998</v>
      </c>
      <c r="AK1101" s="21">
        <v>7</v>
      </c>
      <c r="AL1101" s="21">
        <v>7.4000000000000003E-3</v>
      </c>
      <c r="AM1101" s="21">
        <v>2</v>
      </c>
      <c r="AN1101" s="21">
        <v>2.0999999999999999E-3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1">
        <v>0</v>
      </c>
      <c r="AV1101" s="21">
        <v>2</v>
      </c>
    </row>
    <row r="1102" spans="1:48" x14ac:dyDescent="0.15">
      <c r="A1102" s="20" t="s">
        <v>56</v>
      </c>
      <c r="B1102" s="20" t="s">
        <v>181</v>
      </c>
      <c r="C1102" s="21">
        <v>20</v>
      </c>
      <c r="D1102" s="21">
        <v>0</v>
      </c>
      <c r="E1102" s="21">
        <v>0</v>
      </c>
      <c r="F1102" s="21">
        <v>20</v>
      </c>
      <c r="G1102" s="21">
        <v>0</v>
      </c>
      <c r="H1102" s="21">
        <v>0</v>
      </c>
      <c r="I1102" s="21">
        <v>0</v>
      </c>
      <c r="J1102" s="21">
        <v>20</v>
      </c>
      <c r="K1102" s="21">
        <v>0</v>
      </c>
      <c r="T1102" s="21">
        <v>0</v>
      </c>
      <c r="W1102" s="21">
        <v>0</v>
      </c>
      <c r="X1102" s="21">
        <v>0</v>
      </c>
      <c r="Y1102" s="21">
        <v>0</v>
      </c>
      <c r="Z1102" s="21">
        <v>0</v>
      </c>
      <c r="AB1102" s="21">
        <v>196</v>
      </c>
      <c r="AC1102" s="21">
        <v>196</v>
      </c>
      <c r="AD1102" s="21">
        <v>196</v>
      </c>
      <c r="AE1102" s="21">
        <v>0</v>
      </c>
      <c r="AF1102" s="21">
        <v>0</v>
      </c>
      <c r="AG1102" s="21">
        <v>0</v>
      </c>
      <c r="AH1102" s="21">
        <v>0</v>
      </c>
      <c r="AI1102" s="21">
        <v>0</v>
      </c>
      <c r="AJ1102" s="21">
        <v>0.90700000000000003</v>
      </c>
      <c r="AK1102" s="21">
        <v>0</v>
      </c>
      <c r="AL1102" s="21">
        <v>0</v>
      </c>
      <c r="AM1102" s="21">
        <v>0</v>
      </c>
      <c r="AN1102" s="21">
        <v>0</v>
      </c>
      <c r="AP1102" s="21">
        <v>0</v>
      </c>
      <c r="AQ1102" s="21">
        <v>0</v>
      </c>
      <c r="AR1102" s="21">
        <v>0</v>
      </c>
      <c r="AS1102" s="21">
        <v>0</v>
      </c>
      <c r="AT1102" s="21">
        <v>0</v>
      </c>
      <c r="AU1102" s="21">
        <v>10</v>
      </c>
      <c r="AV1102" s="21">
        <v>2</v>
      </c>
    </row>
    <row r="1103" spans="1:48" x14ac:dyDescent="0.15">
      <c r="A1103" s="20" t="s">
        <v>57</v>
      </c>
      <c r="B1103" s="20" t="s">
        <v>181</v>
      </c>
      <c r="C1103" s="21">
        <v>417</v>
      </c>
      <c r="D1103" s="21">
        <v>0</v>
      </c>
      <c r="E1103" s="21">
        <v>0</v>
      </c>
      <c r="F1103" s="21">
        <v>417</v>
      </c>
      <c r="G1103" s="21">
        <v>0</v>
      </c>
      <c r="H1103" s="21">
        <v>0</v>
      </c>
      <c r="I1103" s="21">
        <v>0</v>
      </c>
      <c r="J1103" s="21">
        <v>417</v>
      </c>
      <c r="K1103" s="21">
        <v>0</v>
      </c>
      <c r="T1103" s="21">
        <v>8.7499999999999994E-2</v>
      </c>
      <c r="W1103" s="21">
        <v>1</v>
      </c>
      <c r="X1103" s="21">
        <v>1</v>
      </c>
      <c r="Y1103" s="21">
        <v>1</v>
      </c>
      <c r="Z1103" s="21">
        <v>0</v>
      </c>
      <c r="AA1103" s="21">
        <v>0.7</v>
      </c>
      <c r="AB1103" s="21">
        <v>715</v>
      </c>
      <c r="AC1103" s="21">
        <v>715</v>
      </c>
      <c r="AD1103" s="21">
        <v>715</v>
      </c>
      <c r="AE1103" s="21">
        <v>0</v>
      </c>
      <c r="AF1103" s="21">
        <v>0</v>
      </c>
      <c r="AG1103" s="21">
        <v>0</v>
      </c>
      <c r="AH1103" s="21">
        <v>0</v>
      </c>
      <c r="AI1103" s="21">
        <v>0</v>
      </c>
      <c r="AJ1103" s="21">
        <v>0.55259999999999998</v>
      </c>
      <c r="AK1103" s="21">
        <v>1</v>
      </c>
      <c r="AL1103" s="21">
        <v>1.4E-3</v>
      </c>
      <c r="AM1103" s="21">
        <v>0</v>
      </c>
      <c r="AN1103" s="21">
        <v>0</v>
      </c>
      <c r="AP1103" s="21">
        <v>0</v>
      </c>
      <c r="AQ1103" s="21">
        <v>0</v>
      </c>
      <c r="AR1103" s="21">
        <v>0</v>
      </c>
      <c r="AS1103" s="21">
        <v>0</v>
      </c>
      <c r="AT1103" s="21">
        <v>0</v>
      </c>
      <c r="AU1103" s="21">
        <v>2</v>
      </c>
      <c r="AV1103" s="21">
        <v>1</v>
      </c>
    </row>
    <row r="1104" spans="1:48" x14ac:dyDescent="0.15">
      <c r="A1104" s="20" t="s">
        <v>58</v>
      </c>
      <c r="B1104" s="20" t="s">
        <v>181</v>
      </c>
      <c r="C1104" s="21">
        <v>900</v>
      </c>
      <c r="D1104" s="21">
        <v>39</v>
      </c>
      <c r="E1104" s="21">
        <v>0</v>
      </c>
      <c r="F1104" s="21">
        <v>940</v>
      </c>
      <c r="G1104" s="21">
        <v>63</v>
      </c>
      <c r="H1104" s="21">
        <v>789</v>
      </c>
      <c r="J1104" s="21">
        <v>65</v>
      </c>
      <c r="K1104" s="21">
        <v>2</v>
      </c>
      <c r="T1104" s="21">
        <v>0.20810000000000001</v>
      </c>
      <c r="W1104" s="21">
        <v>6</v>
      </c>
      <c r="X1104" s="21">
        <v>7</v>
      </c>
      <c r="Y1104" s="21">
        <v>14</v>
      </c>
      <c r="Z1104" s="21">
        <v>0</v>
      </c>
      <c r="AA1104" s="21">
        <v>0.5</v>
      </c>
      <c r="AB1104" s="21">
        <v>3987</v>
      </c>
      <c r="AC1104" s="21">
        <v>3986</v>
      </c>
      <c r="AD1104" s="21">
        <v>3987</v>
      </c>
      <c r="AE1104" s="21">
        <v>0</v>
      </c>
      <c r="AF1104" s="21">
        <v>0</v>
      </c>
      <c r="AG1104" s="21">
        <v>0</v>
      </c>
      <c r="AH1104" s="21">
        <v>0</v>
      </c>
      <c r="AI1104" s="21">
        <v>0</v>
      </c>
      <c r="AJ1104" s="21">
        <v>0.8821</v>
      </c>
      <c r="AK1104" s="21">
        <v>10</v>
      </c>
      <c r="AL1104" s="21">
        <v>2.5000000000000001E-3</v>
      </c>
      <c r="AM1104" s="21">
        <v>2</v>
      </c>
      <c r="AN1104" s="21">
        <v>5.0000000000000001E-4</v>
      </c>
      <c r="AP1104" s="21">
        <v>0</v>
      </c>
      <c r="AQ1104" s="21">
        <v>0</v>
      </c>
      <c r="AR1104" s="21">
        <v>0</v>
      </c>
      <c r="AS1104" s="21">
        <v>0</v>
      </c>
      <c r="AT1104" s="21">
        <v>0</v>
      </c>
      <c r="AU1104" s="21">
        <v>33</v>
      </c>
      <c r="AV1104" s="21">
        <v>14</v>
      </c>
    </row>
    <row r="1105" spans="1:48" x14ac:dyDescent="0.15">
      <c r="A1105" s="20" t="s">
        <v>59</v>
      </c>
      <c r="B1105" s="20" t="s">
        <v>181</v>
      </c>
      <c r="C1105" s="21">
        <v>16</v>
      </c>
      <c r="D1105" s="21">
        <v>22</v>
      </c>
      <c r="E1105" s="21">
        <v>0</v>
      </c>
      <c r="F1105" s="21">
        <v>38</v>
      </c>
      <c r="G1105" s="21">
        <v>0</v>
      </c>
      <c r="H1105" s="21">
        <v>6</v>
      </c>
      <c r="I1105" s="21">
        <v>0</v>
      </c>
      <c r="J1105" s="21">
        <v>50</v>
      </c>
      <c r="K1105" s="21">
        <v>0</v>
      </c>
      <c r="T1105" s="21">
        <v>0</v>
      </c>
      <c r="AB1105" s="21">
        <v>97</v>
      </c>
      <c r="AC1105" s="21">
        <v>97</v>
      </c>
      <c r="AD1105" s="21">
        <v>97</v>
      </c>
      <c r="AE1105" s="21">
        <v>0</v>
      </c>
      <c r="AF1105" s="21">
        <v>0</v>
      </c>
      <c r="AG1105" s="21">
        <v>0</v>
      </c>
      <c r="AH1105" s="21">
        <v>0</v>
      </c>
      <c r="AI1105" s="21">
        <v>0</v>
      </c>
      <c r="AJ1105" s="21">
        <v>0.55559999999999998</v>
      </c>
      <c r="AK1105" s="21">
        <v>0</v>
      </c>
      <c r="AL1105" s="21">
        <v>0</v>
      </c>
      <c r="AM1105" s="21">
        <v>0</v>
      </c>
      <c r="AN1105" s="21">
        <v>0</v>
      </c>
      <c r="AP1105" s="21">
        <v>0</v>
      </c>
      <c r="AQ1105" s="21">
        <v>0</v>
      </c>
      <c r="AR1105" s="21">
        <v>0</v>
      </c>
      <c r="AS1105" s="21">
        <v>0</v>
      </c>
      <c r="AT1105" s="21">
        <v>0</v>
      </c>
      <c r="AU1105" s="21">
        <v>29</v>
      </c>
      <c r="AV1105" s="21">
        <v>0</v>
      </c>
    </row>
    <row r="1106" spans="1:48" x14ac:dyDescent="0.15">
      <c r="A1106" s="20" t="s">
        <v>60</v>
      </c>
      <c r="B1106" s="20" t="s">
        <v>181</v>
      </c>
      <c r="C1106" s="21">
        <v>50</v>
      </c>
      <c r="D1106" s="21">
        <v>0</v>
      </c>
      <c r="E1106" s="21">
        <v>0</v>
      </c>
      <c r="F1106" s="21">
        <v>50</v>
      </c>
      <c r="G1106" s="21">
        <v>0</v>
      </c>
      <c r="H1106" s="21">
        <v>12</v>
      </c>
      <c r="I1106" s="21">
        <v>0</v>
      </c>
      <c r="J1106" s="21">
        <v>11</v>
      </c>
      <c r="K1106" s="21">
        <v>27</v>
      </c>
      <c r="T1106" s="21">
        <v>0</v>
      </c>
      <c r="W1106" s="21">
        <v>3</v>
      </c>
      <c r="X1106" s="21">
        <v>3</v>
      </c>
      <c r="Y1106" s="21">
        <v>7</v>
      </c>
      <c r="Z1106" s="21">
        <v>0</v>
      </c>
      <c r="AA1106" s="21">
        <v>0.5</v>
      </c>
      <c r="AB1106" s="21">
        <v>679</v>
      </c>
      <c r="AC1106" s="21">
        <v>679</v>
      </c>
      <c r="AD1106" s="21">
        <v>679</v>
      </c>
      <c r="AE1106" s="21">
        <v>0</v>
      </c>
      <c r="AF1106" s="21">
        <v>0</v>
      </c>
      <c r="AG1106" s="21">
        <v>0</v>
      </c>
      <c r="AH1106" s="21">
        <v>0</v>
      </c>
      <c r="AI1106" s="21">
        <v>0</v>
      </c>
      <c r="AJ1106" s="21">
        <v>0.54349999999999998</v>
      </c>
      <c r="AK1106" s="21">
        <v>6</v>
      </c>
      <c r="AL1106" s="21">
        <v>8.8000000000000005E-3</v>
      </c>
      <c r="AM1106" s="21">
        <v>1</v>
      </c>
      <c r="AN1106" s="21">
        <v>1.5E-3</v>
      </c>
      <c r="AP1106" s="21">
        <v>0</v>
      </c>
      <c r="AQ1106" s="21">
        <v>0</v>
      </c>
      <c r="AR1106" s="21">
        <v>0</v>
      </c>
      <c r="AS1106" s="21">
        <v>0</v>
      </c>
      <c r="AT1106" s="21">
        <v>0</v>
      </c>
      <c r="AU1106" s="21">
        <v>67</v>
      </c>
      <c r="AV1106" s="21">
        <v>7</v>
      </c>
    </row>
    <row r="1107" spans="1:48" x14ac:dyDescent="0.15">
      <c r="A1107" s="20" t="s">
        <v>61</v>
      </c>
      <c r="B1107" s="20" t="s">
        <v>181</v>
      </c>
      <c r="C1107" s="21">
        <v>80</v>
      </c>
      <c r="D1107" s="21">
        <v>6</v>
      </c>
      <c r="E1107" s="21">
        <v>0</v>
      </c>
      <c r="F1107" s="21">
        <v>86</v>
      </c>
      <c r="G1107" s="21">
        <v>86</v>
      </c>
      <c r="H1107" s="21">
        <v>0</v>
      </c>
      <c r="I1107" s="21">
        <v>0</v>
      </c>
      <c r="J1107" s="21">
        <v>-3</v>
      </c>
      <c r="K1107" s="21">
        <v>0</v>
      </c>
      <c r="T1107" s="21">
        <v>0.1075</v>
      </c>
      <c r="W1107" s="21">
        <v>0</v>
      </c>
      <c r="X1107" s="21">
        <v>0</v>
      </c>
      <c r="Y1107" s="21">
        <v>1</v>
      </c>
      <c r="Z1107" s="21">
        <v>0</v>
      </c>
      <c r="AA1107" s="21">
        <v>0.5</v>
      </c>
      <c r="AB1107" s="21">
        <v>136</v>
      </c>
      <c r="AC1107" s="21">
        <v>136</v>
      </c>
      <c r="AD1107" s="21">
        <v>136</v>
      </c>
      <c r="AE1107" s="21">
        <v>0</v>
      </c>
      <c r="AF1107" s="21">
        <v>0</v>
      </c>
      <c r="AG1107" s="21">
        <v>0</v>
      </c>
      <c r="AH1107" s="21">
        <v>0</v>
      </c>
      <c r="AI1107" s="21">
        <v>0</v>
      </c>
      <c r="AJ1107" s="21">
        <v>0.7</v>
      </c>
      <c r="AK1107" s="21">
        <v>1</v>
      </c>
      <c r="AL1107" s="21">
        <v>7.4000000000000003E-3</v>
      </c>
      <c r="AM1107" s="21">
        <v>0</v>
      </c>
      <c r="AN1107" s="21">
        <v>0</v>
      </c>
      <c r="AP1107" s="21">
        <v>0</v>
      </c>
      <c r="AQ1107" s="21">
        <v>0</v>
      </c>
      <c r="AR1107" s="21">
        <v>0</v>
      </c>
      <c r="AS1107" s="21">
        <v>0</v>
      </c>
      <c r="AT1107" s="21">
        <v>0</v>
      </c>
      <c r="AU1107" s="21">
        <v>2</v>
      </c>
      <c r="AV1107" s="21">
        <v>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P72"/>
  <sheetViews>
    <sheetView topLeftCell="D1" workbookViewId="0">
      <selection sqref="A1:XFD1048576"/>
    </sheetView>
  </sheetViews>
  <sheetFormatPr defaultRowHeight="16.5" x14ac:dyDescent="0.3"/>
  <cols>
    <col min="1" max="1" width="2.5" style="2" customWidth="1"/>
    <col min="2" max="8" width="20.625" style="2" customWidth="1"/>
    <col min="9" max="9" width="9.625" style="2" bestFit="1" customWidth="1"/>
    <col min="10" max="16384" width="9" style="2"/>
  </cols>
  <sheetData>
    <row r="1" spans="2:16" ht="15" customHeight="1" thickBot="1" x14ac:dyDescent="0.35">
      <c r="K1" s="43" t="s">
        <v>167</v>
      </c>
      <c r="L1" s="41"/>
      <c r="M1" s="41" t="s">
        <v>161</v>
      </c>
      <c r="N1" s="41"/>
      <c r="O1" s="41" t="s">
        <v>162</v>
      </c>
      <c r="P1" s="42"/>
    </row>
    <row r="2" spans="2:16" x14ac:dyDescent="0.3">
      <c r="B2" s="9" t="s">
        <v>142</v>
      </c>
      <c r="C2" s="10" t="s">
        <v>138</v>
      </c>
      <c r="D2" s="10" t="s">
        <v>139</v>
      </c>
      <c r="E2" s="10" t="s">
        <v>140</v>
      </c>
      <c r="F2" s="14" t="s">
        <v>141</v>
      </c>
      <c r="G2" s="9" t="s">
        <v>147</v>
      </c>
      <c r="H2" s="11" t="s">
        <v>148</v>
      </c>
      <c r="K2" s="3" t="s">
        <v>159</v>
      </c>
      <c r="L2" s="4" t="s">
        <v>160</v>
      </c>
      <c r="M2" s="4" t="s">
        <v>163</v>
      </c>
      <c r="N2" s="4" t="s">
        <v>164</v>
      </c>
      <c r="O2" s="4" t="s">
        <v>165</v>
      </c>
      <c r="P2" s="5" t="s">
        <v>166</v>
      </c>
    </row>
    <row r="3" spans="2:16" ht="17.25" thickBot="1" x14ac:dyDescent="0.35">
      <c r="B3" s="3" t="s">
        <v>143</v>
      </c>
      <c r="C3" s="4" t="s">
        <v>2</v>
      </c>
      <c r="D3" s="4" t="s">
        <v>22</v>
      </c>
      <c r="E3" s="4" t="s">
        <v>41</v>
      </c>
      <c r="F3" s="15" t="s">
        <v>46</v>
      </c>
      <c r="G3" s="6">
        <f>MATCH(公司各渠道指标可视化!B4,公司渠道,0)</f>
        <v>1</v>
      </c>
      <c r="H3" s="8">
        <f ca="1">MATCH(公司各渠道指标可视化!$C$4,INDIRECT($H$8,TRUE),0)</f>
        <v>1</v>
      </c>
      <c r="K3" s="3">
        <v>2012</v>
      </c>
      <c r="L3" s="4">
        <v>1</v>
      </c>
      <c r="M3" s="4">
        <v>6</v>
      </c>
      <c r="N3" s="4">
        <v>1</v>
      </c>
      <c r="O3" s="4">
        <v>7</v>
      </c>
      <c r="P3" s="5">
        <v>11</v>
      </c>
    </row>
    <row r="4" spans="2:16" x14ac:dyDescent="0.3">
      <c r="B4" s="3" t="s">
        <v>144</v>
      </c>
      <c r="C4" s="4" t="s">
        <v>3</v>
      </c>
      <c r="D4" s="4" t="s">
        <v>23</v>
      </c>
      <c r="E4" s="4" t="s">
        <v>42</v>
      </c>
      <c r="F4" s="5" t="s">
        <v>47</v>
      </c>
      <c r="K4" s="3">
        <v>2013</v>
      </c>
      <c r="L4" s="4">
        <v>2</v>
      </c>
      <c r="M4" s="4" t="s">
        <v>168</v>
      </c>
      <c r="N4" s="4">
        <f>6+($M$3-2)*12+$N$3+1</f>
        <v>56</v>
      </c>
      <c r="O4" s="4" t="s">
        <v>168</v>
      </c>
      <c r="P4" s="5">
        <f>6+($O$3-2)*12+$P$3+1</f>
        <v>78</v>
      </c>
    </row>
    <row r="5" spans="2:16" x14ac:dyDescent="0.3">
      <c r="B5" s="3" t="s">
        <v>145</v>
      </c>
      <c r="C5" s="4" t="s">
        <v>4</v>
      </c>
      <c r="D5" s="4" t="s">
        <v>24</v>
      </c>
      <c r="E5" s="4" t="s">
        <v>43</v>
      </c>
      <c r="F5" s="5"/>
      <c r="K5" s="3">
        <v>2014</v>
      </c>
      <c r="L5" s="4">
        <v>3</v>
      </c>
      <c r="M5" s="4">
        <f ca="1">INDIRECT(ADDRESS(M$3+2,COLUMN($K$1),1,0,"Sheet4"),FALSE)</f>
        <v>2017</v>
      </c>
      <c r="N5" s="4">
        <f ca="1">INDIRECT(ADDRESS(N$3+2,COLUMN($L$1),1,0,"Sheet4"),FALSE)</f>
        <v>1</v>
      </c>
      <c r="O5" s="4">
        <f t="shared" ref="O5" ca="1" si="0">INDIRECT(ADDRESS(O$3+2,COLUMN($K$1),1,0,"Sheet4"),FALSE)</f>
        <v>2018</v>
      </c>
      <c r="P5" s="5">
        <f ca="1">INDIRECT(ADDRESS(P$3+2,COLUMN($L$1),1,0,"Sheet4"),FALSE)</f>
        <v>11</v>
      </c>
    </row>
    <row r="6" spans="2:16" x14ac:dyDescent="0.3">
      <c r="B6" s="3" t="s">
        <v>146</v>
      </c>
      <c r="C6" s="4" t="s">
        <v>5</v>
      </c>
      <c r="D6" s="4" t="s">
        <v>25</v>
      </c>
      <c r="E6" s="4" t="s">
        <v>44</v>
      </c>
      <c r="F6" s="5"/>
      <c r="G6" s="16" t="s">
        <v>150</v>
      </c>
      <c r="H6" s="16">
        <f>MATCH(公司各渠道指标可视化!C4,公司整体!1:1,0)</f>
        <v>3</v>
      </c>
      <c r="I6" s="2" t="str">
        <f>ADDRESS(1,MATCH(公司各渠道指标可视化!$C$4,公司整体!1:1,0),3,1,"公司整体")</f>
        <v>公司整体!$C1</v>
      </c>
      <c r="K6" s="3">
        <v>2015</v>
      </c>
      <c r="L6" s="4">
        <v>4</v>
      </c>
      <c r="M6" s="4"/>
      <c r="N6" s="4"/>
      <c r="O6" s="4"/>
      <c r="P6" s="5"/>
    </row>
    <row r="7" spans="2:16" x14ac:dyDescent="0.3">
      <c r="B7" s="3"/>
      <c r="C7" s="4" t="s">
        <v>6</v>
      </c>
      <c r="D7" s="4" t="s">
        <v>26</v>
      </c>
      <c r="E7" s="4" t="s">
        <v>45</v>
      </c>
      <c r="F7" s="5"/>
      <c r="K7" s="3">
        <v>2016</v>
      </c>
      <c r="L7" s="4">
        <v>5</v>
      </c>
      <c r="M7" s="4"/>
      <c r="N7" s="4"/>
      <c r="O7" s="4"/>
      <c r="P7" s="5"/>
    </row>
    <row r="8" spans="2:16" x14ac:dyDescent="0.3">
      <c r="B8" s="3"/>
      <c r="C8" s="4" t="s">
        <v>7</v>
      </c>
      <c r="D8" s="4" t="s">
        <v>27</v>
      </c>
      <c r="E8" s="4"/>
      <c r="F8" s="5"/>
      <c r="G8" s="16" t="s">
        <v>149</v>
      </c>
      <c r="H8" s="16" t="str">
        <f>ADDRESS(3,G3+2,1,1)&amp;":"&amp;ADDRESS(22,G3+2,1,1)</f>
        <v>$C$3:$C$22</v>
      </c>
      <c r="K8" s="3">
        <v>2017</v>
      </c>
      <c r="L8" s="4">
        <v>6</v>
      </c>
      <c r="M8" s="4"/>
      <c r="N8" s="4"/>
      <c r="O8" s="4"/>
      <c r="P8" s="5"/>
    </row>
    <row r="9" spans="2:16" x14ac:dyDescent="0.3">
      <c r="B9" s="3"/>
      <c r="C9" s="4" t="s">
        <v>8</v>
      </c>
      <c r="D9" s="4" t="s">
        <v>28</v>
      </c>
      <c r="E9" s="4"/>
      <c r="F9" s="5"/>
      <c r="K9" s="3">
        <v>2018</v>
      </c>
      <c r="L9" s="4">
        <v>7</v>
      </c>
      <c r="M9" s="4"/>
      <c r="N9" s="4"/>
      <c r="O9" s="4"/>
      <c r="P9" s="5"/>
    </row>
    <row r="10" spans="2:16" x14ac:dyDescent="0.3">
      <c r="B10" s="3"/>
      <c r="C10" s="4" t="s">
        <v>9</v>
      </c>
      <c r="D10" s="4" t="s">
        <v>29</v>
      </c>
      <c r="E10" s="4"/>
      <c r="F10" s="5"/>
      <c r="K10" s="3"/>
      <c r="L10" s="4">
        <v>8</v>
      </c>
      <c r="M10" s="4"/>
      <c r="N10" s="4"/>
      <c r="O10" s="4"/>
      <c r="P10" s="5"/>
    </row>
    <row r="11" spans="2:16" x14ac:dyDescent="0.3">
      <c r="B11" s="3"/>
      <c r="C11" s="4" t="s">
        <v>10</v>
      </c>
      <c r="D11" s="4" t="s">
        <v>30</v>
      </c>
      <c r="E11" s="4"/>
      <c r="F11" s="5"/>
      <c r="K11" s="3"/>
      <c r="L11" s="4">
        <v>9</v>
      </c>
      <c r="M11" s="4"/>
      <c r="N11" s="4"/>
      <c r="O11" s="4"/>
      <c r="P11" s="5"/>
    </row>
    <row r="12" spans="2:16" x14ac:dyDescent="0.3">
      <c r="B12" s="3"/>
      <c r="C12" s="4" t="s">
        <v>11</v>
      </c>
      <c r="D12" s="4" t="s">
        <v>31</v>
      </c>
      <c r="E12" s="4"/>
      <c r="F12" s="5"/>
      <c r="K12" s="3"/>
      <c r="L12" s="4">
        <v>10</v>
      </c>
      <c r="M12" s="4"/>
      <c r="N12" s="4"/>
      <c r="O12" s="4"/>
      <c r="P12" s="5"/>
    </row>
    <row r="13" spans="2:16" x14ac:dyDescent="0.3">
      <c r="B13" s="3"/>
      <c r="C13" s="4" t="s">
        <v>12</v>
      </c>
      <c r="D13" s="4" t="s">
        <v>32</v>
      </c>
      <c r="E13" s="4"/>
      <c r="F13" s="5"/>
      <c r="K13" s="3"/>
      <c r="L13" s="4">
        <v>11</v>
      </c>
      <c r="M13" s="4"/>
      <c r="N13" s="4"/>
      <c r="O13" s="4"/>
      <c r="P13" s="5"/>
    </row>
    <row r="14" spans="2:16" ht="17.25" thickBot="1" x14ac:dyDescent="0.35">
      <c r="B14" s="3"/>
      <c r="C14" s="4" t="s">
        <v>13</v>
      </c>
      <c r="D14" s="4" t="s">
        <v>33</v>
      </c>
      <c r="E14" s="4"/>
      <c r="F14" s="5"/>
      <c r="K14" s="6"/>
      <c r="L14" s="7">
        <v>12</v>
      </c>
      <c r="M14" s="7"/>
      <c r="N14" s="7"/>
      <c r="O14" s="7"/>
      <c r="P14" s="8">
        <f ca="1">COUNT(图表数据!F:F)</f>
        <v>78</v>
      </c>
    </row>
    <row r="15" spans="2:16" x14ac:dyDescent="0.3">
      <c r="B15" s="3"/>
      <c r="C15" s="4" t="s">
        <v>14</v>
      </c>
      <c r="D15" s="4" t="s">
        <v>34</v>
      </c>
      <c r="E15" s="4"/>
      <c r="F15" s="5"/>
      <c r="K15" s="37" t="s">
        <v>176</v>
      </c>
    </row>
    <row r="16" spans="2:16" x14ac:dyDescent="0.3">
      <c r="B16" s="3"/>
      <c r="C16" s="4" t="s">
        <v>15</v>
      </c>
      <c r="D16" s="4" t="s">
        <v>35</v>
      </c>
      <c r="E16" s="4"/>
      <c r="F16" s="5"/>
    </row>
    <row r="17" spans="2:6" x14ac:dyDescent="0.3">
      <c r="B17" s="3"/>
      <c r="C17" s="4" t="s">
        <v>16</v>
      </c>
      <c r="D17" s="4" t="s">
        <v>36</v>
      </c>
      <c r="E17" s="4"/>
      <c r="F17" s="5"/>
    </row>
    <row r="18" spans="2:6" x14ac:dyDescent="0.3">
      <c r="B18" s="3"/>
      <c r="C18" s="4" t="s">
        <v>17</v>
      </c>
      <c r="D18" s="4" t="s">
        <v>37</v>
      </c>
      <c r="E18" s="4"/>
      <c r="F18" s="5"/>
    </row>
    <row r="19" spans="2:6" x14ac:dyDescent="0.3">
      <c r="B19" s="3"/>
      <c r="C19" s="4" t="s">
        <v>18</v>
      </c>
      <c r="D19" s="4" t="s">
        <v>38</v>
      </c>
      <c r="E19" s="4"/>
      <c r="F19" s="5"/>
    </row>
    <row r="20" spans="2:6" x14ac:dyDescent="0.3">
      <c r="B20" s="3"/>
      <c r="C20" s="4" t="s">
        <v>19</v>
      </c>
      <c r="D20" s="4" t="s">
        <v>39</v>
      </c>
      <c r="E20" s="4"/>
      <c r="F20" s="5"/>
    </row>
    <row r="21" spans="2:6" x14ac:dyDescent="0.3">
      <c r="B21" s="3"/>
      <c r="C21" s="4" t="s">
        <v>20</v>
      </c>
      <c r="D21" s="4" t="s">
        <v>40</v>
      </c>
      <c r="E21" s="4"/>
      <c r="F21" s="5"/>
    </row>
    <row r="22" spans="2:6" ht="17.25" thickBot="1" x14ac:dyDescent="0.35">
      <c r="B22" s="6"/>
      <c r="C22" s="7" t="s">
        <v>21</v>
      </c>
      <c r="D22" s="7"/>
      <c r="E22" s="7"/>
      <c r="F22" s="8"/>
    </row>
    <row r="24" spans="2:6" ht="17.25" thickBot="1" x14ac:dyDescent="0.35"/>
    <row r="25" spans="2:6" x14ac:dyDescent="0.3">
      <c r="B25" s="44" t="s">
        <v>169</v>
      </c>
      <c r="C25" s="45"/>
      <c r="D25" s="45"/>
      <c r="E25" s="46"/>
    </row>
    <row r="26" spans="2:6" ht="17.25" thickBot="1" x14ac:dyDescent="0.35">
      <c r="B26" s="34" t="s">
        <v>171</v>
      </c>
      <c r="C26" s="35" t="s">
        <v>172</v>
      </c>
      <c r="D26" s="35" t="s">
        <v>170</v>
      </c>
      <c r="E26" s="36" t="s">
        <v>173</v>
      </c>
    </row>
    <row r="27" spans="2:6" ht="17.25" thickBot="1" x14ac:dyDescent="0.35">
      <c r="B27" s="30" t="s">
        <v>2</v>
      </c>
      <c r="C27" s="31" t="s">
        <v>174</v>
      </c>
      <c r="D27" s="32" t="str">
        <f>公司各渠道指标可视化!$C$4</f>
        <v>非中短存续期趸缴</v>
      </c>
      <c r="E27" s="33" t="str">
        <f>VLOOKUP(D27,$B$27:$C$100,2,)</f>
        <v>整数</v>
      </c>
    </row>
    <row r="28" spans="2:6" x14ac:dyDescent="0.3">
      <c r="B28" s="25" t="s">
        <v>3</v>
      </c>
      <c r="C28" s="5" t="s">
        <v>174</v>
      </c>
    </row>
    <row r="29" spans="2:6" x14ac:dyDescent="0.3">
      <c r="B29" s="25" t="s">
        <v>4</v>
      </c>
      <c r="C29" s="5" t="s">
        <v>174</v>
      </c>
    </row>
    <row r="30" spans="2:6" x14ac:dyDescent="0.3">
      <c r="B30" s="25" t="s">
        <v>5</v>
      </c>
      <c r="C30" s="5" t="s">
        <v>174</v>
      </c>
    </row>
    <row r="31" spans="2:6" x14ac:dyDescent="0.3">
      <c r="B31" s="25" t="s">
        <v>6</v>
      </c>
      <c r="C31" s="5" t="s">
        <v>174</v>
      </c>
    </row>
    <row r="32" spans="2:6" x14ac:dyDescent="0.3">
      <c r="B32" s="25" t="s">
        <v>7</v>
      </c>
      <c r="C32" s="5" t="s">
        <v>174</v>
      </c>
    </row>
    <row r="33" spans="2:3" x14ac:dyDescent="0.3">
      <c r="B33" s="25" t="s">
        <v>8</v>
      </c>
      <c r="C33" s="5" t="s">
        <v>174</v>
      </c>
    </row>
    <row r="34" spans="2:3" x14ac:dyDescent="0.3">
      <c r="B34" s="25" t="s">
        <v>9</v>
      </c>
      <c r="C34" s="5" t="s">
        <v>174</v>
      </c>
    </row>
    <row r="35" spans="2:3" x14ac:dyDescent="0.3">
      <c r="B35" s="25" t="s">
        <v>10</v>
      </c>
      <c r="C35" s="5" t="s">
        <v>174</v>
      </c>
    </row>
    <row r="36" spans="2:3" x14ac:dyDescent="0.3">
      <c r="B36" s="25" t="s">
        <v>11</v>
      </c>
      <c r="C36" s="5" t="s">
        <v>174</v>
      </c>
    </row>
    <row r="37" spans="2:3" x14ac:dyDescent="0.3">
      <c r="B37" s="25" t="s">
        <v>12</v>
      </c>
      <c r="C37" s="5" t="s">
        <v>175</v>
      </c>
    </row>
    <row r="38" spans="2:3" x14ac:dyDescent="0.3">
      <c r="B38" s="25" t="s">
        <v>13</v>
      </c>
      <c r="C38" s="5" t="s">
        <v>175</v>
      </c>
    </row>
    <row r="39" spans="2:3" x14ac:dyDescent="0.3">
      <c r="B39" s="25" t="s">
        <v>14</v>
      </c>
      <c r="C39" s="5" t="s">
        <v>175</v>
      </c>
    </row>
    <row r="40" spans="2:3" x14ac:dyDescent="0.3">
      <c r="B40" s="25" t="s">
        <v>15</v>
      </c>
      <c r="C40" s="5" t="s">
        <v>174</v>
      </c>
    </row>
    <row r="41" spans="2:3" x14ac:dyDescent="0.3">
      <c r="B41" s="25" t="s">
        <v>16</v>
      </c>
      <c r="C41" s="5" t="s">
        <v>175</v>
      </c>
    </row>
    <row r="42" spans="2:3" x14ac:dyDescent="0.3">
      <c r="B42" s="25" t="s">
        <v>17</v>
      </c>
      <c r="C42" s="5" t="s">
        <v>174</v>
      </c>
    </row>
    <row r="43" spans="2:3" x14ac:dyDescent="0.3">
      <c r="B43" s="25" t="s">
        <v>18</v>
      </c>
      <c r="C43" s="5" t="s">
        <v>174</v>
      </c>
    </row>
    <row r="44" spans="2:3" x14ac:dyDescent="0.3">
      <c r="B44" s="25" t="s">
        <v>19</v>
      </c>
      <c r="C44" s="5" t="s">
        <v>175</v>
      </c>
    </row>
    <row r="45" spans="2:3" x14ac:dyDescent="0.3">
      <c r="B45" s="25" t="s">
        <v>20</v>
      </c>
      <c r="C45" s="5" t="s">
        <v>175</v>
      </c>
    </row>
    <row r="46" spans="2:3" x14ac:dyDescent="0.3">
      <c r="B46" s="25" t="s">
        <v>21</v>
      </c>
      <c r="C46" s="5" t="s">
        <v>175</v>
      </c>
    </row>
    <row r="47" spans="2:3" x14ac:dyDescent="0.3">
      <c r="B47" s="26" t="s">
        <v>22</v>
      </c>
      <c r="C47" s="5" t="s">
        <v>174</v>
      </c>
    </row>
    <row r="48" spans="2:3" x14ac:dyDescent="0.3">
      <c r="B48" s="26" t="s">
        <v>23</v>
      </c>
      <c r="C48" s="5" t="s">
        <v>174</v>
      </c>
    </row>
    <row r="49" spans="2:3" x14ac:dyDescent="0.3">
      <c r="B49" s="26" t="s">
        <v>24</v>
      </c>
      <c r="C49" s="5" t="s">
        <v>174</v>
      </c>
    </row>
    <row r="50" spans="2:3" x14ac:dyDescent="0.3">
      <c r="B50" s="26" t="s">
        <v>25</v>
      </c>
      <c r="C50" s="5" t="s">
        <v>174</v>
      </c>
    </row>
    <row r="51" spans="2:3" x14ac:dyDescent="0.3">
      <c r="B51" s="26" t="s">
        <v>26</v>
      </c>
      <c r="C51" s="5" t="s">
        <v>174</v>
      </c>
    </row>
    <row r="52" spans="2:3" x14ac:dyDescent="0.3">
      <c r="B52" s="26" t="s">
        <v>27</v>
      </c>
      <c r="C52" s="5" t="s">
        <v>174</v>
      </c>
    </row>
    <row r="53" spans="2:3" x14ac:dyDescent="0.3">
      <c r="B53" s="26" t="s">
        <v>28</v>
      </c>
      <c r="C53" s="5" t="s">
        <v>174</v>
      </c>
    </row>
    <row r="54" spans="2:3" x14ac:dyDescent="0.3">
      <c r="B54" s="26" t="s">
        <v>29</v>
      </c>
      <c r="C54" s="5" t="s">
        <v>174</v>
      </c>
    </row>
    <row r="55" spans="2:3" x14ac:dyDescent="0.3">
      <c r="B55" s="26" t="s">
        <v>30</v>
      </c>
      <c r="C55" s="5" t="s">
        <v>174</v>
      </c>
    </row>
    <row r="56" spans="2:3" x14ac:dyDescent="0.3">
      <c r="B56" s="26" t="s">
        <v>31</v>
      </c>
      <c r="C56" s="5" t="s">
        <v>175</v>
      </c>
    </row>
    <row r="57" spans="2:3" x14ac:dyDescent="0.3">
      <c r="B57" s="26" t="s">
        <v>32</v>
      </c>
      <c r="C57" s="5" t="s">
        <v>174</v>
      </c>
    </row>
    <row r="58" spans="2:3" x14ac:dyDescent="0.3">
      <c r="B58" s="26" t="s">
        <v>33</v>
      </c>
      <c r="C58" s="5" t="s">
        <v>175</v>
      </c>
    </row>
    <row r="59" spans="2:3" x14ac:dyDescent="0.3">
      <c r="B59" s="26" t="s">
        <v>34</v>
      </c>
      <c r="C59" s="5" t="s">
        <v>175</v>
      </c>
    </row>
    <row r="60" spans="2:3" x14ac:dyDescent="0.3">
      <c r="B60" s="26" t="s">
        <v>35</v>
      </c>
      <c r="C60" s="5" t="s">
        <v>175</v>
      </c>
    </row>
    <row r="61" spans="2:3" x14ac:dyDescent="0.3">
      <c r="B61" s="26" t="s">
        <v>36</v>
      </c>
      <c r="C61" s="5" t="s">
        <v>174</v>
      </c>
    </row>
    <row r="62" spans="2:3" x14ac:dyDescent="0.3">
      <c r="B62" s="26" t="s">
        <v>37</v>
      </c>
      <c r="C62" s="5" t="s">
        <v>175</v>
      </c>
    </row>
    <row r="63" spans="2:3" x14ac:dyDescent="0.3">
      <c r="B63" s="26" t="s">
        <v>38</v>
      </c>
      <c r="C63" s="5" t="s">
        <v>174</v>
      </c>
    </row>
    <row r="64" spans="2:3" x14ac:dyDescent="0.3">
      <c r="B64" s="26" t="s">
        <v>39</v>
      </c>
      <c r="C64" s="5" t="s">
        <v>175</v>
      </c>
    </row>
    <row r="65" spans="2:3" x14ac:dyDescent="0.3">
      <c r="B65" s="26" t="s">
        <v>40</v>
      </c>
      <c r="C65" s="5" t="s">
        <v>175</v>
      </c>
    </row>
    <row r="66" spans="2:3" x14ac:dyDescent="0.3">
      <c r="B66" s="27" t="s">
        <v>41</v>
      </c>
      <c r="C66" s="5" t="s">
        <v>174</v>
      </c>
    </row>
    <row r="67" spans="2:3" x14ac:dyDescent="0.3">
      <c r="B67" s="27" t="s">
        <v>42</v>
      </c>
      <c r="C67" s="5" t="s">
        <v>174</v>
      </c>
    </row>
    <row r="68" spans="2:3" x14ac:dyDescent="0.3">
      <c r="B68" s="27" t="s">
        <v>43</v>
      </c>
      <c r="C68" s="5" t="s">
        <v>174</v>
      </c>
    </row>
    <row r="69" spans="2:3" x14ac:dyDescent="0.3">
      <c r="B69" s="27" t="s">
        <v>44</v>
      </c>
      <c r="C69" s="5" t="s">
        <v>174</v>
      </c>
    </row>
    <row r="70" spans="2:3" x14ac:dyDescent="0.3">
      <c r="B70" s="27" t="s">
        <v>45</v>
      </c>
      <c r="C70" s="5" t="s">
        <v>174</v>
      </c>
    </row>
    <row r="71" spans="2:3" x14ac:dyDescent="0.3">
      <c r="B71" s="28" t="s">
        <v>46</v>
      </c>
      <c r="C71" s="5" t="s">
        <v>174</v>
      </c>
    </row>
    <row r="72" spans="2:3" ht="17.25" thickBot="1" x14ac:dyDescent="0.35">
      <c r="B72" s="29" t="s">
        <v>47</v>
      </c>
      <c r="C72" s="8" t="s">
        <v>174</v>
      </c>
    </row>
  </sheetData>
  <mergeCells count="4">
    <mergeCell ref="M1:N1"/>
    <mergeCell ref="O1:P1"/>
    <mergeCell ref="K1:L1"/>
    <mergeCell ref="B25:E25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347"/>
  <sheetViews>
    <sheetView topLeftCell="A61" workbookViewId="0">
      <selection sqref="A1:XFD1048576"/>
    </sheetView>
  </sheetViews>
  <sheetFormatPr defaultColWidth="9" defaultRowHeight="13.5" x14ac:dyDescent="0.15"/>
  <cols>
    <col min="5" max="5" width="7.375" customWidth="1"/>
    <col min="6" max="6" width="8.5" customWidth="1"/>
    <col min="7" max="7" width="9.625" customWidth="1"/>
    <col min="8" max="8" width="8" customWidth="1"/>
    <col min="9" max="9" width="9.625" customWidth="1"/>
    <col min="10" max="19" width="9" customWidth="1"/>
    <col min="20" max="20" width="12.5" bestFit="1" customWidth="1"/>
  </cols>
  <sheetData>
    <row r="1" spans="1:21" x14ac:dyDescent="0.15">
      <c r="A1" t="str">
        <f>公司整体!A1</f>
        <v>机构</v>
      </c>
      <c r="B1" t="str">
        <f>公司整体!B1</f>
        <v>月份</v>
      </c>
      <c r="C1" t="str">
        <f ca="1">INDIRECT(ADDRESS(ROW(C1),MATCH(公司各渠道指标可视化!$C$4,公司整体!$1:$1,0),3,1,"公司整体"),TRUE)</f>
        <v>非中短存续期趸缴</v>
      </c>
      <c r="E1" t="str">
        <f ca="1">$C$1</f>
        <v>非中短存续期趸缴</v>
      </c>
      <c r="F1" t="s">
        <v>48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  <c r="R1" t="s">
        <v>61</v>
      </c>
      <c r="S1" t="s">
        <v>0</v>
      </c>
    </row>
    <row r="2" spans="1:21" x14ac:dyDescent="0.15">
      <c r="A2" t="str">
        <f>公司整体!A2</f>
        <v>东莞</v>
      </c>
      <c r="B2" t="str">
        <f>公司整体!B2</f>
        <v>2012-06</v>
      </c>
      <c r="C2">
        <f ca="1">INDIRECT(ADDRESS(ROW(C2),MATCH(公司各渠道指标可视化!$C$4,公司整体!$1:$1,0),3,1,"公司整体"),TRUE)</f>
        <v>0</v>
      </c>
      <c r="E2" t="str">
        <f ca="1">INDIRECT(ADDRESS(14*ROW(A1)-12,2,1,1,"图表数据"),TRUE)</f>
        <v>2012-06</v>
      </c>
      <c r="F2">
        <f ca="1">VLOOKUP(F$1&amp;$E2,$T:$U,2,0)</f>
        <v>0</v>
      </c>
      <c r="G2">
        <f ca="1">VLOOKUP(G$1&amp;$E2,$T:$U,2,0)</f>
        <v>0</v>
      </c>
      <c r="H2">
        <f t="shared" ref="H2:S17" ca="1" si="0">VLOOKUP(H$1&amp;$E2,$T:$U,2,0)</f>
        <v>0</v>
      </c>
      <c r="I2">
        <f t="shared" ca="1" si="0"/>
        <v>0</v>
      </c>
      <c r="J2">
        <f t="shared" ca="1" si="0"/>
        <v>0</v>
      </c>
      <c r="K2">
        <f t="shared" ca="1" si="0"/>
        <v>0</v>
      </c>
      <c r="L2">
        <f t="shared" ca="1" si="0"/>
        <v>0</v>
      </c>
      <c r="M2">
        <f t="shared" ca="1" si="0"/>
        <v>0</v>
      </c>
      <c r="N2">
        <f t="shared" ca="1" si="0"/>
        <v>0</v>
      </c>
      <c r="O2">
        <f t="shared" ca="1" si="0"/>
        <v>0</v>
      </c>
      <c r="P2">
        <f t="shared" ca="1" si="0"/>
        <v>0</v>
      </c>
      <c r="Q2">
        <f t="shared" ca="1" si="0"/>
        <v>0</v>
      </c>
      <c r="R2">
        <f ca="1">VLOOKUP(R$1&amp;$E2,$T:$U,2,0)</f>
        <v>0</v>
      </c>
      <c r="S2">
        <f t="shared" ca="1" si="0"/>
        <v>0</v>
      </c>
      <c r="T2" t="str">
        <f>A2&amp;B2</f>
        <v>东莞2012-06</v>
      </c>
      <c r="U2">
        <f ca="1">C2</f>
        <v>0</v>
      </c>
    </row>
    <row r="3" spans="1:21" x14ac:dyDescent="0.15">
      <c r="A3" t="str">
        <f>公司整体!A3</f>
        <v>佛山</v>
      </c>
      <c r="B3" t="str">
        <f>公司整体!B3</f>
        <v>2012-06</v>
      </c>
      <c r="C3">
        <f ca="1">INDIRECT(ADDRESS(ROW(C3),MATCH(公司各渠道指标可视化!$C$4,公司整体!$1:$1,0),3,1,"公司整体"),TRUE)</f>
        <v>0</v>
      </c>
      <c r="E3" t="str">
        <f t="shared" ref="E3:E66" ca="1" si="1">INDIRECT(ADDRESS(14*ROW(A2)-12,2,1,1,"图表数据"),TRUE)</f>
        <v>2012-07</v>
      </c>
      <c r="F3">
        <f t="shared" ref="F3:S18" ca="1" si="2">VLOOKUP(F$1&amp;$E3,$T:$U,2,0)</f>
        <v>0</v>
      </c>
      <c r="G3">
        <f t="shared" ca="1" si="2"/>
        <v>0</v>
      </c>
      <c r="H3">
        <f t="shared" ca="1" si="0"/>
        <v>0</v>
      </c>
      <c r="I3">
        <f t="shared" ca="1" si="0"/>
        <v>0</v>
      </c>
      <c r="J3">
        <f t="shared" ca="1" si="0"/>
        <v>0</v>
      </c>
      <c r="K3">
        <f t="shared" ca="1" si="0"/>
        <v>0</v>
      </c>
      <c r="L3">
        <f t="shared" ca="1" si="0"/>
        <v>0</v>
      </c>
      <c r="M3">
        <f t="shared" ca="1" si="0"/>
        <v>0</v>
      </c>
      <c r="N3">
        <f t="shared" ca="1" si="0"/>
        <v>0</v>
      </c>
      <c r="O3">
        <f t="shared" ca="1" si="0"/>
        <v>0</v>
      </c>
      <c r="P3">
        <f t="shared" ca="1" si="0"/>
        <v>0</v>
      </c>
      <c r="Q3">
        <f t="shared" ca="1" si="0"/>
        <v>0</v>
      </c>
      <c r="R3">
        <f t="shared" ca="1" si="0"/>
        <v>0</v>
      </c>
      <c r="S3">
        <f t="shared" ca="1" si="0"/>
        <v>0</v>
      </c>
      <c r="T3" t="str">
        <f t="shared" ref="T3:T66" si="3">A3&amp;B3</f>
        <v>佛山2012-06</v>
      </c>
      <c r="U3">
        <f t="shared" ref="U3:U66" ca="1" si="4">C3</f>
        <v>0</v>
      </c>
    </row>
    <row r="4" spans="1:21" x14ac:dyDescent="0.15">
      <c r="A4" t="str">
        <f>公司整体!A4</f>
        <v>广东</v>
      </c>
      <c r="B4" t="str">
        <f>公司整体!B4</f>
        <v>2012-06</v>
      </c>
      <c r="C4">
        <f ca="1">INDIRECT(ADDRESS(ROW(C4),MATCH(公司各渠道指标可视化!$C$4,公司整体!$1:$1,0),3,1,"公司整体"),TRUE)</f>
        <v>0</v>
      </c>
      <c r="E4" t="str">
        <f t="shared" ca="1" si="1"/>
        <v>2012-08</v>
      </c>
      <c r="F4">
        <f t="shared" ca="1" si="2"/>
        <v>0</v>
      </c>
      <c r="G4">
        <f t="shared" ca="1" si="2"/>
        <v>0</v>
      </c>
      <c r="H4">
        <f t="shared" ca="1" si="0"/>
        <v>0</v>
      </c>
      <c r="I4">
        <f t="shared" ca="1" si="0"/>
        <v>0</v>
      </c>
      <c r="J4">
        <f t="shared" ca="1" si="0"/>
        <v>0</v>
      </c>
      <c r="K4">
        <f t="shared" ca="1" si="0"/>
        <v>0</v>
      </c>
      <c r="L4">
        <f t="shared" ca="1" si="0"/>
        <v>0</v>
      </c>
      <c r="M4">
        <f t="shared" ca="1" si="0"/>
        <v>0</v>
      </c>
      <c r="N4">
        <f t="shared" ca="1" si="0"/>
        <v>0</v>
      </c>
      <c r="O4">
        <f t="shared" ca="1" si="0"/>
        <v>0</v>
      </c>
      <c r="P4">
        <f t="shared" ca="1" si="0"/>
        <v>0</v>
      </c>
      <c r="Q4">
        <f t="shared" ca="1" si="0"/>
        <v>0</v>
      </c>
      <c r="R4">
        <f t="shared" ca="1" si="0"/>
        <v>0</v>
      </c>
      <c r="S4">
        <f t="shared" ca="1" si="0"/>
        <v>0</v>
      </c>
      <c r="T4" t="str">
        <f t="shared" si="3"/>
        <v>广东2012-06</v>
      </c>
      <c r="U4">
        <f t="shared" ca="1" si="4"/>
        <v>0</v>
      </c>
    </row>
    <row r="5" spans="1:21" x14ac:dyDescent="0.15">
      <c r="A5" t="str">
        <f>公司整体!A5</f>
        <v>广州</v>
      </c>
      <c r="B5" t="str">
        <f>公司整体!B5</f>
        <v>2012-06</v>
      </c>
      <c r="C5">
        <f ca="1">INDIRECT(ADDRESS(ROW(C5),MATCH(公司各渠道指标可视化!$C$4,公司整体!$1:$1,0),3,1,"公司整体"),TRUE)</f>
        <v>0</v>
      </c>
      <c r="E5" t="str">
        <f t="shared" ca="1" si="1"/>
        <v>2012-09</v>
      </c>
      <c r="F5">
        <f t="shared" ca="1" si="2"/>
        <v>0</v>
      </c>
      <c r="G5">
        <f t="shared" ca="1" si="2"/>
        <v>0</v>
      </c>
      <c r="H5">
        <f t="shared" ca="1" si="0"/>
        <v>0</v>
      </c>
      <c r="I5">
        <f t="shared" ca="1" si="0"/>
        <v>0</v>
      </c>
      <c r="J5">
        <f t="shared" ca="1" si="0"/>
        <v>0</v>
      </c>
      <c r="K5">
        <f t="shared" ca="1" si="0"/>
        <v>0</v>
      </c>
      <c r="L5">
        <f t="shared" ca="1" si="0"/>
        <v>0</v>
      </c>
      <c r="M5">
        <f t="shared" ca="1" si="0"/>
        <v>0</v>
      </c>
      <c r="N5">
        <f t="shared" ca="1" si="0"/>
        <v>0</v>
      </c>
      <c r="O5">
        <f t="shared" ca="1" si="0"/>
        <v>0</v>
      </c>
      <c r="P5">
        <f t="shared" ca="1" si="0"/>
        <v>0</v>
      </c>
      <c r="Q5">
        <f t="shared" ca="1" si="0"/>
        <v>0</v>
      </c>
      <c r="R5">
        <f t="shared" ca="1" si="0"/>
        <v>0</v>
      </c>
      <c r="S5">
        <f t="shared" ca="1" si="0"/>
        <v>0</v>
      </c>
      <c r="T5" t="str">
        <f t="shared" si="3"/>
        <v>广州2012-06</v>
      </c>
      <c r="U5">
        <f t="shared" ca="1" si="4"/>
        <v>0</v>
      </c>
    </row>
    <row r="6" spans="1:21" x14ac:dyDescent="0.15">
      <c r="A6" t="str">
        <f>公司整体!A6</f>
        <v>湖北</v>
      </c>
      <c r="B6" t="str">
        <f>公司整体!B6</f>
        <v>2012-06</v>
      </c>
      <c r="C6">
        <f ca="1">INDIRECT(ADDRESS(ROW(C6),MATCH(公司各渠道指标可视化!$C$4,公司整体!$1:$1,0),3,1,"公司整体"),TRUE)</f>
        <v>0</v>
      </c>
      <c r="E6" t="str">
        <f t="shared" ca="1" si="1"/>
        <v>2012-10</v>
      </c>
      <c r="F6">
        <f t="shared" ca="1" si="2"/>
        <v>0</v>
      </c>
      <c r="G6">
        <f t="shared" ca="1" si="2"/>
        <v>0</v>
      </c>
      <c r="H6">
        <f t="shared" ca="1" si="0"/>
        <v>0</v>
      </c>
      <c r="I6">
        <f t="shared" ca="1" si="0"/>
        <v>0</v>
      </c>
      <c r="J6">
        <f t="shared" ca="1" si="0"/>
        <v>0</v>
      </c>
      <c r="K6">
        <f t="shared" ca="1" si="0"/>
        <v>0</v>
      </c>
      <c r="L6">
        <f t="shared" ca="1" si="0"/>
        <v>0</v>
      </c>
      <c r="M6">
        <f t="shared" ca="1" si="0"/>
        <v>0</v>
      </c>
      <c r="N6">
        <f t="shared" ca="1" si="0"/>
        <v>0</v>
      </c>
      <c r="O6">
        <f t="shared" ca="1" si="0"/>
        <v>0</v>
      </c>
      <c r="P6">
        <f t="shared" ca="1" si="0"/>
        <v>0</v>
      </c>
      <c r="Q6">
        <f t="shared" ca="1" si="0"/>
        <v>0</v>
      </c>
      <c r="R6">
        <f t="shared" ca="1" si="0"/>
        <v>0</v>
      </c>
      <c r="S6">
        <f t="shared" ca="1" si="0"/>
        <v>0</v>
      </c>
      <c r="T6" t="str">
        <f t="shared" si="3"/>
        <v>湖北2012-06</v>
      </c>
      <c r="U6">
        <f t="shared" ca="1" si="4"/>
        <v>0</v>
      </c>
    </row>
    <row r="7" spans="1:21" x14ac:dyDescent="0.15">
      <c r="A7" t="str">
        <f>公司整体!A7</f>
        <v>机构</v>
      </c>
      <c r="B7" t="str">
        <f>公司整体!B7</f>
        <v>2012-06</v>
      </c>
      <c r="C7">
        <f ca="1">INDIRECT(ADDRESS(ROW(C7),MATCH(公司各渠道指标可视化!$C$4,公司整体!$1:$1,0),3,1,"公司整体"),TRUE)</f>
        <v>0</v>
      </c>
      <c r="E7" t="str">
        <f t="shared" ca="1" si="1"/>
        <v>2012-11</v>
      </c>
      <c r="F7">
        <f t="shared" ca="1" si="2"/>
        <v>0</v>
      </c>
      <c r="G7">
        <f t="shared" ca="1" si="2"/>
        <v>0</v>
      </c>
      <c r="H7">
        <f t="shared" ca="1" si="0"/>
        <v>0</v>
      </c>
      <c r="I7">
        <f t="shared" ca="1" si="0"/>
        <v>0</v>
      </c>
      <c r="J7">
        <f t="shared" ca="1" si="0"/>
        <v>0</v>
      </c>
      <c r="K7">
        <f t="shared" ca="1" si="0"/>
        <v>0</v>
      </c>
      <c r="L7">
        <f t="shared" ca="1" si="0"/>
        <v>0</v>
      </c>
      <c r="M7">
        <f t="shared" ca="1" si="0"/>
        <v>0</v>
      </c>
      <c r="N7">
        <f t="shared" ca="1" si="0"/>
        <v>0</v>
      </c>
      <c r="O7">
        <f t="shared" ca="1" si="0"/>
        <v>0</v>
      </c>
      <c r="P7">
        <f t="shared" ca="1" si="0"/>
        <v>0</v>
      </c>
      <c r="Q7">
        <f t="shared" ca="1" si="0"/>
        <v>0</v>
      </c>
      <c r="R7">
        <f t="shared" ca="1" si="0"/>
        <v>0</v>
      </c>
      <c r="S7">
        <f t="shared" ca="1" si="0"/>
        <v>0</v>
      </c>
      <c r="T7" t="str">
        <f t="shared" si="3"/>
        <v>机构2012-06</v>
      </c>
      <c r="U7">
        <f t="shared" ca="1" si="4"/>
        <v>0</v>
      </c>
    </row>
    <row r="8" spans="1:21" x14ac:dyDescent="0.15">
      <c r="A8" t="str">
        <f>公司整体!A8</f>
        <v>江苏</v>
      </c>
      <c r="B8" t="str">
        <f>公司整体!B8</f>
        <v>2012-06</v>
      </c>
      <c r="C8">
        <f ca="1">INDIRECT(ADDRESS(ROW(C8),MATCH(公司各渠道指标可视化!$C$4,公司整体!$1:$1,0),3,1,"公司整体"),TRUE)</f>
        <v>0</v>
      </c>
      <c r="E8" t="str">
        <f t="shared" ca="1" si="1"/>
        <v>2012-12</v>
      </c>
      <c r="F8">
        <f t="shared" ca="1" si="2"/>
        <v>0</v>
      </c>
      <c r="G8">
        <f t="shared" ca="1" si="2"/>
        <v>0</v>
      </c>
      <c r="H8">
        <f t="shared" ca="1" si="0"/>
        <v>0</v>
      </c>
      <c r="I8">
        <f t="shared" ca="1" si="0"/>
        <v>0</v>
      </c>
      <c r="J8">
        <f t="shared" ca="1" si="0"/>
        <v>0</v>
      </c>
      <c r="K8">
        <f t="shared" ca="1" si="0"/>
        <v>0</v>
      </c>
      <c r="L8">
        <f t="shared" ca="1" si="0"/>
        <v>0</v>
      </c>
      <c r="M8">
        <f t="shared" ca="1" si="0"/>
        <v>0</v>
      </c>
      <c r="N8">
        <f t="shared" ca="1" si="0"/>
        <v>0</v>
      </c>
      <c r="O8">
        <f t="shared" ca="1" si="0"/>
        <v>0</v>
      </c>
      <c r="P8">
        <f t="shared" ca="1" si="0"/>
        <v>0</v>
      </c>
      <c r="Q8">
        <f t="shared" ca="1" si="0"/>
        <v>0</v>
      </c>
      <c r="R8">
        <f t="shared" ca="1" si="0"/>
        <v>0</v>
      </c>
      <c r="S8">
        <f t="shared" ca="1" si="0"/>
        <v>0</v>
      </c>
      <c r="T8" t="str">
        <f t="shared" si="3"/>
        <v>江苏2012-06</v>
      </c>
      <c r="U8">
        <f t="shared" ca="1" si="4"/>
        <v>0</v>
      </c>
    </row>
    <row r="9" spans="1:21" x14ac:dyDescent="0.15">
      <c r="A9" t="str">
        <f>公司整体!A9</f>
        <v>山东</v>
      </c>
      <c r="B9" t="str">
        <f>公司整体!B9</f>
        <v>2012-06</v>
      </c>
      <c r="C9">
        <f ca="1">INDIRECT(ADDRESS(ROW(C9),MATCH(公司各渠道指标可视化!$C$4,公司整体!$1:$1,0),3,1,"公司整体"),TRUE)</f>
        <v>0</v>
      </c>
      <c r="E9" t="str">
        <f t="shared" ca="1" si="1"/>
        <v>2013-01</v>
      </c>
      <c r="F9">
        <f t="shared" ca="1" si="2"/>
        <v>0</v>
      </c>
      <c r="G9">
        <f t="shared" ca="1" si="2"/>
        <v>0</v>
      </c>
      <c r="H9">
        <f t="shared" ca="1" si="0"/>
        <v>0</v>
      </c>
      <c r="I9">
        <f t="shared" ca="1" si="0"/>
        <v>0</v>
      </c>
      <c r="J9">
        <f t="shared" ca="1" si="0"/>
        <v>0</v>
      </c>
      <c r="K9">
        <f t="shared" ca="1" si="0"/>
        <v>0</v>
      </c>
      <c r="L9">
        <f t="shared" ca="1" si="0"/>
        <v>0</v>
      </c>
      <c r="M9">
        <f t="shared" ca="1" si="0"/>
        <v>0</v>
      </c>
      <c r="N9">
        <f t="shared" ca="1" si="0"/>
        <v>0</v>
      </c>
      <c r="O9">
        <f t="shared" ca="1" si="0"/>
        <v>0</v>
      </c>
      <c r="P9">
        <f t="shared" ca="1" si="0"/>
        <v>0</v>
      </c>
      <c r="Q9">
        <f t="shared" ca="1" si="0"/>
        <v>0</v>
      </c>
      <c r="R9">
        <f t="shared" ca="1" si="0"/>
        <v>0</v>
      </c>
      <c r="S9">
        <f t="shared" ca="1" si="0"/>
        <v>0</v>
      </c>
      <c r="T9" t="str">
        <f t="shared" si="3"/>
        <v>山东2012-06</v>
      </c>
      <c r="U9">
        <f t="shared" ca="1" si="4"/>
        <v>0</v>
      </c>
    </row>
    <row r="10" spans="1:21" x14ac:dyDescent="0.15">
      <c r="A10" t="str">
        <f>公司整体!A10</f>
        <v>上海</v>
      </c>
      <c r="B10" t="str">
        <f>公司整体!B10</f>
        <v>2012-06</v>
      </c>
      <c r="C10">
        <f ca="1">INDIRECT(ADDRESS(ROW(C10),MATCH(公司各渠道指标可视化!$C$4,公司整体!$1:$1,0),3,1,"公司整体"),TRUE)</f>
        <v>0</v>
      </c>
      <c r="E10" t="str">
        <f t="shared" ca="1" si="1"/>
        <v>2013-02</v>
      </c>
      <c r="F10">
        <f t="shared" ca="1" si="2"/>
        <v>0</v>
      </c>
      <c r="G10">
        <f t="shared" ca="1" si="2"/>
        <v>0</v>
      </c>
      <c r="H10">
        <f t="shared" ca="1" si="0"/>
        <v>0</v>
      </c>
      <c r="I10">
        <f t="shared" ca="1" si="0"/>
        <v>0</v>
      </c>
      <c r="J10">
        <f t="shared" ca="1" si="0"/>
        <v>0</v>
      </c>
      <c r="K10">
        <f t="shared" ca="1" si="0"/>
        <v>0</v>
      </c>
      <c r="L10">
        <f t="shared" ca="1" si="0"/>
        <v>0</v>
      </c>
      <c r="M10">
        <f t="shared" ca="1" si="0"/>
        <v>0</v>
      </c>
      <c r="N10">
        <f t="shared" ca="1" si="0"/>
        <v>0</v>
      </c>
      <c r="O10">
        <f t="shared" ca="1" si="0"/>
        <v>0</v>
      </c>
      <c r="P10">
        <f t="shared" ca="1" si="0"/>
        <v>0</v>
      </c>
      <c r="Q10">
        <f t="shared" ca="1" si="0"/>
        <v>0</v>
      </c>
      <c r="R10">
        <f t="shared" ca="1" si="0"/>
        <v>0</v>
      </c>
      <c r="S10">
        <f t="shared" ca="1" si="0"/>
        <v>0</v>
      </c>
      <c r="T10" t="str">
        <f t="shared" si="3"/>
        <v>上海2012-06</v>
      </c>
      <c r="U10">
        <f t="shared" ca="1" si="4"/>
        <v>0</v>
      </c>
    </row>
    <row r="11" spans="1:21" x14ac:dyDescent="0.15">
      <c r="A11" t="str">
        <f>公司整体!A11</f>
        <v>深圳</v>
      </c>
      <c r="B11" t="str">
        <f>公司整体!B11</f>
        <v>2012-06</v>
      </c>
      <c r="C11">
        <f ca="1">INDIRECT(ADDRESS(ROW(C11),MATCH(公司各渠道指标可视化!$C$4,公司整体!$1:$1,0),3,1,"公司整体"),TRUE)</f>
        <v>0</v>
      </c>
      <c r="E11" t="str">
        <f t="shared" ca="1" si="1"/>
        <v>2013-03</v>
      </c>
      <c r="F11">
        <f t="shared" ca="1" si="2"/>
        <v>0</v>
      </c>
      <c r="G11">
        <f t="shared" ca="1" si="2"/>
        <v>0</v>
      </c>
      <c r="H11">
        <f t="shared" ca="1" si="0"/>
        <v>0</v>
      </c>
      <c r="I11">
        <f t="shared" ca="1" si="0"/>
        <v>0</v>
      </c>
      <c r="J11">
        <f t="shared" ca="1" si="0"/>
        <v>0</v>
      </c>
      <c r="K11">
        <f t="shared" ca="1" si="0"/>
        <v>0</v>
      </c>
      <c r="L11">
        <f t="shared" ca="1" si="0"/>
        <v>0</v>
      </c>
      <c r="M11">
        <f t="shared" ca="1" si="0"/>
        <v>0</v>
      </c>
      <c r="N11">
        <f t="shared" ca="1" si="0"/>
        <v>0</v>
      </c>
      <c r="O11">
        <f t="shared" ca="1" si="0"/>
        <v>0</v>
      </c>
      <c r="P11">
        <f t="shared" ca="1" si="0"/>
        <v>0</v>
      </c>
      <c r="Q11">
        <f t="shared" ca="1" si="0"/>
        <v>0</v>
      </c>
      <c r="R11">
        <f t="shared" ca="1" si="0"/>
        <v>0</v>
      </c>
      <c r="S11">
        <f t="shared" ca="1" si="0"/>
        <v>0</v>
      </c>
      <c r="T11" t="str">
        <f t="shared" si="3"/>
        <v>深圳2012-06</v>
      </c>
      <c r="U11">
        <f t="shared" ca="1" si="4"/>
        <v>0</v>
      </c>
    </row>
    <row r="12" spans="1:21" x14ac:dyDescent="0.15">
      <c r="A12" t="str">
        <f>公司整体!A12</f>
        <v>四川</v>
      </c>
      <c r="B12" t="str">
        <f>公司整体!B12</f>
        <v>2012-06</v>
      </c>
      <c r="C12">
        <f ca="1">INDIRECT(ADDRESS(ROW(C12),MATCH(公司各渠道指标可视化!$C$4,公司整体!$1:$1,0),3,1,"公司整体"),TRUE)</f>
        <v>0</v>
      </c>
      <c r="E12" t="str">
        <f t="shared" ca="1" si="1"/>
        <v>2013-04</v>
      </c>
      <c r="F12">
        <f t="shared" ca="1" si="2"/>
        <v>0</v>
      </c>
      <c r="G12">
        <f t="shared" ca="1" si="2"/>
        <v>0</v>
      </c>
      <c r="H12">
        <f t="shared" ca="1" si="0"/>
        <v>0</v>
      </c>
      <c r="I12">
        <f t="shared" ca="1" si="0"/>
        <v>0</v>
      </c>
      <c r="J12">
        <f t="shared" ca="1" si="0"/>
        <v>0</v>
      </c>
      <c r="K12">
        <f t="shared" ca="1" si="0"/>
        <v>0</v>
      </c>
      <c r="L12">
        <f t="shared" ca="1" si="0"/>
        <v>0</v>
      </c>
      <c r="M12">
        <f t="shared" ca="1" si="0"/>
        <v>0</v>
      </c>
      <c r="N12">
        <f t="shared" ca="1" si="0"/>
        <v>0</v>
      </c>
      <c r="O12">
        <f t="shared" ca="1" si="0"/>
        <v>0</v>
      </c>
      <c r="P12">
        <f t="shared" ca="1" si="0"/>
        <v>0</v>
      </c>
      <c r="Q12">
        <f t="shared" ca="1" si="0"/>
        <v>0</v>
      </c>
      <c r="R12">
        <f t="shared" ca="1" si="0"/>
        <v>0</v>
      </c>
      <c r="S12">
        <f t="shared" ca="1" si="0"/>
        <v>0</v>
      </c>
      <c r="T12" t="str">
        <f t="shared" si="3"/>
        <v>四川2012-06</v>
      </c>
      <c r="U12">
        <f t="shared" ca="1" si="4"/>
        <v>0</v>
      </c>
    </row>
    <row r="13" spans="1:21" x14ac:dyDescent="0.15">
      <c r="A13" t="str">
        <f>公司整体!A13</f>
        <v>苏州</v>
      </c>
      <c r="B13" t="str">
        <f>公司整体!B13</f>
        <v>2012-06</v>
      </c>
      <c r="C13">
        <f ca="1">INDIRECT(ADDRESS(ROW(C13),MATCH(公司各渠道指标可视化!$C$4,公司整体!$1:$1,0),3,1,"公司整体"),TRUE)</f>
        <v>0</v>
      </c>
      <c r="E13" t="str">
        <f t="shared" ca="1" si="1"/>
        <v>2013-05</v>
      </c>
      <c r="F13">
        <f t="shared" ca="1" si="2"/>
        <v>0</v>
      </c>
      <c r="G13">
        <f t="shared" ca="1" si="2"/>
        <v>0</v>
      </c>
      <c r="H13">
        <f t="shared" ca="1" si="0"/>
        <v>0</v>
      </c>
      <c r="I13">
        <f t="shared" ca="1" si="0"/>
        <v>0</v>
      </c>
      <c r="J13">
        <f t="shared" ca="1" si="0"/>
        <v>0</v>
      </c>
      <c r="K13">
        <f t="shared" ca="1" si="0"/>
        <v>0</v>
      </c>
      <c r="L13">
        <f t="shared" ca="1" si="0"/>
        <v>0</v>
      </c>
      <c r="M13">
        <f t="shared" ca="1" si="0"/>
        <v>0</v>
      </c>
      <c r="N13">
        <f t="shared" ca="1" si="0"/>
        <v>0</v>
      </c>
      <c r="O13">
        <f t="shared" ca="1" si="0"/>
        <v>0</v>
      </c>
      <c r="P13">
        <f t="shared" ca="1" si="0"/>
        <v>0</v>
      </c>
      <c r="Q13">
        <f t="shared" ca="1" si="0"/>
        <v>0</v>
      </c>
      <c r="R13">
        <f t="shared" ca="1" si="0"/>
        <v>0</v>
      </c>
      <c r="S13">
        <f t="shared" ca="1" si="0"/>
        <v>0</v>
      </c>
      <c r="T13" t="str">
        <f t="shared" si="3"/>
        <v>苏州2012-06</v>
      </c>
      <c r="U13">
        <f t="shared" ca="1" si="4"/>
        <v>0</v>
      </c>
    </row>
    <row r="14" spans="1:21" x14ac:dyDescent="0.15">
      <c r="A14" t="str">
        <f>公司整体!A14</f>
        <v>中山</v>
      </c>
      <c r="B14" t="str">
        <f>公司整体!B14</f>
        <v>2012-06</v>
      </c>
      <c r="C14">
        <f ca="1">INDIRECT(ADDRESS(ROW(C14),MATCH(公司各渠道指标可视化!$C$4,公司整体!$1:$1,0),3,1,"公司整体"),TRUE)</f>
        <v>0</v>
      </c>
      <c r="E14" t="str">
        <f t="shared" ca="1" si="1"/>
        <v>2013-06</v>
      </c>
      <c r="F14">
        <f t="shared" ca="1" si="2"/>
        <v>0</v>
      </c>
      <c r="G14">
        <f t="shared" ca="1" si="2"/>
        <v>0</v>
      </c>
      <c r="H14">
        <f t="shared" ca="1" si="0"/>
        <v>0</v>
      </c>
      <c r="I14">
        <f t="shared" ca="1" si="0"/>
        <v>0</v>
      </c>
      <c r="J14">
        <f t="shared" ca="1" si="0"/>
        <v>0</v>
      </c>
      <c r="K14">
        <f t="shared" ca="1" si="0"/>
        <v>0</v>
      </c>
      <c r="L14">
        <f t="shared" ca="1" si="0"/>
        <v>0</v>
      </c>
      <c r="M14">
        <f t="shared" ca="1" si="0"/>
        <v>0</v>
      </c>
      <c r="N14">
        <f t="shared" ca="1" si="0"/>
        <v>0</v>
      </c>
      <c r="O14">
        <f t="shared" ca="1" si="0"/>
        <v>0</v>
      </c>
      <c r="P14">
        <f t="shared" ca="1" si="0"/>
        <v>0</v>
      </c>
      <c r="Q14">
        <f t="shared" ca="1" si="0"/>
        <v>0</v>
      </c>
      <c r="R14">
        <f t="shared" ca="1" si="0"/>
        <v>0</v>
      </c>
      <c r="S14">
        <f t="shared" ca="1" si="0"/>
        <v>0</v>
      </c>
      <c r="T14" t="str">
        <f t="shared" si="3"/>
        <v>中山2012-06</v>
      </c>
      <c r="U14">
        <f t="shared" ca="1" si="4"/>
        <v>0</v>
      </c>
    </row>
    <row r="15" spans="1:21" x14ac:dyDescent="0.15">
      <c r="A15" t="str">
        <f>公司整体!A15</f>
        <v>珠海</v>
      </c>
      <c r="B15" t="str">
        <f>公司整体!B15</f>
        <v>2012-06</v>
      </c>
      <c r="C15">
        <f ca="1">INDIRECT(ADDRESS(ROW(C15),MATCH(公司各渠道指标可视化!$C$4,公司整体!$1:$1,0),3,1,"公司整体"),TRUE)</f>
        <v>0</v>
      </c>
      <c r="E15" t="str">
        <f t="shared" ca="1" si="1"/>
        <v>2013-07</v>
      </c>
      <c r="F15">
        <f t="shared" ca="1" si="2"/>
        <v>0</v>
      </c>
      <c r="G15">
        <f t="shared" ca="1" si="2"/>
        <v>0</v>
      </c>
      <c r="H15">
        <f t="shared" ca="1" si="0"/>
        <v>0</v>
      </c>
      <c r="I15">
        <f t="shared" ca="1" si="0"/>
        <v>0</v>
      </c>
      <c r="J15">
        <f t="shared" ca="1" si="0"/>
        <v>0</v>
      </c>
      <c r="K15">
        <f t="shared" ca="1" si="0"/>
        <v>0</v>
      </c>
      <c r="L15">
        <f t="shared" ca="1" si="0"/>
        <v>0</v>
      </c>
      <c r="M15">
        <f t="shared" ca="1" si="0"/>
        <v>0</v>
      </c>
      <c r="N15">
        <f t="shared" ca="1" si="0"/>
        <v>0</v>
      </c>
      <c r="O15">
        <f t="shared" ca="1" si="0"/>
        <v>0</v>
      </c>
      <c r="P15">
        <f t="shared" ca="1" si="0"/>
        <v>0</v>
      </c>
      <c r="Q15">
        <f t="shared" ca="1" si="0"/>
        <v>0</v>
      </c>
      <c r="R15">
        <f t="shared" ca="1" si="0"/>
        <v>0</v>
      </c>
      <c r="S15">
        <f t="shared" ca="1" si="0"/>
        <v>0</v>
      </c>
      <c r="T15" t="str">
        <f t="shared" si="3"/>
        <v>珠海2012-06</v>
      </c>
      <c r="U15">
        <f t="shared" ca="1" si="4"/>
        <v>0</v>
      </c>
    </row>
    <row r="16" spans="1:21" x14ac:dyDescent="0.15">
      <c r="A16" t="str">
        <f>公司整体!A16</f>
        <v>东莞</v>
      </c>
      <c r="B16" t="str">
        <f>公司整体!B16</f>
        <v>2012-07</v>
      </c>
      <c r="C16">
        <f ca="1">INDIRECT(ADDRESS(ROW(C16),MATCH(公司各渠道指标可视化!$C$4,公司整体!$1:$1,0),3,1,"公司整体"),TRUE)</f>
        <v>0</v>
      </c>
      <c r="E16" t="str">
        <f t="shared" ca="1" si="1"/>
        <v>2013-08</v>
      </c>
      <c r="F16">
        <f t="shared" ca="1" si="2"/>
        <v>0</v>
      </c>
      <c r="G16">
        <f t="shared" ca="1" si="2"/>
        <v>0</v>
      </c>
      <c r="H16">
        <f t="shared" ca="1" si="0"/>
        <v>0</v>
      </c>
      <c r="I16">
        <f t="shared" ca="1" si="0"/>
        <v>0</v>
      </c>
      <c r="J16">
        <f t="shared" ca="1" si="0"/>
        <v>0</v>
      </c>
      <c r="K16">
        <f t="shared" ca="1" si="0"/>
        <v>0</v>
      </c>
      <c r="L16">
        <f t="shared" ca="1" si="0"/>
        <v>0</v>
      </c>
      <c r="M16">
        <f t="shared" ca="1" si="0"/>
        <v>0</v>
      </c>
      <c r="N16">
        <f t="shared" ca="1" si="0"/>
        <v>0</v>
      </c>
      <c r="O16">
        <f t="shared" ca="1" si="0"/>
        <v>0</v>
      </c>
      <c r="P16">
        <f t="shared" ca="1" si="0"/>
        <v>0</v>
      </c>
      <c r="Q16">
        <f t="shared" ca="1" si="0"/>
        <v>0</v>
      </c>
      <c r="R16">
        <f t="shared" ca="1" si="0"/>
        <v>0</v>
      </c>
      <c r="S16">
        <f t="shared" ca="1" si="0"/>
        <v>0</v>
      </c>
      <c r="T16" t="str">
        <f t="shared" si="3"/>
        <v>东莞2012-07</v>
      </c>
      <c r="U16">
        <f t="shared" ca="1" si="4"/>
        <v>0</v>
      </c>
    </row>
    <row r="17" spans="1:21" x14ac:dyDescent="0.15">
      <c r="A17" t="str">
        <f>公司整体!A17</f>
        <v>佛山</v>
      </c>
      <c r="B17" t="str">
        <f>公司整体!B17</f>
        <v>2012-07</v>
      </c>
      <c r="C17">
        <f ca="1">INDIRECT(ADDRESS(ROW(C17),MATCH(公司各渠道指标可视化!$C$4,公司整体!$1:$1,0),3,1,"公司整体"),TRUE)</f>
        <v>0</v>
      </c>
      <c r="E17" t="str">
        <f t="shared" ca="1" si="1"/>
        <v>2013-09</v>
      </c>
      <c r="F17">
        <f t="shared" ca="1" si="2"/>
        <v>0</v>
      </c>
      <c r="G17">
        <f t="shared" ca="1" si="2"/>
        <v>0</v>
      </c>
      <c r="H17">
        <f t="shared" ca="1" si="0"/>
        <v>0</v>
      </c>
      <c r="I17">
        <f t="shared" ca="1" si="0"/>
        <v>0</v>
      </c>
      <c r="J17">
        <f t="shared" ca="1" si="0"/>
        <v>0</v>
      </c>
      <c r="K17">
        <f t="shared" ca="1" si="0"/>
        <v>0</v>
      </c>
      <c r="L17">
        <f t="shared" ca="1" si="0"/>
        <v>0</v>
      </c>
      <c r="M17">
        <f t="shared" ca="1" si="0"/>
        <v>0</v>
      </c>
      <c r="N17">
        <f t="shared" ca="1" si="0"/>
        <v>0</v>
      </c>
      <c r="O17">
        <f t="shared" ca="1" si="0"/>
        <v>0</v>
      </c>
      <c r="P17">
        <f t="shared" ca="1" si="0"/>
        <v>0</v>
      </c>
      <c r="Q17">
        <f t="shared" ca="1" si="0"/>
        <v>0</v>
      </c>
      <c r="R17">
        <f t="shared" ca="1" si="0"/>
        <v>0</v>
      </c>
      <c r="S17">
        <f t="shared" ca="1" si="0"/>
        <v>0</v>
      </c>
      <c r="T17" t="str">
        <f t="shared" si="3"/>
        <v>佛山2012-07</v>
      </c>
      <c r="U17">
        <f t="shared" ca="1" si="4"/>
        <v>0</v>
      </c>
    </row>
    <row r="18" spans="1:21" x14ac:dyDescent="0.15">
      <c r="A18" t="str">
        <f>公司整体!A18</f>
        <v>广东</v>
      </c>
      <c r="B18" t="str">
        <f>公司整体!B18</f>
        <v>2012-07</v>
      </c>
      <c r="C18">
        <f ca="1">INDIRECT(ADDRESS(ROW(C18),MATCH(公司各渠道指标可视化!$C$4,公司整体!$1:$1,0),3,1,"公司整体"),TRUE)</f>
        <v>0</v>
      </c>
      <c r="E18" t="str">
        <f t="shared" ca="1" si="1"/>
        <v>2013-10</v>
      </c>
      <c r="F18">
        <f t="shared" ca="1" si="2"/>
        <v>0</v>
      </c>
      <c r="G18">
        <f t="shared" ca="1" si="2"/>
        <v>0</v>
      </c>
      <c r="H18">
        <f t="shared" ca="1" si="2"/>
        <v>0</v>
      </c>
      <c r="I18">
        <f t="shared" ca="1" si="2"/>
        <v>0</v>
      </c>
      <c r="J18">
        <f t="shared" ca="1" si="2"/>
        <v>0</v>
      </c>
      <c r="K18">
        <f t="shared" ca="1" si="2"/>
        <v>0</v>
      </c>
      <c r="L18">
        <f t="shared" ca="1" si="2"/>
        <v>0</v>
      </c>
      <c r="M18">
        <f t="shared" ca="1" si="2"/>
        <v>0</v>
      </c>
      <c r="N18">
        <f t="shared" ca="1" si="2"/>
        <v>0</v>
      </c>
      <c r="O18">
        <f t="shared" ca="1" si="2"/>
        <v>0</v>
      </c>
      <c r="P18">
        <f t="shared" ca="1" si="2"/>
        <v>0</v>
      </c>
      <c r="Q18">
        <f t="shared" ca="1" si="2"/>
        <v>0</v>
      </c>
      <c r="R18">
        <f t="shared" ca="1" si="2"/>
        <v>0</v>
      </c>
      <c r="S18">
        <f t="shared" ca="1" si="2"/>
        <v>0</v>
      </c>
      <c r="T18" t="str">
        <f t="shared" si="3"/>
        <v>广东2012-07</v>
      </c>
      <c r="U18">
        <f t="shared" ca="1" si="4"/>
        <v>0</v>
      </c>
    </row>
    <row r="19" spans="1:21" x14ac:dyDescent="0.15">
      <c r="A19" t="str">
        <f>公司整体!A19</f>
        <v>广州</v>
      </c>
      <c r="B19" t="str">
        <f>公司整体!B19</f>
        <v>2012-07</v>
      </c>
      <c r="C19">
        <f ca="1">INDIRECT(ADDRESS(ROW(C19),MATCH(公司各渠道指标可视化!$C$4,公司整体!$1:$1,0),3,1,"公司整体"),TRUE)</f>
        <v>0</v>
      </c>
      <c r="E19" t="str">
        <f t="shared" ca="1" si="1"/>
        <v>2013-11</v>
      </c>
      <c r="F19">
        <f t="shared" ref="F19:S37" ca="1" si="5">VLOOKUP(F$1&amp;$E19,$T:$U,2,0)</f>
        <v>0</v>
      </c>
      <c r="G19">
        <f t="shared" ca="1" si="5"/>
        <v>0</v>
      </c>
      <c r="H19">
        <f t="shared" ca="1" si="5"/>
        <v>0</v>
      </c>
      <c r="I19">
        <f t="shared" ca="1" si="5"/>
        <v>0</v>
      </c>
      <c r="J19">
        <f t="shared" ca="1" si="5"/>
        <v>0</v>
      </c>
      <c r="K19">
        <f t="shared" ca="1" si="5"/>
        <v>0</v>
      </c>
      <c r="L19">
        <f t="shared" ca="1" si="5"/>
        <v>0</v>
      </c>
      <c r="M19">
        <f t="shared" ca="1" si="5"/>
        <v>0</v>
      </c>
      <c r="N19">
        <f t="shared" ca="1" si="5"/>
        <v>0</v>
      </c>
      <c r="O19">
        <f t="shared" ca="1" si="5"/>
        <v>0</v>
      </c>
      <c r="P19">
        <f t="shared" ca="1" si="5"/>
        <v>0</v>
      </c>
      <c r="Q19">
        <f t="shared" ca="1" si="5"/>
        <v>0</v>
      </c>
      <c r="R19">
        <f t="shared" ca="1" si="5"/>
        <v>0</v>
      </c>
      <c r="S19">
        <f t="shared" ca="1" si="5"/>
        <v>0</v>
      </c>
      <c r="T19" t="str">
        <f t="shared" si="3"/>
        <v>广州2012-07</v>
      </c>
      <c r="U19">
        <f t="shared" ca="1" si="4"/>
        <v>0</v>
      </c>
    </row>
    <row r="20" spans="1:21" x14ac:dyDescent="0.15">
      <c r="A20" t="str">
        <f>公司整体!A20</f>
        <v>湖北</v>
      </c>
      <c r="B20" t="str">
        <f>公司整体!B20</f>
        <v>2012-07</v>
      </c>
      <c r="C20">
        <f ca="1">INDIRECT(ADDRESS(ROW(C20),MATCH(公司各渠道指标可视化!$C$4,公司整体!$1:$1,0),3,1,"公司整体"),TRUE)</f>
        <v>0</v>
      </c>
      <c r="E20" t="str">
        <f t="shared" ca="1" si="1"/>
        <v>2013-12</v>
      </c>
      <c r="F20">
        <f t="shared" ca="1" si="5"/>
        <v>0</v>
      </c>
      <c r="G20">
        <f t="shared" ca="1" si="5"/>
        <v>0</v>
      </c>
      <c r="H20">
        <f t="shared" ca="1" si="5"/>
        <v>0</v>
      </c>
      <c r="I20">
        <f t="shared" ca="1" si="5"/>
        <v>0</v>
      </c>
      <c r="J20">
        <f t="shared" ca="1" si="5"/>
        <v>0</v>
      </c>
      <c r="K20">
        <f t="shared" ca="1" si="5"/>
        <v>0</v>
      </c>
      <c r="L20">
        <f t="shared" ca="1" si="5"/>
        <v>0</v>
      </c>
      <c r="M20">
        <f t="shared" ca="1" si="5"/>
        <v>0</v>
      </c>
      <c r="N20">
        <f t="shared" ca="1" si="5"/>
        <v>0</v>
      </c>
      <c r="O20">
        <f t="shared" ca="1" si="5"/>
        <v>0</v>
      </c>
      <c r="P20">
        <f t="shared" ca="1" si="5"/>
        <v>0</v>
      </c>
      <c r="Q20">
        <f t="shared" ca="1" si="5"/>
        <v>0</v>
      </c>
      <c r="R20">
        <f t="shared" ca="1" si="5"/>
        <v>0</v>
      </c>
      <c r="S20">
        <f t="shared" ca="1" si="5"/>
        <v>0</v>
      </c>
      <c r="T20" t="str">
        <f t="shared" si="3"/>
        <v>湖北2012-07</v>
      </c>
      <c r="U20">
        <f t="shared" ca="1" si="4"/>
        <v>0</v>
      </c>
    </row>
    <row r="21" spans="1:21" x14ac:dyDescent="0.15">
      <c r="A21" t="str">
        <f>公司整体!A21</f>
        <v>机构</v>
      </c>
      <c r="B21" t="str">
        <f>公司整体!B21</f>
        <v>2012-07</v>
      </c>
      <c r="C21">
        <f ca="1">INDIRECT(ADDRESS(ROW(C21),MATCH(公司各渠道指标可视化!$C$4,公司整体!$1:$1,0),3,1,"公司整体"),TRUE)</f>
        <v>0</v>
      </c>
      <c r="E21" t="str">
        <f t="shared" ca="1" si="1"/>
        <v>2014-01</v>
      </c>
      <c r="F21">
        <f t="shared" ca="1" si="5"/>
        <v>0</v>
      </c>
      <c r="G21">
        <f t="shared" ca="1" si="5"/>
        <v>0</v>
      </c>
      <c r="H21">
        <f t="shared" ca="1" si="5"/>
        <v>0</v>
      </c>
      <c r="I21">
        <f t="shared" ca="1" si="5"/>
        <v>0</v>
      </c>
      <c r="J21">
        <f t="shared" ca="1" si="5"/>
        <v>0</v>
      </c>
      <c r="K21">
        <f t="shared" ca="1" si="5"/>
        <v>0</v>
      </c>
      <c r="L21">
        <f t="shared" ca="1" si="5"/>
        <v>0</v>
      </c>
      <c r="M21">
        <f t="shared" ca="1" si="5"/>
        <v>0</v>
      </c>
      <c r="N21">
        <f t="shared" ca="1" si="5"/>
        <v>0</v>
      </c>
      <c r="O21">
        <f t="shared" ca="1" si="5"/>
        <v>0</v>
      </c>
      <c r="P21">
        <f t="shared" ca="1" si="5"/>
        <v>0</v>
      </c>
      <c r="Q21">
        <f t="shared" ca="1" si="5"/>
        <v>0</v>
      </c>
      <c r="R21">
        <f t="shared" ca="1" si="5"/>
        <v>0</v>
      </c>
      <c r="S21">
        <f t="shared" ca="1" si="5"/>
        <v>0</v>
      </c>
      <c r="T21" t="str">
        <f t="shared" si="3"/>
        <v>机构2012-07</v>
      </c>
      <c r="U21">
        <f t="shared" ca="1" si="4"/>
        <v>0</v>
      </c>
    </row>
    <row r="22" spans="1:21" x14ac:dyDescent="0.15">
      <c r="A22" t="str">
        <f>公司整体!A22</f>
        <v>江苏</v>
      </c>
      <c r="B22" t="str">
        <f>公司整体!B22</f>
        <v>2012-07</v>
      </c>
      <c r="C22">
        <f ca="1">INDIRECT(ADDRESS(ROW(C22),MATCH(公司各渠道指标可视化!$C$4,公司整体!$1:$1,0),3,1,"公司整体"),TRUE)</f>
        <v>0</v>
      </c>
      <c r="E22" t="str">
        <f t="shared" ca="1" si="1"/>
        <v>2014-02</v>
      </c>
      <c r="F22">
        <f t="shared" ca="1" si="5"/>
        <v>0</v>
      </c>
      <c r="G22">
        <f t="shared" ca="1" si="5"/>
        <v>0</v>
      </c>
      <c r="H22">
        <f t="shared" ca="1" si="5"/>
        <v>0</v>
      </c>
      <c r="I22">
        <f t="shared" ca="1" si="5"/>
        <v>0</v>
      </c>
      <c r="J22">
        <f t="shared" ca="1" si="5"/>
        <v>0</v>
      </c>
      <c r="K22">
        <f t="shared" ca="1" si="5"/>
        <v>0</v>
      </c>
      <c r="L22">
        <f t="shared" ca="1" si="5"/>
        <v>0</v>
      </c>
      <c r="M22">
        <f t="shared" ca="1" si="5"/>
        <v>0</v>
      </c>
      <c r="N22">
        <f t="shared" ca="1" si="5"/>
        <v>0</v>
      </c>
      <c r="O22">
        <f t="shared" ca="1" si="5"/>
        <v>0</v>
      </c>
      <c r="P22">
        <f t="shared" ca="1" si="5"/>
        <v>0</v>
      </c>
      <c r="Q22">
        <f t="shared" ca="1" si="5"/>
        <v>0</v>
      </c>
      <c r="R22">
        <f t="shared" ca="1" si="5"/>
        <v>0</v>
      </c>
      <c r="S22">
        <f t="shared" ca="1" si="5"/>
        <v>0</v>
      </c>
      <c r="T22" t="str">
        <f t="shared" si="3"/>
        <v>江苏2012-07</v>
      </c>
      <c r="U22">
        <f t="shared" ca="1" si="4"/>
        <v>0</v>
      </c>
    </row>
    <row r="23" spans="1:21" x14ac:dyDescent="0.15">
      <c r="A23" t="str">
        <f>公司整体!A23</f>
        <v>山东</v>
      </c>
      <c r="B23" t="str">
        <f>公司整体!B23</f>
        <v>2012-07</v>
      </c>
      <c r="C23">
        <f ca="1">INDIRECT(ADDRESS(ROW(C23),MATCH(公司各渠道指标可视化!$C$4,公司整体!$1:$1,0),3,1,"公司整体"),TRUE)</f>
        <v>0</v>
      </c>
      <c r="E23" t="str">
        <f t="shared" ca="1" si="1"/>
        <v>2014-03</v>
      </c>
      <c r="F23">
        <f t="shared" ca="1" si="5"/>
        <v>0</v>
      </c>
      <c r="G23">
        <f t="shared" ca="1" si="5"/>
        <v>0</v>
      </c>
      <c r="H23">
        <f t="shared" ca="1" si="5"/>
        <v>0</v>
      </c>
      <c r="I23">
        <f t="shared" ca="1" si="5"/>
        <v>0</v>
      </c>
      <c r="J23">
        <f t="shared" ca="1" si="5"/>
        <v>0</v>
      </c>
      <c r="K23">
        <f t="shared" ca="1" si="5"/>
        <v>0</v>
      </c>
      <c r="L23">
        <f t="shared" ca="1" si="5"/>
        <v>0</v>
      </c>
      <c r="M23">
        <f t="shared" ca="1" si="5"/>
        <v>0</v>
      </c>
      <c r="N23">
        <f t="shared" ca="1" si="5"/>
        <v>0</v>
      </c>
      <c r="O23">
        <f t="shared" ca="1" si="5"/>
        <v>0</v>
      </c>
      <c r="P23">
        <f t="shared" ca="1" si="5"/>
        <v>0</v>
      </c>
      <c r="Q23">
        <f t="shared" ca="1" si="5"/>
        <v>0</v>
      </c>
      <c r="R23">
        <f t="shared" ca="1" si="5"/>
        <v>0</v>
      </c>
      <c r="S23">
        <f t="shared" ca="1" si="5"/>
        <v>0</v>
      </c>
      <c r="T23" t="str">
        <f t="shared" si="3"/>
        <v>山东2012-07</v>
      </c>
      <c r="U23">
        <f t="shared" ca="1" si="4"/>
        <v>0</v>
      </c>
    </row>
    <row r="24" spans="1:21" x14ac:dyDescent="0.15">
      <c r="A24" t="str">
        <f>公司整体!A24</f>
        <v>上海</v>
      </c>
      <c r="B24" t="str">
        <f>公司整体!B24</f>
        <v>2012-07</v>
      </c>
      <c r="C24">
        <f ca="1">INDIRECT(ADDRESS(ROW(C24),MATCH(公司各渠道指标可视化!$C$4,公司整体!$1:$1,0),3,1,"公司整体"),TRUE)</f>
        <v>0</v>
      </c>
      <c r="E24" t="str">
        <f t="shared" ca="1" si="1"/>
        <v>2014-04</v>
      </c>
      <c r="F24">
        <f t="shared" ca="1" si="5"/>
        <v>0</v>
      </c>
      <c r="G24">
        <f t="shared" ca="1" si="5"/>
        <v>0</v>
      </c>
      <c r="H24">
        <f t="shared" ca="1" si="5"/>
        <v>0</v>
      </c>
      <c r="I24">
        <f t="shared" ca="1" si="5"/>
        <v>0</v>
      </c>
      <c r="J24">
        <f t="shared" ca="1" si="5"/>
        <v>0</v>
      </c>
      <c r="K24">
        <f t="shared" ca="1" si="5"/>
        <v>0</v>
      </c>
      <c r="L24">
        <f t="shared" ca="1" si="5"/>
        <v>0</v>
      </c>
      <c r="M24">
        <f t="shared" ca="1" si="5"/>
        <v>0</v>
      </c>
      <c r="N24">
        <f t="shared" ca="1" si="5"/>
        <v>0</v>
      </c>
      <c r="O24">
        <f t="shared" ca="1" si="5"/>
        <v>0</v>
      </c>
      <c r="P24">
        <f t="shared" ca="1" si="5"/>
        <v>0</v>
      </c>
      <c r="Q24">
        <f t="shared" ca="1" si="5"/>
        <v>0</v>
      </c>
      <c r="R24">
        <f t="shared" ca="1" si="5"/>
        <v>0</v>
      </c>
      <c r="S24">
        <f t="shared" ca="1" si="5"/>
        <v>0</v>
      </c>
      <c r="T24" t="str">
        <f t="shared" si="3"/>
        <v>上海2012-07</v>
      </c>
      <c r="U24">
        <f t="shared" ca="1" si="4"/>
        <v>0</v>
      </c>
    </row>
    <row r="25" spans="1:21" x14ac:dyDescent="0.15">
      <c r="A25" t="str">
        <f>公司整体!A25</f>
        <v>深圳</v>
      </c>
      <c r="B25" t="str">
        <f>公司整体!B25</f>
        <v>2012-07</v>
      </c>
      <c r="C25">
        <f ca="1">INDIRECT(ADDRESS(ROW(C25),MATCH(公司各渠道指标可视化!$C$4,公司整体!$1:$1,0),3,1,"公司整体"),TRUE)</f>
        <v>0</v>
      </c>
      <c r="E25" t="str">
        <f t="shared" ca="1" si="1"/>
        <v>2014-05</v>
      </c>
      <c r="F25">
        <f t="shared" ca="1" si="5"/>
        <v>0</v>
      </c>
      <c r="G25">
        <f t="shared" ca="1" si="5"/>
        <v>0</v>
      </c>
      <c r="H25">
        <f t="shared" ca="1" si="5"/>
        <v>0</v>
      </c>
      <c r="I25">
        <f t="shared" ca="1" si="5"/>
        <v>0</v>
      </c>
      <c r="J25">
        <f t="shared" ca="1" si="5"/>
        <v>0</v>
      </c>
      <c r="K25">
        <f t="shared" ca="1" si="5"/>
        <v>0</v>
      </c>
      <c r="L25">
        <f t="shared" ca="1" si="5"/>
        <v>0</v>
      </c>
      <c r="M25">
        <f t="shared" ca="1" si="5"/>
        <v>0</v>
      </c>
      <c r="N25">
        <f t="shared" ca="1" si="5"/>
        <v>0</v>
      </c>
      <c r="O25">
        <f t="shared" ca="1" si="5"/>
        <v>0</v>
      </c>
      <c r="P25">
        <f t="shared" ca="1" si="5"/>
        <v>0</v>
      </c>
      <c r="Q25">
        <f t="shared" ca="1" si="5"/>
        <v>0</v>
      </c>
      <c r="R25">
        <f t="shared" ca="1" si="5"/>
        <v>0</v>
      </c>
      <c r="S25">
        <f t="shared" ca="1" si="5"/>
        <v>0</v>
      </c>
      <c r="T25" t="str">
        <f t="shared" si="3"/>
        <v>深圳2012-07</v>
      </c>
      <c r="U25">
        <f t="shared" ca="1" si="4"/>
        <v>0</v>
      </c>
    </row>
    <row r="26" spans="1:21" x14ac:dyDescent="0.15">
      <c r="A26" t="str">
        <f>公司整体!A26</f>
        <v>四川</v>
      </c>
      <c r="B26" t="str">
        <f>公司整体!B26</f>
        <v>2012-07</v>
      </c>
      <c r="C26">
        <f ca="1">INDIRECT(ADDRESS(ROW(C26),MATCH(公司各渠道指标可视化!$C$4,公司整体!$1:$1,0),3,1,"公司整体"),TRUE)</f>
        <v>0</v>
      </c>
      <c r="E26" t="str">
        <f t="shared" ca="1" si="1"/>
        <v>2014-06</v>
      </c>
      <c r="F26">
        <f t="shared" ca="1" si="5"/>
        <v>0</v>
      </c>
      <c r="G26">
        <f t="shared" ca="1" si="5"/>
        <v>0</v>
      </c>
      <c r="H26">
        <f t="shared" ca="1" si="5"/>
        <v>0</v>
      </c>
      <c r="I26">
        <f t="shared" ca="1" si="5"/>
        <v>0</v>
      </c>
      <c r="J26">
        <f t="shared" ca="1" si="5"/>
        <v>0</v>
      </c>
      <c r="K26">
        <f t="shared" ca="1" si="5"/>
        <v>0</v>
      </c>
      <c r="L26">
        <f t="shared" ca="1" si="5"/>
        <v>0</v>
      </c>
      <c r="M26">
        <f t="shared" ca="1" si="5"/>
        <v>0</v>
      </c>
      <c r="N26">
        <f t="shared" ca="1" si="5"/>
        <v>0</v>
      </c>
      <c r="O26">
        <f t="shared" ca="1" si="5"/>
        <v>0</v>
      </c>
      <c r="P26">
        <f t="shared" ca="1" si="5"/>
        <v>0</v>
      </c>
      <c r="Q26">
        <f t="shared" ca="1" si="5"/>
        <v>0</v>
      </c>
      <c r="R26">
        <f t="shared" ca="1" si="5"/>
        <v>0</v>
      </c>
      <c r="S26">
        <f t="shared" ca="1" si="5"/>
        <v>0</v>
      </c>
      <c r="T26" t="str">
        <f t="shared" si="3"/>
        <v>四川2012-07</v>
      </c>
      <c r="U26">
        <f t="shared" ca="1" si="4"/>
        <v>0</v>
      </c>
    </row>
    <row r="27" spans="1:21" x14ac:dyDescent="0.15">
      <c r="A27" t="str">
        <f>公司整体!A27</f>
        <v>苏州</v>
      </c>
      <c r="B27" t="str">
        <f>公司整体!B27</f>
        <v>2012-07</v>
      </c>
      <c r="C27">
        <f ca="1">INDIRECT(ADDRESS(ROW(C27),MATCH(公司各渠道指标可视化!$C$4,公司整体!$1:$1,0),3,1,"公司整体"),TRUE)</f>
        <v>0</v>
      </c>
      <c r="E27" t="str">
        <f t="shared" ca="1" si="1"/>
        <v>2014-07</v>
      </c>
      <c r="F27">
        <f t="shared" ca="1" si="5"/>
        <v>0</v>
      </c>
      <c r="G27">
        <f t="shared" ca="1" si="5"/>
        <v>0</v>
      </c>
      <c r="H27">
        <f t="shared" ca="1" si="5"/>
        <v>0</v>
      </c>
      <c r="I27">
        <f t="shared" ca="1" si="5"/>
        <v>0</v>
      </c>
      <c r="J27">
        <f t="shared" ca="1" si="5"/>
        <v>0</v>
      </c>
      <c r="K27">
        <f t="shared" ca="1" si="5"/>
        <v>0</v>
      </c>
      <c r="L27">
        <f t="shared" ca="1" si="5"/>
        <v>0</v>
      </c>
      <c r="M27">
        <f t="shared" ca="1" si="5"/>
        <v>0</v>
      </c>
      <c r="N27">
        <f t="shared" ca="1" si="5"/>
        <v>0</v>
      </c>
      <c r="O27">
        <f t="shared" ca="1" si="5"/>
        <v>0</v>
      </c>
      <c r="P27">
        <f t="shared" ca="1" si="5"/>
        <v>0</v>
      </c>
      <c r="Q27">
        <f t="shared" ca="1" si="5"/>
        <v>0</v>
      </c>
      <c r="R27">
        <f t="shared" ca="1" si="5"/>
        <v>0</v>
      </c>
      <c r="S27">
        <f t="shared" ca="1" si="5"/>
        <v>0</v>
      </c>
      <c r="T27" t="str">
        <f t="shared" si="3"/>
        <v>苏州2012-07</v>
      </c>
      <c r="U27">
        <f t="shared" ca="1" si="4"/>
        <v>0</v>
      </c>
    </row>
    <row r="28" spans="1:21" x14ac:dyDescent="0.15">
      <c r="A28" t="str">
        <f>公司整体!A28</f>
        <v>中山</v>
      </c>
      <c r="B28" t="str">
        <f>公司整体!B28</f>
        <v>2012-07</v>
      </c>
      <c r="C28">
        <f ca="1">INDIRECT(ADDRESS(ROW(C28),MATCH(公司各渠道指标可视化!$C$4,公司整体!$1:$1,0),3,1,"公司整体"),TRUE)</f>
        <v>0</v>
      </c>
      <c r="E28" t="str">
        <f t="shared" ca="1" si="1"/>
        <v>2014-08</v>
      </c>
      <c r="F28">
        <f t="shared" ca="1" si="5"/>
        <v>0</v>
      </c>
      <c r="G28">
        <f t="shared" ca="1" si="5"/>
        <v>0</v>
      </c>
      <c r="H28">
        <f t="shared" ca="1" si="5"/>
        <v>0</v>
      </c>
      <c r="I28">
        <f t="shared" ca="1" si="5"/>
        <v>0</v>
      </c>
      <c r="J28">
        <f t="shared" ca="1" si="5"/>
        <v>0</v>
      </c>
      <c r="K28">
        <f t="shared" ca="1" si="5"/>
        <v>0</v>
      </c>
      <c r="L28">
        <f t="shared" ca="1" si="5"/>
        <v>0</v>
      </c>
      <c r="M28">
        <f t="shared" ca="1" si="5"/>
        <v>0</v>
      </c>
      <c r="N28">
        <f t="shared" ca="1" si="5"/>
        <v>0</v>
      </c>
      <c r="O28">
        <f t="shared" ca="1" si="5"/>
        <v>0</v>
      </c>
      <c r="P28">
        <f t="shared" ca="1" si="5"/>
        <v>0</v>
      </c>
      <c r="Q28">
        <f t="shared" ca="1" si="5"/>
        <v>0</v>
      </c>
      <c r="R28">
        <f t="shared" ca="1" si="5"/>
        <v>0</v>
      </c>
      <c r="S28">
        <f t="shared" ca="1" si="5"/>
        <v>0</v>
      </c>
      <c r="T28" t="str">
        <f t="shared" si="3"/>
        <v>中山2012-07</v>
      </c>
      <c r="U28">
        <f t="shared" ca="1" si="4"/>
        <v>0</v>
      </c>
    </row>
    <row r="29" spans="1:21" x14ac:dyDescent="0.15">
      <c r="A29" t="str">
        <f>公司整体!A29</f>
        <v>珠海</v>
      </c>
      <c r="B29" t="str">
        <f>公司整体!B29</f>
        <v>2012-07</v>
      </c>
      <c r="C29">
        <f ca="1">INDIRECT(ADDRESS(ROW(C29),MATCH(公司各渠道指标可视化!$C$4,公司整体!$1:$1,0),3,1,"公司整体"),TRUE)</f>
        <v>0</v>
      </c>
      <c r="E29" t="str">
        <f t="shared" ca="1" si="1"/>
        <v>2014-09</v>
      </c>
      <c r="F29">
        <f t="shared" ca="1" si="5"/>
        <v>0</v>
      </c>
      <c r="G29">
        <f t="shared" ca="1" si="5"/>
        <v>0</v>
      </c>
      <c r="H29">
        <f t="shared" ca="1" si="5"/>
        <v>0</v>
      </c>
      <c r="I29">
        <f t="shared" ca="1" si="5"/>
        <v>0</v>
      </c>
      <c r="J29">
        <f t="shared" ca="1" si="5"/>
        <v>0</v>
      </c>
      <c r="K29">
        <f t="shared" ca="1" si="5"/>
        <v>0</v>
      </c>
      <c r="L29">
        <f t="shared" ca="1" si="5"/>
        <v>0</v>
      </c>
      <c r="M29">
        <f t="shared" ca="1" si="5"/>
        <v>0</v>
      </c>
      <c r="N29">
        <f t="shared" ca="1" si="5"/>
        <v>0</v>
      </c>
      <c r="O29">
        <f t="shared" ca="1" si="5"/>
        <v>0</v>
      </c>
      <c r="P29">
        <f t="shared" ca="1" si="5"/>
        <v>0</v>
      </c>
      <c r="Q29">
        <f t="shared" ca="1" si="5"/>
        <v>0</v>
      </c>
      <c r="R29">
        <f t="shared" ca="1" si="5"/>
        <v>0</v>
      </c>
      <c r="S29">
        <f t="shared" ca="1" si="5"/>
        <v>0</v>
      </c>
      <c r="T29" t="str">
        <f t="shared" si="3"/>
        <v>珠海2012-07</v>
      </c>
      <c r="U29">
        <f t="shared" ca="1" si="4"/>
        <v>0</v>
      </c>
    </row>
    <row r="30" spans="1:21" x14ac:dyDescent="0.15">
      <c r="A30" t="str">
        <f>公司整体!A30</f>
        <v>东莞</v>
      </c>
      <c r="B30" t="str">
        <f>公司整体!B30</f>
        <v>2012-08</v>
      </c>
      <c r="C30">
        <f ca="1">INDIRECT(ADDRESS(ROW(C30),MATCH(公司各渠道指标可视化!$C$4,公司整体!$1:$1,0),3,1,"公司整体"),TRUE)</f>
        <v>0</v>
      </c>
      <c r="E30" t="str">
        <f t="shared" ca="1" si="1"/>
        <v>2014-10</v>
      </c>
      <c r="F30">
        <f t="shared" ca="1" si="5"/>
        <v>0</v>
      </c>
      <c r="G30">
        <f t="shared" ca="1" si="5"/>
        <v>0</v>
      </c>
      <c r="H30">
        <f t="shared" ca="1" si="5"/>
        <v>0</v>
      </c>
      <c r="I30">
        <f t="shared" ca="1" si="5"/>
        <v>0</v>
      </c>
      <c r="J30">
        <f t="shared" ca="1" si="5"/>
        <v>0</v>
      </c>
      <c r="K30">
        <f t="shared" ca="1" si="5"/>
        <v>0</v>
      </c>
      <c r="L30">
        <f t="shared" ca="1" si="5"/>
        <v>0</v>
      </c>
      <c r="M30">
        <f t="shared" ca="1" si="5"/>
        <v>0</v>
      </c>
      <c r="N30">
        <f t="shared" ca="1" si="5"/>
        <v>0</v>
      </c>
      <c r="O30">
        <f t="shared" ca="1" si="5"/>
        <v>0</v>
      </c>
      <c r="P30">
        <f t="shared" ca="1" si="5"/>
        <v>0</v>
      </c>
      <c r="Q30">
        <f t="shared" ca="1" si="5"/>
        <v>0</v>
      </c>
      <c r="R30">
        <f t="shared" ca="1" si="5"/>
        <v>0</v>
      </c>
      <c r="S30">
        <f t="shared" ca="1" si="5"/>
        <v>0</v>
      </c>
      <c r="T30" t="str">
        <f t="shared" si="3"/>
        <v>东莞2012-08</v>
      </c>
      <c r="U30">
        <f t="shared" ca="1" si="4"/>
        <v>0</v>
      </c>
    </row>
    <row r="31" spans="1:21" x14ac:dyDescent="0.15">
      <c r="A31" t="str">
        <f>公司整体!A31</f>
        <v>佛山</v>
      </c>
      <c r="B31" t="str">
        <f>公司整体!B31</f>
        <v>2012-08</v>
      </c>
      <c r="C31">
        <f ca="1">INDIRECT(ADDRESS(ROW(C31),MATCH(公司各渠道指标可视化!$C$4,公司整体!$1:$1,0),3,1,"公司整体"),TRUE)</f>
        <v>0</v>
      </c>
      <c r="E31" t="str">
        <f t="shared" ca="1" si="1"/>
        <v>2014-11</v>
      </c>
      <c r="F31">
        <f t="shared" ca="1" si="5"/>
        <v>0</v>
      </c>
      <c r="G31">
        <f t="shared" ca="1" si="5"/>
        <v>0</v>
      </c>
      <c r="H31">
        <f t="shared" ca="1" si="5"/>
        <v>0</v>
      </c>
      <c r="I31">
        <f t="shared" ca="1" si="5"/>
        <v>0</v>
      </c>
      <c r="J31">
        <f t="shared" ca="1" si="5"/>
        <v>0</v>
      </c>
      <c r="K31">
        <f t="shared" ca="1" si="5"/>
        <v>0</v>
      </c>
      <c r="L31">
        <f t="shared" ca="1" si="5"/>
        <v>0</v>
      </c>
      <c r="M31">
        <f t="shared" ca="1" si="5"/>
        <v>0</v>
      </c>
      <c r="N31">
        <f t="shared" ca="1" si="5"/>
        <v>0</v>
      </c>
      <c r="O31">
        <f t="shared" ca="1" si="5"/>
        <v>0</v>
      </c>
      <c r="P31">
        <f t="shared" ca="1" si="5"/>
        <v>0</v>
      </c>
      <c r="Q31">
        <f t="shared" ca="1" si="5"/>
        <v>0</v>
      </c>
      <c r="R31">
        <f t="shared" ca="1" si="5"/>
        <v>0</v>
      </c>
      <c r="S31">
        <f t="shared" ca="1" si="5"/>
        <v>0</v>
      </c>
      <c r="T31" t="str">
        <f t="shared" si="3"/>
        <v>佛山2012-08</v>
      </c>
      <c r="U31">
        <f t="shared" ca="1" si="4"/>
        <v>0</v>
      </c>
    </row>
    <row r="32" spans="1:21" x14ac:dyDescent="0.15">
      <c r="A32" t="str">
        <f>公司整体!A32</f>
        <v>广东</v>
      </c>
      <c r="B32" t="str">
        <f>公司整体!B32</f>
        <v>2012-08</v>
      </c>
      <c r="C32">
        <f ca="1">INDIRECT(ADDRESS(ROW(C32),MATCH(公司各渠道指标可视化!$C$4,公司整体!$1:$1,0),3,1,"公司整体"),TRUE)</f>
        <v>0</v>
      </c>
      <c r="E32" t="str">
        <f t="shared" ca="1" si="1"/>
        <v>2014-12</v>
      </c>
      <c r="F32">
        <f t="shared" ca="1" si="5"/>
        <v>0</v>
      </c>
      <c r="G32">
        <f t="shared" ca="1" si="5"/>
        <v>0</v>
      </c>
      <c r="H32">
        <f t="shared" ca="1" si="5"/>
        <v>2</v>
      </c>
      <c r="I32">
        <f t="shared" ca="1" si="5"/>
        <v>0</v>
      </c>
      <c r="J32">
        <f t="shared" ca="1" si="5"/>
        <v>0</v>
      </c>
      <c r="K32">
        <f t="shared" ca="1" si="5"/>
        <v>0</v>
      </c>
      <c r="L32">
        <f t="shared" ca="1" si="5"/>
        <v>0</v>
      </c>
      <c r="M32">
        <f t="shared" ca="1" si="5"/>
        <v>0</v>
      </c>
      <c r="N32">
        <f t="shared" ca="1" si="5"/>
        <v>0</v>
      </c>
      <c r="O32">
        <f t="shared" ca="1" si="5"/>
        <v>0</v>
      </c>
      <c r="P32">
        <f t="shared" ca="1" si="5"/>
        <v>0</v>
      </c>
      <c r="Q32">
        <f t="shared" ca="1" si="5"/>
        <v>0</v>
      </c>
      <c r="R32">
        <f t="shared" ca="1" si="5"/>
        <v>0</v>
      </c>
      <c r="S32">
        <f t="shared" ca="1" si="5"/>
        <v>2</v>
      </c>
      <c r="T32" t="str">
        <f t="shared" si="3"/>
        <v>广东2012-08</v>
      </c>
      <c r="U32">
        <f t="shared" ca="1" si="4"/>
        <v>0</v>
      </c>
    </row>
    <row r="33" spans="1:21" x14ac:dyDescent="0.15">
      <c r="A33" t="str">
        <f>公司整体!A33</f>
        <v>广州</v>
      </c>
      <c r="B33" t="str">
        <f>公司整体!B33</f>
        <v>2012-08</v>
      </c>
      <c r="C33">
        <f ca="1">INDIRECT(ADDRESS(ROW(C33),MATCH(公司各渠道指标可视化!$C$4,公司整体!$1:$1,0),3,1,"公司整体"),TRUE)</f>
        <v>0</v>
      </c>
      <c r="E33" t="str">
        <f t="shared" ca="1" si="1"/>
        <v>2015-01</v>
      </c>
      <c r="F33">
        <f t="shared" ca="1" si="5"/>
        <v>0</v>
      </c>
      <c r="G33">
        <f t="shared" ca="1" si="5"/>
        <v>0</v>
      </c>
      <c r="H33">
        <f t="shared" ca="1" si="5"/>
        <v>-2</v>
      </c>
      <c r="I33">
        <f t="shared" ca="1" si="5"/>
        <v>0</v>
      </c>
      <c r="J33">
        <f t="shared" ca="1" si="5"/>
        <v>0</v>
      </c>
      <c r="K33">
        <f t="shared" ca="1" si="5"/>
        <v>0</v>
      </c>
      <c r="L33">
        <f t="shared" ca="1" si="5"/>
        <v>0</v>
      </c>
      <c r="M33">
        <f t="shared" ca="1" si="5"/>
        <v>0</v>
      </c>
      <c r="N33">
        <f t="shared" ca="1" si="5"/>
        <v>0</v>
      </c>
      <c r="O33">
        <f t="shared" ca="1" si="5"/>
        <v>0</v>
      </c>
      <c r="P33">
        <f t="shared" ca="1" si="5"/>
        <v>0</v>
      </c>
      <c r="Q33">
        <f t="shared" ca="1" si="5"/>
        <v>0</v>
      </c>
      <c r="R33">
        <f t="shared" ca="1" si="5"/>
        <v>0</v>
      </c>
      <c r="S33">
        <f t="shared" ca="1" si="5"/>
        <v>-2</v>
      </c>
      <c r="T33" t="str">
        <f t="shared" si="3"/>
        <v>广州2012-08</v>
      </c>
      <c r="U33">
        <f t="shared" ca="1" si="4"/>
        <v>0</v>
      </c>
    </row>
    <row r="34" spans="1:21" x14ac:dyDescent="0.15">
      <c r="A34" t="str">
        <f>公司整体!A34</f>
        <v>湖北</v>
      </c>
      <c r="B34" t="str">
        <f>公司整体!B34</f>
        <v>2012-08</v>
      </c>
      <c r="C34">
        <f ca="1">INDIRECT(ADDRESS(ROW(C34),MATCH(公司各渠道指标可视化!$C$4,公司整体!$1:$1,0),3,1,"公司整体"),TRUE)</f>
        <v>0</v>
      </c>
      <c r="E34" t="str">
        <f t="shared" ca="1" si="1"/>
        <v>2015-02</v>
      </c>
      <c r="F34">
        <f t="shared" ca="1" si="5"/>
        <v>0</v>
      </c>
      <c r="G34">
        <f t="shared" ca="1" si="5"/>
        <v>0</v>
      </c>
      <c r="H34">
        <f t="shared" ca="1" si="5"/>
        <v>0</v>
      </c>
      <c r="I34">
        <f t="shared" ca="1" si="5"/>
        <v>0</v>
      </c>
      <c r="J34">
        <f t="shared" ca="1" si="5"/>
        <v>0</v>
      </c>
      <c r="K34">
        <f t="shared" ca="1" si="5"/>
        <v>0</v>
      </c>
      <c r="L34">
        <f t="shared" ca="1" si="5"/>
        <v>0</v>
      </c>
      <c r="M34">
        <f t="shared" ca="1" si="5"/>
        <v>0</v>
      </c>
      <c r="N34">
        <f t="shared" ca="1" si="5"/>
        <v>0</v>
      </c>
      <c r="O34">
        <f t="shared" ca="1" si="5"/>
        <v>0</v>
      </c>
      <c r="P34">
        <f t="shared" ca="1" si="5"/>
        <v>0</v>
      </c>
      <c r="Q34">
        <f t="shared" ca="1" si="5"/>
        <v>0</v>
      </c>
      <c r="R34">
        <f t="shared" ca="1" si="5"/>
        <v>0</v>
      </c>
      <c r="S34">
        <f t="shared" ca="1" si="5"/>
        <v>0</v>
      </c>
      <c r="T34" t="str">
        <f t="shared" si="3"/>
        <v>湖北2012-08</v>
      </c>
      <c r="U34">
        <f t="shared" ca="1" si="4"/>
        <v>0</v>
      </c>
    </row>
    <row r="35" spans="1:21" x14ac:dyDescent="0.15">
      <c r="A35" t="str">
        <f>公司整体!A35</f>
        <v>机构</v>
      </c>
      <c r="B35" t="str">
        <f>公司整体!B35</f>
        <v>2012-08</v>
      </c>
      <c r="C35">
        <f ca="1">INDIRECT(ADDRESS(ROW(C35),MATCH(公司各渠道指标可视化!$C$4,公司整体!$1:$1,0),3,1,"公司整体"),TRUE)</f>
        <v>0</v>
      </c>
      <c r="E35" t="str">
        <f t="shared" ca="1" si="1"/>
        <v>2015-03</v>
      </c>
      <c r="F35">
        <f t="shared" ca="1" si="5"/>
        <v>0</v>
      </c>
      <c r="G35">
        <f t="shared" ca="1" si="5"/>
        <v>0</v>
      </c>
      <c r="H35">
        <f t="shared" ca="1" si="5"/>
        <v>0</v>
      </c>
      <c r="I35">
        <f t="shared" ca="1" si="5"/>
        <v>0</v>
      </c>
      <c r="J35">
        <f t="shared" ca="1" si="5"/>
        <v>0</v>
      </c>
      <c r="K35">
        <f t="shared" ca="1" si="5"/>
        <v>0</v>
      </c>
      <c r="L35">
        <f t="shared" ca="1" si="5"/>
        <v>0</v>
      </c>
      <c r="M35">
        <f t="shared" ca="1" si="5"/>
        <v>0</v>
      </c>
      <c r="N35">
        <f t="shared" ca="1" si="5"/>
        <v>0</v>
      </c>
      <c r="O35">
        <f t="shared" ca="1" si="5"/>
        <v>0</v>
      </c>
      <c r="P35">
        <f t="shared" ca="1" si="5"/>
        <v>0</v>
      </c>
      <c r="Q35">
        <f t="shared" ca="1" si="5"/>
        <v>0</v>
      </c>
      <c r="R35">
        <f t="shared" ca="1" si="5"/>
        <v>0</v>
      </c>
      <c r="S35">
        <f t="shared" ca="1" si="5"/>
        <v>0</v>
      </c>
      <c r="T35" t="str">
        <f t="shared" si="3"/>
        <v>机构2012-08</v>
      </c>
      <c r="U35">
        <f t="shared" ca="1" si="4"/>
        <v>0</v>
      </c>
    </row>
    <row r="36" spans="1:21" x14ac:dyDescent="0.15">
      <c r="A36" t="str">
        <f>公司整体!A36</f>
        <v>江苏</v>
      </c>
      <c r="B36" t="str">
        <f>公司整体!B36</f>
        <v>2012-08</v>
      </c>
      <c r="C36">
        <f ca="1">INDIRECT(ADDRESS(ROW(C36),MATCH(公司各渠道指标可视化!$C$4,公司整体!$1:$1,0),3,1,"公司整体"),TRUE)</f>
        <v>0</v>
      </c>
      <c r="E36" t="str">
        <f t="shared" ca="1" si="1"/>
        <v>2015-04</v>
      </c>
      <c r="F36">
        <f t="shared" ca="1" si="5"/>
        <v>0</v>
      </c>
      <c r="G36">
        <f t="shared" ca="1" si="5"/>
        <v>0</v>
      </c>
      <c r="H36">
        <f t="shared" ca="1" si="5"/>
        <v>0</v>
      </c>
      <c r="I36">
        <f t="shared" ca="1" si="5"/>
        <v>0</v>
      </c>
      <c r="J36">
        <f t="shared" ca="1" si="5"/>
        <v>0</v>
      </c>
      <c r="K36">
        <f t="shared" ca="1" si="5"/>
        <v>0</v>
      </c>
      <c r="L36">
        <f t="shared" ca="1" si="5"/>
        <v>0</v>
      </c>
      <c r="M36">
        <f t="shared" ca="1" si="5"/>
        <v>0</v>
      </c>
      <c r="N36">
        <f t="shared" ca="1" si="5"/>
        <v>0</v>
      </c>
      <c r="O36">
        <f t="shared" ca="1" si="5"/>
        <v>0</v>
      </c>
      <c r="P36">
        <f t="shared" ca="1" si="5"/>
        <v>0</v>
      </c>
      <c r="Q36">
        <f t="shared" ca="1" si="5"/>
        <v>0</v>
      </c>
      <c r="R36">
        <f t="shared" ca="1" si="5"/>
        <v>0</v>
      </c>
      <c r="S36">
        <f t="shared" ca="1" si="5"/>
        <v>0</v>
      </c>
      <c r="T36" t="str">
        <f t="shared" si="3"/>
        <v>江苏2012-08</v>
      </c>
      <c r="U36">
        <f t="shared" ca="1" si="4"/>
        <v>0</v>
      </c>
    </row>
    <row r="37" spans="1:21" x14ac:dyDescent="0.15">
      <c r="A37" t="str">
        <f>公司整体!A37</f>
        <v>山东</v>
      </c>
      <c r="B37" t="str">
        <f>公司整体!B37</f>
        <v>2012-08</v>
      </c>
      <c r="C37">
        <f ca="1">INDIRECT(ADDRESS(ROW(C37),MATCH(公司各渠道指标可视化!$C$4,公司整体!$1:$1,0),3,1,"公司整体"),TRUE)</f>
        <v>0</v>
      </c>
      <c r="E37" t="str">
        <f t="shared" ca="1" si="1"/>
        <v>2015-05</v>
      </c>
      <c r="F37">
        <f t="shared" ca="1" si="5"/>
        <v>0</v>
      </c>
      <c r="G37">
        <f t="shared" ca="1" si="5"/>
        <v>0</v>
      </c>
      <c r="H37">
        <f t="shared" ca="1" si="5"/>
        <v>0</v>
      </c>
      <c r="I37">
        <f t="shared" ref="H37:S58" ca="1" si="6">VLOOKUP(I$1&amp;$E37,$T:$U,2,0)</f>
        <v>0</v>
      </c>
      <c r="J37">
        <f t="shared" ca="1" si="6"/>
        <v>0</v>
      </c>
      <c r="K37">
        <f t="shared" ca="1" si="6"/>
        <v>0</v>
      </c>
      <c r="L37">
        <f t="shared" ca="1" si="6"/>
        <v>0</v>
      </c>
      <c r="M37">
        <f t="shared" ca="1" si="6"/>
        <v>0</v>
      </c>
      <c r="N37">
        <f t="shared" ca="1" si="6"/>
        <v>0</v>
      </c>
      <c r="O37">
        <f t="shared" ca="1" si="6"/>
        <v>0</v>
      </c>
      <c r="P37">
        <f t="shared" ca="1" si="6"/>
        <v>0</v>
      </c>
      <c r="Q37">
        <f t="shared" ca="1" si="6"/>
        <v>0</v>
      </c>
      <c r="R37">
        <f t="shared" ca="1" si="6"/>
        <v>0</v>
      </c>
      <c r="S37">
        <f t="shared" ca="1" si="6"/>
        <v>0</v>
      </c>
      <c r="T37" t="str">
        <f t="shared" si="3"/>
        <v>山东2012-08</v>
      </c>
      <c r="U37">
        <f t="shared" ca="1" si="4"/>
        <v>0</v>
      </c>
    </row>
    <row r="38" spans="1:21" x14ac:dyDescent="0.15">
      <c r="A38" t="str">
        <f>公司整体!A38</f>
        <v>上海</v>
      </c>
      <c r="B38" t="str">
        <f>公司整体!B38</f>
        <v>2012-08</v>
      </c>
      <c r="C38">
        <f ca="1">INDIRECT(ADDRESS(ROW(C38),MATCH(公司各渠道指标可视化!$C$4,公司整体!$1:$1,0),3,1,"公司整体"),TRUE)</f>
        <v>0</v>
      </c>
      <c r="E38" t="str">
        <f t="shared" ca="1" si="1"/>
        <v>2015-06</v>
      </c>
      <c r="F38">
        <f t="shared" ref="F38:G79" ca="1" si="7">VLOOKUP(F$1&amp;$E38,$T:$U,2,0)</f>
        <v>0</v>
      </c>
      <c r="G38">
        <f t="shared" ca="1" si="7"/>
        <v>0</v>
      </c>
      <c r="H38">
        <f t="shared" ca="1" si="6"/>
        <v>0</v>
      </c>
      <c r="I38">
        <f t="shared" ca="1" si="6"/>
        <v>0</v>
      </c>
      <c r="J38">
        <f t="shared" ca="1" si="6"/>
        <v>0</v>
      </c>
      <c r="K38">
        <f t="shared" ca="1" si="6"/>
        <v>0</v>
      </c>
      <c r="L38">
        <f t="shared" ca="1" si="6"/>
        <v>0</v>
      </c>
      <c r="M38">
        <f t="shared" ca="1" si="6"/>
        <v>0</v>
      </c>
      <c r="N38">
        <f t="shared" ca="1" si="6"/>
        <v>0</v>
      </c>
      <c r="O38">
        <f t="shared" ca="1" si="6"/>
        <v>0</v>
      </c>
      <c r="P38">
        <f t="shared" ca="1" si="6"/>
        <v>0</v>
      </c>
      <c r="Q38">
        <f t="shared" ca="1" si="6"/>
        <v>0</v>
      </c>
      <c r="R38">
        <f t="shared" ca="1" si="6"/>
        <v>0</v>
      </c>
      <c r="S38">
        <f t="shared" ca="1" si="6"/>
        <v>0</v>
      </c>
      <c r="T38" t="str">
        <f t="shared" si="3"/>
        <v>上海2012-08</v>
      </c>
      <c r="U38">
        <f t="shared" ca="1" si="4"/>
        <v>0</v>
      </c>
    </row>
    <row r="39" spans="1:21" x14ac:dyDescent="0.15">
      <c r="A39" t="str">
        <f>公司整体!A39</f>
        <v>深圳</v>
      </c>
      <c r="B39" t="str">
        <f>公司整体!B39</f>
        <v>2012-08</v>
      </c>
      <c r="C39">
        <f ca="1">INDIRECT(ADDRESS(ROW(C39),MATCH(公司各渠道指标可视化!$C$4,公司整体!$1:$1,0),3,1,"公司整体"),TRUE)</f>
        <v>0</v>
      </c>
      <c r="E39" t="str">
        <f t="shared" ca="1" si="1"/>
        <v>2015-07</v>
      </c>
      <c r="F39">
        <f t="shared" ca="1" si="7"/>
        <v>0</v>
      </c>
      <c r="G39">
        <f t="shared" ca="1" si="7"/>
        <v>0</v>
      </c>
      <c r="H39">
        <f t="shared" ca="1" si="6"/>
        <v>0</v>
      </c>
      <c r="I39">
        <f t="shared" ca="1" si="6"/>
        <v>0</v>
      </c>
      <c r="J39">
        <f t="shared" ca="1" si="6"/>
        <v>0</v>
      </c>
      <c r="K39">
        <f t="shared" ca="1" si="6"/>
        <v>0</v>
      </c>
      <c r="L39">
        <f t="shared" ca="1" si="6"/>
        <v>0</v>
      </c>
      <c r="M39">
        <f t="shared" ca="1" si="6"/>
        <v>0</v>
      </c>
      <c r="N39">
        <f t="shared" ca="1" si="6"/>
        <v>0</v>
      </c>
      <c r="O39">
        <f t="shared" ca="1" si="6"/>
        <v>0</v>
      </c>
      <c r="P39">
        <f t="shared" ca="1" si="6"/>
        <v>0</v>
      </c>
      <c r="Q39">
        <f t="shared" ca="1" si="6"/>
        <v>0</v>
      </c>
      <c r="R39">
        <f t="shared" ca="1" si="6"/>
        <v>0</v>
      </c>
      <c r="S39">
        <f t="shared" ca="1" si="6"/>
        <v>0</v>
      </c>
      <c r="T39" t="str">
        <f t="shared" si="3"/>
        <v>深圳2012-08</v>
      </c>
      <c r="U39">
        <f t="shared" ca="1" si="4"/>
        <v>0</v>
      </c>
    </row>
    <row r="40" spans="1:21" x14ac:dyDescent="0.15">
      <c r="A40" t="str">
        <f>公司整体!A40</f>
        <v>四川</v>
      </c>
      <c r="B40" t="str">
        <f>公司整体!B40</f>
        <v>2012-08</v>
      </c>
      <c r="C40">
        <f ca="1">INDIRECT(ADDRESS(ROW(C40),MATCH(公司各渠道指标可视化!$C$4,公司整体!$1:$1,0),3,1,"公司整体"),TRUE)</f>
        <v>0</v>
      </c>
      <c r="E40" t="str">
        <f t="shared" ca="1" si="1"/>
        <v>2015-08</v>
      </c>
      <c r="F40">
        <f t="shared" ca="1" si="7"/>
        <v>0</v>
      </c>
      <c r="G40">
        <f t="shared" ca="1" si="7"/>
        <v>0</v>
      </c>
      <c r="H40">
        <f t="shared" ca="1" si="6"/>
        <v>0</v>
      </c>
      <c r="I40">
        <f t="shared" ca="1" si="6"/>
        <v>0</v>
      </c>
      <c r="J40">
        <f t="shared" ca="1" si="6"/>
        <v>0</v>
      </c>
      <c r="K40">
        <f t="shared" ca="1" si="6"/>
        <v>0</v>
      </c>
      <c r="L40">
        <f t="shared" ca="1" si="6"/>
        <v>0</v>
      </c>
      <c r="M40">
        <f t="shared" ca="1" si="6"/>
        <v>0</v>
      </c>
      <c r="N40">
        <f t="shared" ca="1" si="6"/>
        <v>0</v>
      </c>
      <c r="O40">
        <f t="shared" ca="1" si="6"/>
        <v>0</v>
      </c>
      <c r="P40">
        <f t="shared" ca="1" si="6"/>
        <v>0</v>
      </c>
      <c r="Q40">
        <f t="shared" ca="1" si="6"/>
        <v>0</v>
      </c>
      <c r="R40">
        <f t="shared" ca="1" si="6"/>
        <v>0</v>
      </c>
      <c r="S40">
        <f t="shared" ca="1" si="6"/>
        <v>0</v>
      </c>
      <c r="T40" t="str">
        <f t="shared" si="3"/>
        <v>四川2012-08</v>
      </c>
      <c r="U40">
        <f t="shared" ca="1" si="4"/>
        <v>0</v>
      </c>
    </row>
    <row r="41" spans="1:21" x14ac:dyDescent="0.15">
      <c r="A41" t="str">
        <f>公司整体!A41</f>
        <v>苏州</v>
      </c>
      <c r="B41" t="str">
        <f>公司整体!B41</f>
        <v>2012-08</v>
      </c>
      <c r="C41">
        <f ca="1">INDIRECT(ADDRESS(ROW(C41),MATCH(公司各渠道指标可视化!$C$4,公司整体!$1:$1,0),3,1,"公司整体"),TRUE)</f>
        <v>0</v>
      </c>
      <c r="E41" t="str">
        <f t="shared" ca="1" si="1"/>
        <v>2015-09</v>
      </c>
      <c r="F41">
        <f t="shared" ca="1" si="7"/>
        <v>0</v>
      </c>
      <c r="G41">
        <f t="shared" ca="1" si="7"/>
        <v>0</v>
      </c>
      <c r="H41">
        <f t="shared" ca="1" si="6"/>
        <v>0</v>
      </c>
      <c r="I41">
        <f t="shared" ca="1" si="6"/>
        <v>0</v>
      </c>
      <c r="J41">
        <f t="shared" ca="1" si="6"/>
        <v>0</v>
      </c>
      <c r="K41">
        <f t="shared" ca="1" si="6"/>
        <v>0</v>
      </c>
      <c r="L41">
        <f t="shared" ca="1" si="6"/>
        <v>0</v>
      </c>
      <c r="M41">
        <f t="shared" ca="1" si="6"/>
        <v>0</v>
      </c>
      <c r="N41">
        <f t="shared" ca="1" si="6"/>
        <v>0</v>
      </c>
      <c r="O41">
        <f t="shared" ca="1" si="6"/>
        <v>0</v>
      </c>
      <c r="P41">
        <f t="shared" ca="1" si="6"/>
        <v>0</v>
      </c>
      <c r="Q41">
        <f t="shared" ca="1" si="6"/>
        <v>0</v>
      </c>
      <c r="R41">
        <f t="shared" ca="1" si="6"/>
        <v>0</v>
      </c>
      <c r="S41">
        <f t="shared" ca="1" si="6"/>
        <v>0</v>
      </c>
      <c r="T41" t="str">
        <f t="shared" si="3"/>
        <v>苏州2012-08</v>
      </c>
      <c r="U41">
        <f t="shared" ca="1" si="4"/>
        <v>0</v>
      </c>
    </row>
    <row r="42" spans="1:21" x14ac:dyDescent="0.15">
      <c r="A42" t="str">
        <f>公司整体!A42</f>
        <v>中山</v>
      </c>
      <c r="B42" t="str">
        <f>公司整体!B42</f>
        <v>2012-08</v>
      </c>
      <c r="C42">
        <f ca="1">INDIRECT(ADDRESS(ROW(C42),MATCH(公司各渠道指标可视化!$C$4,公司整体!$1:$1,0),3,1,"公司整体"),TRUE)</f>
        <v>0</v>
      </c>
      <c r="E42" t="str">
        <f t="shared" ca="1" si="1"/>
        <v>2015-10</v>
      </c>
      <c r="F42">
        <f t="shared" ca="1" si="7"/>
        <v>0</v>
      </c>
      <c r="G42">
        <f t="shared" ca="1" si="7"/>
        <v>0</v>
      </c>
      <c r="H42">
        <f t="shared" ca="1" si="6"/>
        <v>0</v>
      </c>
      <c r="I42">
        <f t="shared" ca="1" si="6"/>
        <v>0</v>
      </c>
      <c r="J42">
        <f t="shared" ca="1" si="6"/>
        <v>0</v>
      </c>
      <c r="K42">
        <f t="shared" ca="1" si="6"/>
        <v>0</v>
      </c>
      <c r="L42">
        <f t="shared" ca="1" si="6"/>
        <v>0</v>
      </c>
      <c r="M42">
        <f t="shared" ca="1" si="6"/>
        <v>0</v>
      </c>
      <c r="N42">
        <f t="shared" ca="1" si="6"/>
        <v>0</v>
      </c>
      <c r="O42">
        <f t="shared" ca="1" si="6"/>
        <v>0</v>
      </c>
      <c r="P42">
        <f t="shared" ca="1" si="6"/>
        <v>0</v>
      </c>
      <c r="Q42">
        <f t="shared" ca="1" si="6"/>
        <v>0</v>
      </c>
      <c r="R42">
        <f t="shared" ca="1" si="6"/>
        <v>0</v>
      </c>
      <c r="S42">
        <f t="shared" ca="1" si="6"/>
        <v>0</v>
      </c>
      <c r="T42" t="str">
        <f t="shared" si="3"/>
        <v>中山2012-08</v>
      </c>
      <c r="U42">
        <f t="shared" ca="1" si="4"/>
        <v>0</v>
      </c>
    </row>
    <row r="43" spans="1:21" x14ac:dyDescent="0.15">
      <c r="A43" t="str">
        <f>公司整体!A43</f>
        <v>珠海</v>
      </c>
      <c r="B43" t="str">
        <f>公司整体!B43</f>
        <v>2012-08</v>
      </c>
      <c r="C43">
        <f ca="1">INDIRECT(ADDRESS(ROW(C43),MATCH(公司各渠道指标可视化!$C$4,公司整体!$1:$1,0),3,1,"公司整体"),TRUE)</f>
        <v>0</v>
      </c>
      <c r="E43" t="str">
        <f t="shared" ca="1" si="1"/>
        <v>2015-11</v>
      </c>
      <c r="F43">
        <f t="shared" ca="1" si="7"/>
        <v>0</v>
      </c>
      <c r="G43">
        <f t="shared" ca="1" si="7"/>
        <v>0</v>
      </c>
      <c r="H43">
        <f t="shared" ca="1" si="6"/>
        <v>0</v>
      </c>
      <c r="I43">
        <f t="shared" ca="1" si="6"/>
        <v>0</v>
      </c>
      <c r="J43">
        <f t="shared" ca="1" si="6"/>
        <v>0</v>
      </c>
      <c r="K43">
        <f t="shared" ca="1" si="6"/>
        <v>0</v>
      </c>
      <c r="L43">
        <f t="shared" ca="1" si="6"/>
        <v>0</v>
      </c>
      <c r="M43">
        <f t="shared" ca="1" si="6"/>
        <v>0</v>
      </c>
      <c r="N43">
        <f t="shared" ca="1" si="6"/>
        <v>0</v>
      </c>
      <c r="O43">
        <f t="shared" ca="1" si="6"/>
        <v>0</v>
      </c>
      <c r="P43">
        <f t="shared" ca="1" si="6"/>
        <v>0</v>
      </c>
      <c r="Q43">
        <f t="shared" ca="1" si="6"/>
        <v>0</v>
      </c>
      <c r="R43">
        <f t="shared" ca="1" si="6"/>
        <v>0</v>
      </c>
      <c r="S43">
        <f t="shared" ca="1" si="6"/>
        <v>0</v>
      </c>
      <c r="T43" t="str">
        <f t="shared" si="3"/>
        <v>珠海2012-08</v>
      </c>
      <c r="U43">
        <f t="shared" ca="1" si="4"/>
        <v>0</v>
      </c>
    </row>
    <row r="44" spans="1:21" x14ac:dyDescent="0.15">
      <c r="A44" t="str">
        <f>公司整体!A44</f>
        <v>东莞</v>
      </c>
      <c r="B44" t="str">
        <f>公司整体!B44</f>
        <v>2012-09</v>
      </c>
      <c r="C44">
        <f ca="1">INDIRECT(ADDRESS(ROW(C44),MATCH(公司各渠道指标可视化!$C$4,公司整体!$1:$1,0),3,1,"公司整体"),TRUE)</f>
        <v>0</v>
      </c>
      <c r="E44" t="str">
        <f t="shared" ca="1" si="1"/>
        <v>2015-12</v>
      </c>
      <c r="F44">
        <f t="shared" ca="1" si="7"/>
        <v>0</v>
      </c>
      <c r="G44">
        <f t="shared" ca="1" si="7"/>
        <v>0</v>
      </c>
      <c r="H44">
        <f t="shared" ca="1" si="6"/>
        <v>0</v>
      </c>
      <c r="I44">
        <f t="shared" ca="1" si="6"/>
        <v>0</v>
      </c>
      <c r="J44">
        <f t="shared" ca="1" si="6"/>
        <v>0</v>
      </c>
      <c r="K44">
        <f t="shared" ca="1" si="6"/>
        <v>0</v>
      </c>
      <c r="L44">
        <f t="shared" ca="1" si="6"/>
        <v>0</v>
      </c>
      <c r="M44">
        <f t="shared" ca="1" si="6"/>
        <v>0</v>
      </c>
      <c r="N44">
        <f t="shared" ca="1" si="6"/>
        <v>0</v>
      </c>
      <c r="O44">
        <f t="shared" ca="1" si="6"/>
        <v>0</v>
      </c>
      <c r="P44">
        <f t="shared" ca="1" si="6"/>
        <v>0</v>
      </c>
      <c r="Q44">
        <f t="shared" ca="1" si="6"/>
        <v>0</v>
      </c>
      <c r="R44">
        <f t="shared" ca="1" si="6"/>
        <v>0</v>
      </c>
      <c r="S44">
        <f t="shared" ca="1" si="6"/>
        <v>0</v>
      </c>
      <c r="T44" t="str">
        <f t="shared" si="3"/>
        <v>东莞2012-09</v>
      </c>
      <c r="U44">
        <f t="shared" ca="1" si="4"/>
        <v>0</v>
      </c>
    </row>
    <row r="45" spans="1:21" x14ac:dyDescent="0.15">
      <c r="A45" t="str">
        <f>公司整体!A45</f>
        <v>佛山</v>
      </c>
      <c r="B45" t="str">
        <f>公司整体!B45</f>
        <v>2012-09</v>
      </c>
      <c r="C45">
        <f ca="1">INDIRECT(ADDRESS(ROW(C45),MATCH(公司各渠道指标可视化!$C$4,公司整体!$1:$1,0),3,1,"公司整体"),TRUE)</f>
        <v>0</v>
      </c>
      <c r="E45" t="str">
        <f t="shared" ca="1" si="1"/>
        <v>2016-01</v>
      </c>
      <c r="F45">
        <f t="shared" ca="1" si="7"/>
        <v>0</v>
      </c>
      <c r="G45">
        <f t="shared" ca="1" si="7"/>
        <v>0</v>
      </c>
      <c r="H45">
        <f t="shared" ca="1" si="6"/>
        <v>0</v>
      </c>
      <c r="I45">
        <f t="shared" ca="1" si="6"/>
        <v>0</v>
      </c>
      <c r="J45">
        <f t="shared" ca="1" si="6"/>
        <v>0</v>
      </c>
      <c r="K45">
        <f t="shared" ca="1" si="6"/>
        <v>0</v>
      </c>
      <c r="L45">
        <f t="shared" ca="1" si="6"/>
        <v>0</v>
      </c>
      <c r="M45">
        <f t="shared" ca="1" si="6"/>
        <v>0</v>
      </c>
      <c r="N45">
        <f t="shared" ca="1" si="6"/>
        <v>0</v>
      </c>
      <c r="O45">
        <f t="shared" ca="1" si="6"/>
        <v>0</v>
      </c>
      <c r="P45">
        <f t="shared" ca="1" si="6"/>
        <v>0</v>
      </c>
      <c r="Q45">
        <f t="shared" ca="1" si="6"/>
        <v>0</v>
      </c>
      <c r="R45">
        <f t="shared" ca="1" si="6"/>
        <v>0</v>
      </c>
      <c r="S45">
        <f t="shared" ca="1" si="6"/>
        <v>0</v>
      </c>
      <c r="T45" t="str">
        <f t="shared" si="3"/>
        <v>佛山2012-09</v>
      </c>
      <c r="U45">
        <f t="shared" ca="1" si="4"/>
        <v>0</v>
      </c>
    </row>
    <row r="46" spans="1:21" x14ac:dyDescent="0.15">
      <c r="A46" t="str">
        <f>公司整体!A46</f>
        <v>广东</v>
      </c>
      <c r="B46" t="str">
        <f>公司整体!B46</f>
        <v>2012-09</v>
      </c>
      <c r="C46">
        <f ca="1">INDIRECT(ADDRESS(ROW(C46),MATCH(公司各渠道指标可视化!$C$4,公司整体!$1:$1,0),3,1,"公司整体"),TRUE)</f>
        <v>0</v>
      </c>
      <c r="E46" t="str">
        <f t="shared" ca="1" si="1"/>
        <v>2016-02</v>
      </c>
      <c r="F46">
        <f t="shared" ca="1" si="7"/>
        <v>0</v>
      </c>
      <c r="G46">
        <f t="shared" ca="1" si="7"/>
        <v>0</v>
      </c>
      <c r="H46">
        <f t="shared" ca="1" si="6"/>
        <v>0</v>
      </c>
      <c r="I46">
        <f t="shared" ca="1" si="6"/>
        <v>0</v>
      </c>
      <c r="J46">
        <f t="shared" ca="1" si="6"/>
        <v>0</v>
      </c>
      <c r="K46">
        <f t="shared" ca="1" si="6"/>
        <v>0</v>
      </c>
      <c r="L46">
        <f t="shared" ca="1" si="6"/>
        <v>0</v>
      </c>
      <c r="M46">
        <f t="shared" ca="1" si="6"/>
        <v>0</v>
      </c>
      <c r="N46">
        <f t="shared" ca="1" si="6"/>
        <v>0</v>
      </c>
      <c r="O46">
        <f t="shared" ca="1" si="6"/>
        <v>0</v>
      </c>
      <c r="P46">
        <f t="shared" ca="1" si="6"/>
        <v>0</v>
      </c>
      <c r="Q46">
        <f t="shared" ca="1" si="6"/>
        <v>0</v>
      </c>
      <c r="R46">
        <f t="shared" ca="1" si="6"/>
        <v>0</v>
      </c>
      <c r="S46">
        <f t="shared" ca="1" si="6"/>
        <v>0</v>
      </c>
      <c r="T46" t="str">
        <f t="shared" si="3"/>
        <v>广东2012-09</v>
      </c>
      <c r="U46">
        <f t="shared" ca="1" si="4"/>
        <v>0</v>
      </c>
    </row>
    <row r="47" spans="1:21" x14ac:dyDescent="0.15">
      <c r="A47" t="str">
        <f>公司整体!A47</f>
        <v>广州</v>
      </c>
      <c r="B47" t="str">
        <f>公司整体!B47</f>
        <v>2012-09</v>
      </c>
      <c r="C47">
        <f ca="1">INDIRECT(ADDRESS(ROW(C47),MATCH(公司各渠道指标可视化!$C$4,公司整体!$1:$1,0),3,1,"公司整体"),TRUE)</f>
        <v>0</v>
      </c>
      <c r="E47" t="str">
        <f t="shared" ca="1" si="1"/>
        <v>2016-03</v>
      </c>
      <c r="F47">
        <f t="shared" ca="1" si="7"/>
        <v>0</v>
      </c>
      <c r="G47">
        <f t="shared" ca="1" si="7"/>
        <v>0</v>
      </c>
      <c r="H47">
        <f t="shared" ca="1" si="6"/>
        <v>0</v>
      </c>
      <c r="I47">
        <f t="shared" ca="1" si="6"/>
        <v>0</v>
      </c>
      <c r="J47">
        <f t="shared" ca="1" si="6"/>
        <v>0</v>
      </c>
      <c r="K47">
        <f t="shared" ca="1" si="6"/>
        <v>0</v>
      </c>
      <c r="L47">
        <f t="shared" ca="1" si="6"/>
        <v>0</v>
      </c>
      <c r="M47">
        <f t="shared" ca="1" si="6"/>
        <v>0</v>
      </c>
      <c r="N47">
        <f t="shared" ca="1" si="6"/>
        <v>0</v>
      </c>
      <c r="O47">
        <f t="shared" ca="1" si="6"/>
        <v>0</v>
      </c>
      <c r="P47">
        <f t="shared" ca="1" si="6"/>
        <v>0</v>
      </c>
      <c r="Q47">
        <f t="shared" ca="1" si="6"/>
        <v>0</v>
      </c>
      <c r="R47">
        <f t="shared" ca="1" si="6"/>
        <v>0</v>
      </c>
      <c r="S47">
        <f t="shared" ca="1" si="6"/>
        <v>0</v>
      </c>
      <c r="T47" t="str">
        <f t="shared" si="3"/>
        <v>广州2012-09</v>
      </c>
      <c r="U47">
        <f t="shared" ca="1" si="4"/>
        <v>0</v>
      </c>
    </row>
    <row r="48" spans="1:21" x14ac:dyDescent="0.15">
      <c r="A48" t="str">
        <f>公司整体!A48</f>
        <v>湖北</v>
      </c>
      <c r="B48" t="str">
        <f>公司整体!B48</f>
        <v>2012-09</v>
      </c>
      <c r="C48">
        <f ca="1">INDIRECT(ADDRESS(ROW(C48),MATCH(公司各渠道指标可视化!$C$4,公司整体!$1:$1,0),3,1,"公司整体"),TRUE)</f>
        <v>0</v>
      </c>
      <c r="E48" t="str">
        <f t="shared" ca="1" si="1"/>
        <v>2016-04</v>
      </c>
      <c r="F48">
        <f t="shared" ca="1" si="7"/>
        <v>2387</v>
      </c>
      <c r="G48">
        <f t="shared" ca="1" si="7"/>
        <v>0</v>
      </c>
      <c r="H48">
        <f t="shared" ca="1" si="6"/>
        <v>11</v>
      </c>
      <c r="I48">
        <f t="shared" ca="1" si="6"/>
        <v>0</v>
      </c>
      <c r="J48">
        <f t="shared" ca="1" si="6"/>
        <v>0</v>
      </c>
      <c r="K48">
        <f t="shared" ca="1" si="6"/>
        <v>0</v>
      </c>
      <c r="L48">
        <f t="shared" ca="1" si="6"/>
        <v>0</v>
      </c>
      <c r="M48">
        <f t="shared" ca="1" si="6"/>
        <v>0</v>
      </c>
      <c r="N48">
        <f t="shared" ca="1" si="6"/>
        <v>0</v>
      </c>
      <c r="O48">
        <f t="shared" ca="1" si="6"/>
        <v>0</v>
      </c>
      <c r="P48">
        <f t="shared" ca="1" si="6"/>
        <v>0</v>
      </c>
      <c r="Q48">
        <f t="shared" ca="1" si="6"/>
        <v>0</v>
      </c>
      <c r="R48">
        <f t="shared" ca="1" si="6"/>
        <v>0</v>
      </c>
      <c r="S48">
        <f t="shared" ca="1" si="6"/>
        <v>2399</v>
      </c>
      <c r="T48" t="str">
        <f t="shared" si="3"/>
        <v>湖北2012-09</v>
      </c>
      <c r="U48">
        <f t="shared" ca="1" si="4"/>
        <v>0</v>
      </c>
    </row>
    <row r="49" spans="1:21" x14ac:dyDescent="0.15">
      <c r="A49" t="str">
        <f>公司整体!A49</f>
        <v>机构</v>
      </c>
      <c r="B49" t="str">
        <f>公司整体!B49</f>
        <v>2012-09</v>
      </c>
      <c r="C49">
        <f ca="1">INDIRECT(ADDRESS(ROW(C49),MATCH(公司各渠道指标可视化!$C$4,公司整体!$1:$1,0),3,1,"公司整体"),TRUE)</f>
        <v>0</v>
      </c>
      <c r="E49" t="str">
        <f t="shared" ca="1" si="1"/>
        <v>2016-05</v>
      </c>
      <c r="F49">
        <f t="shared" ca="1" si="7"/>
        <v>6008</v>
      </c>
      <c r="G49">
        <f t="shared" ca="1" si="7"/>
        <v>7627</v>
      </c>
      <c r="H49">
        <f t="shared" ca="1" si="6"/>
        <v>11217</v>
      </c>
      <c r="I49">
        <f t="shared" ca="1" si="6"/>
        <v>11333</v>
      </c>
      <c r="J49">
        <f t="shared" ca="1" si="6"/>
        <v>0</v>
      </c>
      <c r="K49">
        <f t="shared" ca="1" si="6"/>
        <v>207</v>
      </c>
      <c r="L49">
        <f t="shared" ca="1" si="6"/>
        <v>0</v>
      </c>
      <c r="M49">
        <f t="shared" ca="1" si="6"/>
        <v>463</v>
      </c>
      <c r="N49">
        <f t="shared" ca="1" si="6"/>
        <v>14500</v>
      </c>
      <c r="O49">
        <f t="shared" ca="1" si="6"/>
        <v>7596</v>
      </c>
      <c r="P49">
        <f t="shared" ca="1" si="6"/>
        <v>0</v>
      </c>
      <c r="Q49">
        <f t="shared" ca="1" si="6"/>
        <v>393</v>
      </c>
      <c r="R49">
        <f t="shared" ca="1" si="6"/>
        <v>2970</v>
      </c>
      <c r="S49">
        <f t="shared" ca="1" si="6"/>
        <v>62314</v>
      </c>
      <c r="T49" t="str">
        <f t="shared" si="3"/>
        <v>机构2012-09</v>
      </c>
      <c r="U49">
        <f t="shared" ca="1" si="4"/>
        <v>0</v>
      </c>
    </row>
    <row r="50" spans="1:21" x14ac:dyDescent="0.15">
      <c r="A50" t="str">
        <f>公司整体!A50</f>
        <v>江苏</v>
      </c>
      <c r="B50" t="str">
        <f>公司整体!B50</f>
        <v>2012-09</v>
      </c>
      <c r="C50">
        <f ca="1">INDIRECT(ADDRESS(ROW(C50),MATCH(公司各渠道指标可视化!$C$4,公司整体!$1:$1,0),3,1,"公司整体"),TRUE)</f>
        <v>0</v>
      </c>
      <c r="E50" t="str">
        <f t="shared" ca="1" si="1"/>
        <v>2016-06</v>
      </c>
      <c r="F50">
        <f t="shared" ca="1" si="7"/>
        <v>15616</v>
      </c>
      <c r="G50">
        <f t="shared" ca="1" si="7"/>
        <v>28034</v>
      </c>
      <c r="H50">
        <f t="shared" ca="1" si="6"/>
        <v>44117</v>
      </c>
      <c r="I50">
        <f t="shared" ca="1" si="6"/>
        <v>23575</v>
      </c>
      <c r="J50">
        <f t="shared" ca="1" si="6"/>
        <v>0</v>
      </c>
      <c r="K50">
        <f t="shared" ca="1" si="6"/>
        <v>2921</v>
      </c>
      <c r="L50">
        <f t="shared" ca="1" si="6"/>
        <v>0</v>
      </c>
      <c r="M50">
        <f t="shared" ca="1" si="6"/>
        <v>4526</v>
      </c>
      <c r="N50">
        <f t="shared" ca="1" si="6"/>
        <v>42466</v>
      </c>
      <c r="O50">
        <f t="shared" ca="1" si="6"/>
        <v>17176</v>
      </c>
      <c r="P50">
        <f t="shared" ca="1" si="6"/>
        <v>1863</v>
      </c>
      <c r="Q50">
        <f t="shared" ca="1" si="6"/>
        <v>9488</v>
      </c>
      <c r="R50">
        <f t="shared" ca="1" si="6"/>
        <v>5269</v>
      </c>
      <c r="S50">
        <f t="shared" ca="1" si="6"/>
        <v>195052</v>
      </c>
      <c r="T50" t="str">
        <f t="shared" si="3"/>
        <v>江苏2012-09</v>
      </c>
      <c r="U50">
        <f t="shared" ca="1" si="4"/>
        <v>0</v>
      </c>
    </row>
    <row r="51" spans="1:21" x14ac:dyDescent="0.15">
      <c r="A51" t="str">
        <f>公司整体!A51</f>
        <v>山东</v>
      </c>
      <c r="B51" t="str">
        <f>公司整体!B51</f>
        <v>2012-09</v>
      </c>
      <c r="C51">
        <f ca="1">INDIRECT(ADDRESS(ROW(C51),MATCH(公司各渠道指标可视化!$C$4,公司整体!$1:$1,0),3,1,"公司整体"),TRUE)</f>
        <v>0</v>
      </c>
      <c r="E51" t="str">
        <f t="shared" ca="1" si="1"/>
        <v>2016-07</v>
      </c>
      <c r="F51">
        <f t="shared" ca="1" si="7"/>
        <v>33842</v>
      </c>
      <c r="G51">
        <f t="shared" ca="1" si="7"/>
        <v>45900</v>
      </c>
      <c r="H51">
        <f t="shared" ca="1" si="6"/>
        <v>59348</v>
      </c>
      <c r="I51">
        <f t="shared" ca="1" si="6"/>
        <v>43510</v>
      </c>
      <c r="J51">
        <f t="shared" ca="1" si="6"/>
        <v>834</v>
      </c>
      <c r="K51">
        <f t="shared" ca="1" si="6"/>
        <v>59118</v>
      </c>
      <c r="L51">
        <f t="shared" ca="1" si="6"/>
        <v>0</v>
      </c>
      <c r="M51">
        <f t="shared" ca="1" si="6"/>
        <v>24457</v>
      </c>
      <c r="N51">
        <f t="shared" ca="1" si="6"/>
        <v>36875</v>
      </c>
      <c r="O51">
        <f t="shared" ca="1" si="6"/>
        <v>25464</v>
      </c>
      <c r="P51">
        <f t="shared" ca="1" si="6"/>
        <v>6871</v>
      </c>
      <c r="Q51">
        <f t="shared" ca="1" si="6"/>
        <v>20958</v>
      </c>
      <c r="R51">
        <f t="shared" ca="1" si="6"/>
        <v>10475</v>
      </c>
      <c r="S51">
        <f t="shared" ca="1" si="6"/>
        <v>367650</v>
      </c>
      <c r="T51" t="str">
        <f t="shared" si="3"/>
        <v>山东2012-09</v>
      </c>
      <c r="U51">
        <f t="shared" ca="1" si="4"/>
        <v>0</v>
      </c>
    </row>
    <row r="52" spans="1:21" x14ac:dyDescent="0.15">
      <c r="A52" t="str">
        <f>公司整体!A52</f>
        <v>上海</v>
      </c>
      <c r="B52" t="str">
        <f>公司整体!B52</f>
        <v>2012-09</v>
      </c>
      <c r="C52">
        <f ca="1">INDIRECT(ADDRESS(ROW(C52),MATCH(公司各渠道指标可视化!$C$4,公司整体!$1:$1,0),3,1,"公司整体"),TRUE)</f>
        <v>0</v>
      </c>
      <c r="E52" t="str">
        <f t="shared" ca="1" si="1"/>
        <v>2016-08</v>
      </c>
      <c r="F52">
        <f t="shared" ca="1" si="7"/>
        <v>48970</v>
      </c>
      <c r="G52">
        <f t="shared" ca="1" si="7"/>
        <v>57224</v>
      </c>
      <c r="H52">
        <f t="shared" ca="1" si="6"/>
        <v>92159</v>
      </c>
      <c r="I52">
        <f t="shared" ca="1" si="6"/>
        <v>66594</v>
      </c>
      <c r="J52">
        <f t="shared" ca="1" si="6"/>
        <v>979</v>
      </c>
      <c r="K52">
        <f t="shared" ca="1" si="6"/>
        <v>121357</v>
      </c>
      <c r="L52">
        <f t="shared" ca="1" si="6"/>
        <v>0</v>
      </c>
      <c r="M52">
        <f t="shared" ca="1" si="6"/>
        <v>20489</v>
      </c>
      <c r="N52">
        <f t="shared" ca="1" si="6"/>
        <v>27764</v>
      </c>
      <c r="O52">
        <f t="shared" ca="1" si="6"/>
        <v>33028</v>
      </c>
      <c r="P52">
        <f t="shared" ca="1" si="6"/>
        <v>26527</v>
      </c>
      <c r="Q52">
        <f t="shared" ca="1" si="6"/>
        <v>29637</v>
      </c>
      <c r="R52">
        <f t="shared" ca="1" si="6"/>
        <v>17045</v>
      </c>
      <c r="S52">
        <f t="shared" ca="1" si="6"/>
        <v>541772</v>
      </c>
      <c r="T52" t="str">
        <f t="shared" si="3"/>
        <v>上海2012-09</v>
      </c>
      <c r="U52">
        <f t="shared" ca="1" si="4"/>
        <v>0</v>
      </c>
    </row>
    <row r="53" spans="1:21" x14ac:dyDescent="0.15">
      <c r="A53" t="str">
        <f>公司整体!A53</f>
        <v>深圳</v>
      </c>
      <c r="B53" t="str">
        <f>公司整体!B53</f>
        <v>2012-09</v>
      </c>
      <c r="C53">
        <f ca="1">INDIRECT(ADDRESS(ROW(C53),MATCH(公司各渠道指标可视化!$C$4,公司整体!$1:$1,0),3,1,"公司整体"),TRUE)</f>
        <v>0</v>
      </c>
      <c r="E53" t="str">
        <f t="shared" ca="1" si="1"/>
        <v>2016-09</v>
      </c>
      <c r="F53">
        <f t="shared" ca="1" si="7"/>
        <v>37659</v>
      </c>
      <c r="G53">
        <f t="shared" ca="1" si="7"/>
        <v>72271</v>
      </c>
      <c r="H53">
        <f t="shared" ca="1" si="6"/>
        <v>110461</v>
      </c>
      <c r="I53">
        <f t="shared" ca="1" si="6"/>
        <v>96364</v>
      </c>
      <c r="J53">
        <f t="shared" ca="1" si="6"/>
        <v>2426</v>
      </c>
      <c r="K53">
        <f t="shared" ca="1" si="6"/>
        <v>104569</v>
      </c>
      <c r="L53">
        <f t="shared" ca="1" si="6"/>
        <v>0</v>
      </c>
      <c r="M53">
        <f t="shared" ca="1" si="6"/>
        <v>29240</v>
      </c>
      <c r="N53">
        <f t="shared" ca="1" si="6"/>
        <v>33029</v>
      </c>
      <c r="O53">
        <f t="shared" ca="1" si="6"/>
        <v>37233</v>
      </c>
      <c r="P53">
        <f t="shared" ca="1" si="6"/>
        <v>22395</v>
      </c>
      <c r="Q53">
        <f t="shared" ca="1" si="6"/>
        <v>22999</v>
      </c>
      <c r="R53">
        <f t="shared" ca="1" si="6"/>
        <v>18156</v>
      </c>
      <c r="S53">
        <f t="shared" ca="1" si="6"/>
        <v>586802</v>
      </c>
      <c r="T53" t="str">
        <f t="shared" si="3"/>
        <v>深圳2012-09</v>
      </c>
      <c r="U53">
        <f t="shared" ca="1" si="4"/>
        <v>0</v>
      </c>
    </row>
    <row r="54" spans="1:21" x14ac:dyDescent="0.15">
      <c r="A54" t="str">
        <f>公司整体!A54</f>
        <v>四川</v>
      </c>
      <c r="B54" t="str">
        <f>公司整体!B54</f>
        <v>2012-09</v>
      </c>
      <c r="C54">
        <f ca="1">INDIRECT(ADDRESS(ROW(C54),MATCH(公司各渠道指标可视化!$C$4,公司整体!$1:$1,0),3,1,"公司整体"),TRUE)</f>
        <v>0</v>
      </c>
      <c r="E54" t="str">
        <f t="shared" ca="1" si="1"/>
        <v>2016-10</v>
      </c>
      <c r="F54">
        <f t="shared" ca="1" si="7"/>
        <v>10948</v>
      </c>
      <c r="G54">
        <f t="shared" ca="1" si="7"/>
        <v>39358</v>
      </c>
      <c r="H54">
        <f t="shared" ca="1" si="6"/>
        <v>63032</v>
      </c>
      <c r="I54">
        <f t="shared" ca="1" si="6"/>
        <v>46887</v>
      </c>
      <c r="J54">
        <f t="shared" ca="1" si="6"/>
        <v>542</v>
      </c>
      <c r="K54">
        <f t="shared" ca="1" si="6"/>
        <v>45261</v>
      </c>
      <c r="L54">
        <f t="shared" ca="1" si="6"/>
        <v>0</v>
      </c>
      <c r="M54">
        <f t="shared" ca="1" si="6"/>
        <v>23783</v>
      </c>
      <c r="N54">
        <f t="shared" ca="1" si="6"/>
        <v>2813</v>
      </c>
      <c r="O54">
        <f t="shared" ca="1" si="6"/>
        <v>23784</v>
      </c>
      <c r="P54">
        <f t="shared" ca="1" si="6"/>
        <v>24960</v>
      </c>
      <c r="Q54">
        <f t="shared" ca="1" si="6"/>
        <v>11839</v>
      </c>
      <c r="R54">
        <f t="shared" ca="1" si="6"/>
        <v>8110</v>
      </c>
      <c r="S54">
        <f t="shared" ca="1" si="6"/>
        <v>301317</v>
      </c>
      <c r="T54" t="str">
        <f t="shared" si="3"/>
        <v>四川2012-09</v>
      </c>
      <c r="U54">
        <f t="shared" ca="1" si="4"/>
        <v>0</v>
      </c>
    </row>
    <row r="55" spans="1:21" x14ac:dyDescent="0.15">
      <c r="A55" t="str">
        <f>公司整体!A55</f>
        <v>苏州</v>
      </c>
      <c r="B55" t="str">
        <f>公司整体!B55</f>
        <v>2012-09</v>
      </c>
      <c r="C55">
        <f ca="1">INDIRECT(ADDRESS(ROW(C55),MATCH(公司各渠道指标可视化!$C$4,公司整体!$1:$1,0),3,1,"公司整体"),TRUE)</f>
        <v>0</v>
      </c>
      <c r="E55" t="str">
        <f t="shared" ca="1" si="1"/>
        <v>2016-11</v>
      </c>
      <c r="F55">
        <f t="shared" ca="1" si="7"/>
        <v>26648</v>
      </c>
      <c r="G55">
        <f t="shared" ca="1" si="7"/>
        <v>36592</v>
      </c>
      <c r="H55">
        <f t="shared" ca="1" si="6"/>
        <v>67025</v>
      </c>
      <c r="I55">
        <f t="shared" ca="1" si="6"/>
        <v>38387</v>
      </c>
      <c r="J55">
        <f t="shared" ca="1" si="6"/>
        <v>125</v>
      </c>
      <c r="K55">
        <f t="shared" ca="1" si="6"/>
        <v>22999</v>
      </c>
      <c r="L55">
        <f t="shared" ca="1" si="6"/>
        <v>0</v>
      </c>
      <c r="M55">
        <f t="shared" ca="1" si="6"/>
        <v>28773</v>
      </c>
      <c r="N55">
        <f t="shared" ca="1" si="6"/>
        <v>4983</v>
      </c>
      <c r="O55">
        <f t="shared" ca="1" si="6"/>
        <v>24571</v>
      </c>
      <c r="P55">
        <f t="shared" ca="1" si="6"/>
        <v>22829</v>
      </c>
      <c r="Q55">
        <f t="shared" ca="1" si="6"/>
        <v>12330</v>
      </c>
      <c r="R55">
        <f t="shared" ca="1" si="6"/>
        <v>15348</v>
      </c>
      <c r="S55">
        <f t="shared" ca="1" si="6"/>
        <v>300610</v>
      </c>
      <c r="T55" t="str">
        <f t="shared" si="3"/>
        <v>苏州2012-09</v>
      </c>
      <c r="U55">
        <f t="shared" ca="1" si="4"/>
        <v>0</v>
      </c>
    </row>
    <row r="56" spans="1:21" x14ac:dyDescent="0.15">
      <c r="A56" t="str">
        <f>公司整体!A56</f>
        <v>中山</v>
      </c>
      <c r="B56" t="str">
        <f>公司整体!B56</f>
        <v>2012-09</v>
      </c>
      <c r="C56">
        <f ca="1">INDIRECT(ADDRESS(ROW(C56),MATCH(公司各渠道指标可视化!$C$4,公司整体!$1:$1,0),3,1,"公司整体"),TRUE)</f>
        <v>0</v>
      </c>
      <c r="E56" t="str">
        <f t="shared" ca="1" si="1"/>
        <v>2016-12</v>
      </c>
      <c r="F56">
        <f t="shared" ca="1" si="7"/>
        <v>3604</v>
      </c>
      <c r="G56">
        <f t="shared" ca="1" si="7"/>
        <v>4170</v>
      </c>
      <c r="H56">
        <f t="shared" ca="1" si="6"/>
        <v>4130</v>
      </c>
      <c r="I56">
        <f t="shared" ca="1" si="6"/>
        <v>2755</v>
      </c>
      <c r="J56">
        <f t="shared" ca="1" si="6"/>
        <v>46</v>
      </c>
      <c r="K56">
        <f t="shared" ca="1" si="6"/>
        <v>760</v>
      </c>
      <c r="L56">
        <f t="shared" ca="1" si="6"/>
        <v>0</v>
      </c>
      <c r="M56">
        <f t="shared" ca="1" si="6"/>
        <v>2034</v>
      </c>
      <c r="N56">
        <f t="shared" ca="1" si="6"/>
        <v>365</v>
      </c>
      <c r="O56">
        <f t="shared" ca="1" si="6"/>
        <v>1687</v>
      </c>
      <c r="P56">
        <f t="shared" ca="1" si="6"/>
        <v>616</v>
      </c>
      <c r="Q56">
        <f t="shared" ca="1" si="6"/>
        <v>1302</v>
      </c>
      <c r="R56">
        <f t="shared" ca="1" si="6"/>
        <v>1229</v>
      </c>
      <c r="S56">
        <f t="shared" ca="1" si="6"/>
        <v>22696</v>
      </c>
      <c r="T56" t="str">
        <f t="shared" si="3"/>
        <v>中山2012-09</v>
      </c>
      <c r="U56">
        <f t="shared" ca="1" si="4"/>
        <v>0</v>
      </c>
    </row>
    <row r="57" spans="1:21" x14ac:dyDescent="0.15">
      <c r="A57" t="str">
        <f>公司整体!A57</f>
        <v>珠海</v>
      </c>
      <c r="B57" t="str">
        <f>公司整体!B57</f>
        <v>2012-09</v>
      </c>
      <c r="C57">
        <f ca="1">INDIRECT(ADDRESS(ROW(C57),MATCH(公司各渠道指标可视化!$C$4,公司整体!$1:$1,0),3,1,"公司整体"),TRUE)</f>
        <v>0</v>
      </c>
      <c r="E57" t="str">
        <f t="shared" ca="1" si="1"/>
        <v>2017-01</v>
      </c>
      <c r="F57">
        <f t="shared" ca="1" si="7"/>
        <v>16530</v>
      </c>
      <c r="G57">
        <f t="shared" ca="1" si="7"/>
        <v>16093</v>
      </c>
      <c r="H57">
        <f t="shared" ca="1" si="6"/>
        <v>32415</v>
      </c>
      <c r="I57">
        <f t="shared" ca="1" si="6"/>
        <v>11060</v>
      </c>
      <c r="J57">
        <f t="shared" ca="1" si="6"/>
        <v>992</v>
      </c>
      <c r="K57">
        <f t="shared" ca="1" si="6"/>
        <v>7723</v>
      </c>
      <c r="L57">
        <f t="shared" ca="1" si="6"/>
        <v>2461</v>
      </c>
      <c r="M57">
        <f t="shared" ca="1" si="6"/>
        <v>1478</v>
      </c>
      <c r="N57">
        <f t="shared" ca="1" si="6"/>
        <v>9244</v>
      </c>
      <c r="O57">
        <f t="shared" ca="1" si="6"/>
        <v>16800</v>
      </c>
      <c r="P57">
        <f t="shared" ca="1" si="6"/>
        <v>719</v>
      </c>
      <c r="Q57">
        <f t="shared" ca="1" si="6"/>
        <v>6932</v>
      </c>
      <c r="R57">
        <f t="shared" ca="1" si="6"/>
        <v>6730</v>
      </c>
      <c r="S57">
        <f t="shared" ca="1" si="6"/>
        <v>129176</v>
      </c>
      <c r="T57" t="str">
        <f t="shared" si="3"/>
        <v>珠海2012-09</v>
      </c>
      <c r="U57">
        <f t="shared" ca="1" si="4"/>
        <v>0</v>
      </c>
    </row>
    <row r="58" spans="1:21" x14ac:dyDescent="0.15">
      <c r="A58" t="str">
        <f>公司整体!A58</f>
        <v>东莞</v>
      </c>
      <c r="B58" t="str">
        <f>公司整体!B58</f>
        <v>2012-10</v>
      </c>
      <c r="C58">
        <f ca="1">INDIRECT(ADDRESS(ROW(C58),MATCH(公司各渠道指标可视化!$C$4,公司整体!$1:$1,0),3,1,"公司整体"),TRUE)</f>
        <v>0</v>
      </c>
      <c r="E58" t="str">
        <f t="shared" ca="1" si="1"/>
        <v>2017-02</v>
      </c>
      <c r="F58">
        <f t="shared" ca="1" si="7"/>
        <v>17814</v>
      </c>
      <c r="G58">
        <f t="shared" ca="1" si="7"/>
        <v>13203</v>
      </c>
      <c r="H58">
        <f t="shared" ca="1" si="6"/>
        <v>49185</v>
      </c>
      <c r="I58">
        <f t="shared" ca="1" si="6"/>
        <v>12290</v>
      </c>
      <c r="J58">
        <f t="shared" ca="1" si="6"/>
        <v>2334</v>
      </c>
      <c r="K58">
        <f t="shared" ca="1" si="6"/>
        <v>22470</v>
      </c>
      <c r="L58">
        <f t="shared" ref="H58:S79" ca="1" si="8">VLOOKUP(L$1&amp;$E58,$T:$U,2,0)</f>
        <v>3020</v>
      </c>
      <c r="M58">
        <f t="shared" ca="1" si="8"/>
        <v>3051</v>
      </c>
      <c r="N58">
        <f t="shared" ca="1" si="8"/>
        <v>8977</v>
      </c>
      <c r="O58">
        <f t="shared" ca="1" si="8"/>
        <v>26070</v>
      </c>
      <c r="P58">
        <f t="shared" ca="1" si="8"/>
        <v>1845</v>
      </c>
      <c r="Q58">
        <f t="shared" ca="1" si="8"/>
        <v>5329</v>
      </c>
      <c r="R58">
        <f t="shared" ca="1" si="8"/>
        <v>8122</v>
      </c>
      <c r="S58">
        <f t="shared" ca="1" si="8"/>
        <v>173711</v>
      </c>
      <c r="T58" t="str">
        <f t="shared" si="3"/>
        <v>东莞2012-10</v>
      </c>
      <c r="U58">
        <f t="shared" ca="1" si="4"/>
        <v>0</v>
      </c>
    </row>
    <row r="59" spans="1:21" x14ac:dyDescent="0.15">
      <c r="A59" t="str">
        <f>公司整体!A59</f>
        <v>佛山</v>
      </c>
      <c r="B59" t="str">
        <f>公司整体!B59</f>
        <v>2012-10</v>
      </c>
      <c r="C59">
        <f ca="1">INDIRECT(ADDRESS(ROW(C59),MATCH(公司各渠道指标可视化!$C$4,公司整体!$1:$1,0),3,1,"公司整体"),TRUE)</f>
        <v>0</v>
      </c>
      <c r="E59" t="str">
        <f t="shared" ca="1" si="1"/>
        <v>2017-03</v>
      </c>
      <c r="F59">
        <f t="shared" ca="1" si="7"/>
        <v>19000</v>
      </c>
      <c r="G59">
        <f t="shared" ca="1" si="7"/>
        <v>15790</v>
      </c>
      <c r="H59">
        <f t="shared" ca="1" si="8"/>
        <v>71375</v>
      </c>
      <c r="I59">
        <f t="shared" ca="1" si="8"/>
        <v>17153</v>
      </c>
      <c r="J59">
        <f t="shared" ca="1" si="8"/>
        <v>4579</v>
      </c>
      <c r="K59">
        <f t="shared" ca="1" si="8"/>
        <v>52420</v>
      </c>
      <c r="L59">
        <f t="shared" ca="1" si="8"/>
        <v>1629</v>
      </c>
      <c r="M59">
        <f t="shared" ca="1" si="8"/>
        <v>6768</v>
      </c>
      <c r="N59">
        <f t="shared" ca="1" si="8"/>
        <v>14212</v>
      </c>
      <c r="O59">
        <f t="shared" ca="1" si="8"/>
        <v>30968</v>
      </c>
      <c r="P59">
        <f t="shared" ca="1" si="8"/>
        <v>9927</v>
      </c>
      <c r="Q59">
        <f t="shared" ca="1" si="8"/>
        <v>8844</v>
      </c>
      <c r="R59">
        <f t="shared" ca="1" si="8"/>
        <v>7422</v>
      </c>
      <c r="S59">
        <f t="shared" ca="1" si="8"/>
        <v>260087</v>
      </c>
      <c r="T59" t="str">
        <f t="shared" si="3"/>
        <v>佛山2012-10</v>
      </c>
      <c r="U59">
        <f t="shared" ca="1" si="4"/>
        <v>0</v>
      </c>
    </row>
    <row r="60" spans="1:21" x14ac:dyDescent="0.15">
      <c r="A60" t="str">
        <f>公司整体!A60</f>
        <v>广东</v>
      </c>
      <c r="B60" t="str">
        <f>公司整体!B60</f>
        <v>2012-10</v>
      </c>
      <c r="C60">
        <f ca="1">INDIRECT(ADDRESS(ROW(C60),MATCH(公司各渠道指标可视化!$C$4,公司整体!$1:$1,0),3,1,"公司整体"),TRUE)</f>
        <v>0</v>
      </c>
      <c r="E60" t="str">
        <f t="shared" ca="1" si="1"/>
        <v>2017-04</v>
      </c>
      <c r="F60">
        <f t="shared" ca="1" si="7"/>
        <v>10586</v>
      </c>
      <c r="G60">
        <f t="shared" ca="1" si="7"/>
        <v>10508</v>
      </c>
      <c r="H60">
        <f t="shared" ca="1" si="8"/>
        <v>49422</v>
      </c>
      <c r="I60">
        <f t="shared" ca="1" si="8"/>
        <v>10211</v>
      </c>
      <c r="J60">
        <f t="shared" ca="1" si="8"/>
        <v>5274</v>
      </c>
      <c r="K60">
        <f t="shared" ca="1" si="8"/>
        <v>23269</v>
      </c>
      <c r="L60">
        <f t="shared" ca="1" si="8"/>
        <v>2799</v>
      </c>
      <c r="M60">
        <f t="shared" ca="1" si="8"/>
        <v>10234</v>
      </c>
      <c r="N60">
        <f t="shared" ca="1" si="8"/>
        <v>8692</v>
      </c>
      <c r="O60">
        <f t="shared" ca="1" si="8"/>
        <v>28596</v>
      </c>
      <c r="P60">
        <f t="shared" ca="1" si="8"/>
        <v>4514</v>
      </c>
      <c r="Q60">
        <f t="shared" ca="1" si="8"/>
        <v>8407</v>
      </c>
      <c r="R60">
        <f t="shared" ca="1" si="8"/>
        <v>7413</v>
      </c>
      <c r="S60">
        <f t="shared" ca="1" si="8"/>
        <v>179924</v>
      </c>
      <c r="T60" t="str">
        <f t="shared" si="3"/>
        <v>广东2012-10</v>
      </c>
      <c r="U60">
        <f t="shared" ca="1" si="4"/>
        <v>0</v>
      </c>
    </row>
    <row r="61" spans="1:21" x14ac:dyDescent="0.15">
      <c r="A61" t="str">
        <f>公司整体!A61</f>
        <v>广州</v>
      </c>
      <c r="B61" t="str">
        <f>公司整体!B61</f>
        <v>2012-10</v>
      </c>
      <c r="C61">
        <f ca="1">INDIRECT(ADDRESS(ROW(C61),MATCH(公司各渠道指标可视化!$C$4,公司整体!$1:$1,0),3,1,"公司整体"),TRUE)</f>
        <v>0</v>
      </c>
      <c r="E61" t="str">
        <f t="shared" ca="1" si="1"/>
        <v>2017-05</v>
      </c>
      <c r="F61">
        <f t="shared" ca="1" si="7"/>
        <v>10112</v>
      </c>
      <c r="G61">
        <f t="shared" ca="1" si="7"/>
        <v>8898</v>
      </c>
      <c r="H61">
        <f t="shared" ca="1" si="8"/>
        <v>36923</v>
      </c>
      <c r="I61">
        <f t="shared" ca="1" si="8"/>
        <v>13791</v>
      </c>
      <c r="J61">
        <f t="shared" ca="1" si="8"/>
        <v>2607</v>
      </c>
      <c r="K61">
        <f t="shared" ca="1" si="8"/>
        <v>27974</v>
      </c>
      <c r="L61">
        <f t="shared" ca="1" si="8"/>
        <v>4240</v>
      </c>
      <c r="M61">
        <f t="shared" ca="1" si="8"/>
        <v>15734</v>
      </c>
      <c r="N61">
        <f t="shared" ca="1" si="8"/>
        <v>7620</v>
      </c>
      <c r="O61">
        <f t="shared" ca="1" si="8"/>
        <v>25061</v>
      </c>
      <c r="P61">
        <f t="shared" ca="1" si="8"/>
        <v>7609</v>
      </c>
      <c r="Q61">
        <f t="shared" ca="1" si="8"/>
        <v>7467</v>
      </c>
      <c r="R61">
        <f t="shared" ca="1" si="8"/>
        <v>5974</v>
      </c>
      <c r="S61">
        <f t="shared" ca="1" si="8"/>
        <v>174011</v>
      </c>
      <c r="T61" t="str">
        <f t="shared" si="3"/>
        <v>广州2012-10</v>
      </c>
      <c r="U61">
        <f t="shared" ca="1" si="4"/>
        <v>0</v>
      </c>
    </row>
    <row r="62" spans="1:21" x14ac:dyDescent="0.15">
      <c r="A62" t="str">
        <f>公司整体!A62</f>
        <v>湖北</v>
      </c>
      <c r="B62" t="str">
        <f>公司整体!B62</f>
        <v>2012-10</v>
      </c>
      <c r="C62">
        <f ca="1">INDIRECT(ADDRESS(ROW(C62),MATCH(公司各渠道指标可视化!$C$4,公司整体!$1:$1,0),3,1,"公司整体"),TRUE)</f>
        <v>0</v>
      </c>
      <c r="E62" t="str">
        <f t="shared" ca="1" si="1"/>
        <v>2017-06</v>
      </c>
      <c r="F62">
        <f t="shared" ca="1" si="7"/>
        <v>4567</v>
      </c>
      <c r="G62">
        <f t="shared" ca="1" si="7"/>
        <v>10504</v>
      </c>
      <c r="H62">
        <f t="shared" ca="1" si="8"/>
        <v>34433</v>
      </c>
      <c r="I62">
        <f t="shared" ca="1" si="8"/>
        <v>7791</v>
      </c>
      <c r="J62">
        <f t="shared" ca="1" si="8"/>
        <v>1942</v>
      </c>
      <c r="K62">
        <f t="shared" ca="1" si="8"/>
        <v>7787</v>
      </c>
      <c r="L62">
        <f t="shared" ca="1" si="8"/>
        <v>2988</v>
      </c>
      <c r="M62">
        <f t="shared" ca="1" si="8"/>
        <v>6451</v>
      </c>
      <c r="N62">
        <f t="shared" ca="1" si="8"/>
        <v>3674</v>
      </c>
      <c r="O62">
        <f t="shared" ca="1" si="8"/>
        <v>34068</v>
      </c>
      <c r="P62">
        <f t="shared" ca="1" si="8"/>
        <v>10338</v>
      </c>
      <c r="Q62">
        <f t="shared" ca="1" si="8"/>
        <v>4467</v>
      </c>
      <c r="R62">
        <f t="shared" ca="1" si="8"/>
        <v>5125</v>
      </c>
      <c r="S62">
        <f t="shared" ca="1" si="8"/>
        <v>134136</v>
      </c>
      <c r="T62" t="str">
        <f t="shared" si="3"/>
        <v>湖北2012-10</v>
      </c>
      <c r="U62">
        <f t="shared" ca="1" si="4"/>
        <v>0</v>
      </c>
    </row>
    <row r="63" spans="1:21" x14ac:dyDescent="0.15">
      <c r="A63" t="str">
        <f>公司整体!A63</f>
        <v>机构</v>
      </c>
      <c r="B63" t="str">
        <f>公司整体!B63</f>
        <v>2012-10</v>
      </c>
      <c r="C63">
        <f ca="1">INDIRECT(ADDRESS(ROW(C63),MATCH(公司各渠道指标可视化!$C$4,公司整体!$1:$1,0),3,1,"公司整体"),TRUE)</f>
        <v>0</v>
      </c>
      <c r="E63" t="str">
        <f t="shared" ca="1" si="1"/>
        <v>2017-07</v>
      </c>
      <c r="F63">
        <f t="shared" ca="1" si="7"/>
        <v>6181</v>
      </c>
      <c r="G63">
        <f t="shared" ca="1" si="7"/>
        <v>8079</v>
      </c>
      <c r="H63">
        <f t="shared" ca="1" si="8"/>
        <v>29664</v>
      </c>
      <c r="I63">
        <f t="shared" ca="1" si="8"/>
        <v>6134</v>
      </c>
      <c r="J63">
        <f t="shared" ca="1" si="8"/>
        <v>1973</v>
      </c>
      <c r="K63">
        <f t="shared" ca="1" si="8"/>
        <v>36827</v>
      </c>
      <c r="L63">
        <f t="shared" ca="1" si="8"/>
        <v>2433</v>
      </c>
      <c r="M63">
        <f t="shared" ca="1" si="8"/>
        <v>4745</v>
      </c>
      <c r="N63">
        <f t="shared" ca="1" si="8"/>
        <v>2327</v>
      </c>
      <c r="O63">
        <f t="shared" ca="1" si="8"/>
        <v>37234</v>
      </c>
      <c r="P63">
        <f t="shared" ca="1" si="8"/>
        <v>8715</v>
      </c>
      <c r="Q63">
        <f t="shared" ca="1" si="8"/>
        <v>4690</v>
      </c>
      <c r="R63">
        <f t="shared" ca="1" si="8"/>
        <v>4068</v>
      </c>
      <c r="S63">
        <f t="shared" ca="1" si="8"/>
        <v>153070</v>
      </c>
      <c r="T63" t="str">
        <f t="shared" si="3"/>
        <v>机构2012-10</v>
      </c>
      <c r="U63">
        <f t="shared" ca="1" si="4"/>
        <v>0</v>
      </c>
    </row>
    <row r="64" spans="1:21" x14ac:dyDescent="0.15">
      <c r="A64" t="str">
        <f>公司整体!A64</f>
        <v>江苏</v>
      </c>
      <c r="B64" t="str">
        <f>公司整体!B64</f>
        <v>2012-10</v>
      </c>
      <c r="C64">
        <f ca="1">INDIRECT(ADDRESS(ROW(C64),MATCH(公司各渠道指标可视化!$C$4,公司整体!$1:$1,0),3,1,"公司整体"),TRUE)</f>
        <v>0</v>
      </c>
      <c r="E64" t="str">
        <f t="shared" ca="1" si="1"/>
        <v>2017-08</v>
      </c>
      <c r="F64">
        <f t="shared" ca="1" si="7"/>
        <v>5906</v>
      </c>
      <c r="G64">
        <f t="shared" ca="1" si="7"/>
        <v>7970</v>
      </c>
      <c r="H64">
        <f t="shared" ca="1" si="8"/>
        <v>38111</v>
      </c>
      <c r="I64">
        <f t="shared" ca="1" si="8"/>
        <v>7990</v>
      </c>
      <c r="J64">
        <f t="shared" ca="1" si="8"/>
        <v>714</v>
      </c>
      <c r="K64">
        <f t="shared" ca="1" si="8"/>
        <v>48108</v>
      </c>
      <c r="L64">
        <f t="shared" ca="1" si="8"/>
        <v>4209</v>
      </c>
      <c r="M64">
        <f t="shared" ca="1" si="8"/>
        <v>7906</v>
      </c>
      <c r="N64">
        <f t="shared" ca="1" si="8"/>
        <v>14790</v>
      </c>
      <c r="O64">
        <f t="shared" ca="1" si="8"/>
        <v>39455</v>
      </c>
      <c r="P64">
        <f t="shared" ca="1" si="8"/>
        <v>8333</v>
      </c>
      <c r="Q64">
        <f t="shared" ca="1" si="8"/>
        <v>4815</v>
      </c>
      <c r="R64">
        <f t="shared" ca="1" si="8"/>
        <v>3358</v>
      </c>
      <c r="S64">
        <f t="shared" ca="1" si="8"/>
        <v>191666</v>
      </c>
      <c r="T64" t="str">
        <f t="shared" si="3"/>
        <v>江苏2012-10</v>
      </c>
      <c r="U64">
        <f t="shared" ca="1" si="4"/>
        <v>0</v>
      </c>
    </row>
    <row r="65" spans="1:21" x14ac:dyDescent="0.15">
      <c r="A65" t="str">
        <f>公司整体!A65</f>
        <v>山东</v>
      </c>
      <c r="B65" t="str">
        <f>公司整体!B65</f>
        <v>2012-10</v>
      </c>
      <c r="C65">
        <f ca="1">INDIRECT(ADDRESS(ROW(C65),MATCH(公司各渠道指标可视化!$C$4,公司整体!$1:$1,0),3,1,"公司整体"),TRUE)</f>
        <v>0</v>
      </c>
      <c r="E65" t="str">
        <f t="shared" ca="1" si="1"/>
        <v>2017-09</v>
      </c>
      <c r="F65">
        <f t="shared" ca="1" si="7"/>
        <v>4462</v>
      </c>
      <c r="G65">
        <f t="shared" ca="1" si="7"/>
        <v>12162</v>
      </c>
      <c r="H65">
        <f t="shared" ca="1" si="8"/>
        <v>48079</v>
      </c>
      <c r="I65">
        <f t="shared" ca="1" si="8"/>
        <v>8661</v>
      </c>
      <c r="J65">
        <f t="shared" ca="1" si="8"/>
        <v>3478</v>
      </c>
      <c r="K65">
        <f t="shared" ca="1" si="8"/>
        <v>20987</v>
      </c>
      <c r="L65">
        <f t="shared" ca="1" si="8"/>
        <v>5063</v>
      </c>
      <c r="M65">
        <f t="shared" ca="1" si="8"/>
        <v>5351</v>
      </c>
      <c r="N65">
        <f t="shared" ca="1" si="8"/>
        <v>12390</v>
      </c>
      <c r="O65">
        <f t="shared" ca="1" si="8"/>
        <v>41991</v>
      </c>
      <c r="P65">
        <f t="shared" ca="1" si="8"/>
        <v>2895</v>
      </c>
      <c r="Q65">
        <f t="shared" ca="1" si="8"/>
        <v>7447</v>
      </c>
      <c r="R65">
        <f t="shared" ca="1" si="8"/>
        <v>4462</v>
      </c>
      <c r="S65">
        <f t="shared" ca="1" si="8"/>
        <v>177428</v>
      </c>
      <c r="T65" t="str">
        <f t="shared" si="3"/>
        <v>山东2012-10</v>
      </c>
      <c r="U65">
        <f t="shared" ca="1" si="4"/>
        <v>0</v>
      </c>
    </row>
    <row r="66" spans="1:21" x14ac:dyDescent="0.15">
      <c r="A66" t="str">
        <f>公司整体!A66</f>
        <v>上海</v>
      </c>
      <c r="B66" t="str">
        <f>公司整体!B66</f>
        <v>2012-10</v>
      </c>
      <c r="C66">
        <f ca="1">INDIRECT(ADDRESS(ROW(C66),MATCH(公司各渠道指标可视化!$C$4,公司整体!$1:$1,0),3,1,"公司整体"),TRUE)</f>
        <v>0</v>
      </c>
      <c r="E66" t="str">
        <f t="shared" ca="1" si="1"/>
        <v>2017-10</v>
      </c>
      <c r="F66">
        <f t="shared" ca="1" si="7"/>
        <v>3619</v>
      </c>
      <c r="G66">
        <f t="shared" ca="1" si="7"/>
        <v>2034</v>
      </c>
      <c r="H66">
        <f t="shared" ca="1" si="8"/>
        <v>21053</v>
      </c>
      <c r="I66">
        <f t="shared" ca="1" si="8"/>
        <v>706</v>
      </c>
      <c r="J66">
        <f t="shared" ca="1" si="8"/>
        <v>76</v>
      </c>
      <c r="K66">
        <f t="shared" ca="1" si="8"/>
        <v>-13</v>
      </c>
      <c r="L66">
        <f t="shared" ca="1" si="8"/>
        <v>444</v>
      </c>
      <c r="M66">
        <f t="shared" ca="1" si="8"/>
        <v>2932</v>
      </c>
      <c r="N66">
        <f t="shared" ca="1" si="8"/>
        <v>-97</v>
      </c>
      <c r="O66">
        <f t="shared" ca="1" si="8"/>
        <v>4139</v>
      </c>
      <c r="P66">
        <f t="shared" ca="1" si="8"/>
        <v>-10</v>
      </c>
      <c r="Q66">
        <f t="shared" ca="1" si="8"/>
        <v>2969</v>
      </c>
      <c r="R66">
        <f t="shared" ca="1" si="8"/>
        <v>1878</v>
      </c>
      <c r="S66">
        <f t="shared" ca="1" si="8"/>
        <v>39730</v>
      </c>
      <c r="T66" t="str">
        <f t="shared" si="3"/>
        <v>上海2012-10</v>
      </c>
      <c r="U66">
        <f t="shared" ca="1" si="4"/>
        <v>0</v>
      </c>
    </row>
    <row r="67" spans="1:21" x14ac:dyDescent="0.15">
      <c r="A67" t="str">
        <f>公司整体!A67</f>
        <v>深圳</v>
      </c>
      <c r="B67" t="str">
        <f>公司整体!B67</f>
        <v>2012-10</v>
      </c>
      <c r="C67">
        <f ca="1">INDIRECT(ADDRESS(ROW(C67),MATCH(公司各渠道指标可视化!$C$4,公司整体!$1:$1,0),3,1,"公司整体"),TRUE)</f>
        <v>0</v>
      </c>
      <c r="E67" t="str">
        <f t="shared" ref="E67:E74" ca="1" si="9">INDIRECT(ADDRESS(14*ROW(A66)-12,2,1,1,"图表数据"),TRUE)</f>
        <v>2017-11</v>
      </c>
      <c r="F67">
        <f t="shared" ca="1" si="7"/>
        <v>2740</v>
      </c>
      <c r="G67">
        <f t="shared" ca="1" si="7"/>
        <v>2584</v>
      </c>
      <c r="H67">
        <f t="shared" ca="1" si="8"/>
        <v>17545</v>
      </c>
      <c r="I67">
        <f t="shared" ca="1" si="8"/>
        <v>1649</v>
      </c>
      <c r="J67">
        <f t="shared" ca="1" si="8"/>
        <v>199</v>
      </c>
      <c r="K67">
        <f t="shared" ca="1" si="8"/>
        <v>1596</v>
      </c>
      <c r="L67">
        <f t="shared" ca="1" si="8"/>
        <v>1069</v>
      </c>
      <c r="M67">
        <f t="shared" ca="1" si="8"/>
        <v>2139</v>
      </c>
      <c r="N67">
        <f t="shared" ca="1" si="8"/>
        <v>3920</v>
      </c>
      <c r="O67">
        <f t="shared" ca="1" si="8"/>
        <v>20514</v>
      </c>
      <c r="P67">
        <f t="shared" ca="1" si="8"/>
        <v>180</v>
      </c>
      <c r="Q67">
        <f t="shared" ca="1" si="8"/>
        <v>4551</v>
      </c>
      <c r="R67">
        <f t="shared" ca="1" si="8"/>
        <v>2419</v>
      </c>
      <c r="S67">
        <f t="shared" ca="1" si="8"/>
        <v>61104</v>
      </c>
      <c r="T67" t="str">
        <f t="shared" ref="T67:T76" si="10">A67&amp;B67</f>
        <v>深圳2012-10</v>
      </c>
      <c r="U67">
        <f t="shared" ref="U67:U76" ca="1" si="11">C67</f>
        <v>0</v>
      </c>
    </row>
    <row r="68" spans="1:21" x14ac:dyDescent="0.15">
      <c r="A68" t="str">
        <f>公司整体!A68</f>
        <v>四川</v>
      </c>
      <c r="B68" t="str">
        <f>公司整体!B68</f>
        <v>2012-10</v>
      </c>
      <c r="C68">
        <f ca="1">INDIRECT(ADDRESS(ROW(C68),MATCH(公司各渠道指标可视化!$C$4,公司整体!$1:$1,0),3,1,"公司整体"),TRUE)</f>
        <v>0</v>
      </c>
      <c r="E68" t="str">
        <f t="shared" ca="1" si="9"/>
        <v>2017-12</v>
      </c>
      <c r="F68">
        <f t="shared" ca="1" si="7"/>
        <v>2803</v>
      </c>
      <c r="G68">
        <f t="shared" ca="1" si="7"/>
        <v>1394</v>
      </c>
      <c r="H68">
        <f t="shared" ca="1" si="8"/>
        <v>7675</v>
      </c>
      <c r="I68">
        <f t="shared" ca="1" si="8"/>
        <v>2654</v>
      </c>
      <c r="J68">
        <f t="shared" ca="1" si="8"/>
        <v>119</v>
      </c>
      <c r="K68">
        <f t="shared" ca="1" si="8"/>
        <v>2440</v>
      </c>
      <c r="L68">
        <f t="shared" ca="1" si="8"/>
        <v>1009</v>
      </c>
      <c r="M68">
        <f t="shared" ca="1" si="8"/>
        <v>2061</v>
      </c>
      <c r="N68">
        <f t="shared" ca="1" si="8"/>
        <v>4919</v>
      </c>
      <c r="O68">
        <f t="shared" ca="1" si="8"/>
        <v>18730</v>
      </c>
      <c r="P68">
        <f t="shared" ca="1" si="8"/>
        <v>28</v>
      </c>
      <c r="Q68">
        <f t="shared" ca="1" si="8"/>
        <v>2053</v>
      </c>
      <c r="R68">
        <f t="shared" ca="1" si="8"/>
        <v>1434</v>
      </c>
      <c r="S68">
        <f t="shared" ca="1" si="8"/>
        <v>47321</v>
      </c>
      <c r="T68" t="str">
        <f t="shared" si="10"/>
        <v>四川2012-10</v>
      </c>
      <c r="U68">
        <f t="shared" ca="1" si="11"/>
        <v>0</v>
      </c>
    </row>
    <row r="69" spans="1:21" x14ac:dyDescent="0.15">
      <c r="A69" t="str">
        <f>公司整体!A69</f>
        <v>苏州</v>
      </c>
      <c r="B69" t="str">
        <f>公司整体!B69</f>
        <v>2012-10</v>
      </c>
      <c r="C69">
        <f ca="1">INDIRECT(ADDRESS(ROW(C69),MATCH(公司各渠道指标可视化!$C$4,公司整体!$1:$1,0),3,1,"公司整体"),TRUE)</f>
        <v>0</v>
      </c>
      <c r="E69" t="str">
        <f t="shared" ca="1" si="9"/>
        <v>2018-01</v>
      </c>
      <c r="F69">
        <f t="shared" ca="1" si="7"/>
        <v>16366</v>
      </c>
      <c r="G69">
        <f t="shared" ca="1" si="7"/>
        <v>23080</v>
      </c>
      <c r="H69">
        <f t="shared" ca="1" si="8"/>
        <v>111168</v>
      </c>
      <c r="I69">
        <f t="shared" ca="1" si="8"/>
        <v>17756</v>
      </c>
      <c r="J69">
        <f t="shared" ca="1" si="8"/>
        <v>4756</v>
      </c>
      <c r="K69">
        <f t="shared" ca="1" si="8"/>
        <v>47216</v>
      </c>
      <c r="L69">
        <f t="shared" ca="1" si="8"/>
        <v>4585</v>
      </c>
      <c r="M69">
        <f t="shared" ca="1" si="8"/>
        <v>4058</v>
      </c>
      <c r="N69">
        <f t="shared" ca="1" si="8"/>
        <v>26307</v>
      </c>
      <c r="O69">
        <f t="shared" ca="1" si="8"/>
        <v>72332</v>
      </c>
      <c r="P69">
        <f t="shared" ca="1" si="8"/>
        <v>10811</v>
      </c>
      <c r="Q69">
        <f t="shared" ca="1" si="8"/>
        <v>15276</v>
      </c>
      <c r="R69">
        <f t="shared" ca="1" si="8"/>
        <v>9373</v>
      </c>
      <c r="S69">
        <f t="shared" ca="1" si="8"/>
        <v>363082</v>
      </c>
      <c r="T69" t="str">
        <f t="shared" si="10"/>
        <v>苏州2012-10</v>
      </c>
      <c r="U69">
        <f t="shared" ca="1" si="11"/>
        <v>0</v>
      </c>
    </row>
    <row r="70" spans="1:21" x14ac:dyDescent="0.15">
      <c r="A70" t="str">
        <f>公司整体!A70</f>
        <v>中山</v>
      </c>
      <c r="B70" t="str">
        <f>公司整体!B70</f>
        <v>2012-10</v>
      </c>
      <c r="C70">
        <f ca="1">INDIRECT(ADDRESS(ROW(C70),MATCH(公司各渠道指标可视化!$C$4,公司整体!$1:$1,0),3,1,"公司整体"),TRUE)</f>
        <v>0</v>
      </c>
      <c r="E70" t="str">
        <f t="shared" ca="1" si="9"/>
        <v>2018-02</v>
      </c>
      <c r="F70">
        <f t="shared" ca="1" si="7"/>
        <v>11487</v>
      </c>
      <c r="G70">
        <f t="shared" ca="1" si="7"/>
        <v>16074</v>
      </c>
      <c r="H70">
        <f t="shared" ca="1" si="8"/>
        <v>77017</v>
      </c>
      <c r="I70">
        <f t="shared" ca="1" si="8"/>
        <v>11463</v>
      </c>
      <c r="J70">
        <f t="shared" ca="1" si="8"/>
        <v>21060</v>
      </c>
      <c r="K70">
        <f t="shared" ca="1" si="8"/>
        <v>237398</v>
      </c>
      <c r="L70">
        <f t="shared" ca="1" si="8"/>
        <v>6398</v>
      </c>
      <c r="M70">
        <f t="shared" ca="1" si="8"/>
        <v>5695</v>
      </c>
      <c r="N70">
        <f t="shared" ca="1" si="8"/>
        <v>11224</v>
      </c>
      <c r="O70">
        <f t="shared" ca="1" si="8"/>
        <v>160776</v>
      </c>
      <c r="P70">
        <f t="shared" ca="1" si="8"/>
        <v>7889</v>
      </c>
      <c r="Q70">
        <f t="shared" ca="1" si="8"/>
        <v>10618</v>
      </c>
      <c r="R70">
        <f t="shared" ca="1" si="8"/>
        <v>6225</v>
      </c>
      <c r="S70">
        <f t="shared" ca="1" si="8"/>
        <v>583324</v>
      </c>
      <c r="T70" t="str">
        <f t="shared" si="10"/>
        <v>中山2012-10</v>
      </c>
      <c r="U70">
        <f t="shared" ca="1" si="11"/>
        <v>0</v>
      </c>
    </row>
    <row r="71" spans="1:21" x14ac:dyDescent="0.15">
      <c r="A71" t="str">
        <f>公司整体!A71</f>
        <v>珠海</v>
      </c>
      <c r="B71" t="str">
        <f>公司整体!B71</f>
        <v>2012-10</v>
      </c>
      <c r="C71">
        <f ca="1">INDIRECT(ADDRESS(ROW(C71),MATCH(公司各渠道指标可视化!$C$4,公司整体!$1:$1,0),3,1,"公司整体"),TRUE)</f>
        <v>0</v>
      </c>
      <c r="E71" t="str">
        <f t="shared" ca="1" si="9"/>
        <v>2018-03</v>
      </c>
      <c r="F71">
        <f t="shared" ca="1" si="7"/>
        <v>22056</v>
      </c>
      <c r="G71">
        <f t="shared" ca="1" si="7"/>
        <v>18355</v>
      </c>
      <c r="H71">
        <f t="shared" ca="1" si="8"/>
        <v>104386</v>
      </c>
      <c r="I71">
        <f t="shared" ca="1" si="8"/>
        <v>30520</v>
      </c>
      <c r="J71">
        <f t="shared" ca="1" si="8"/>
        <v>15377</v>
      </c>
      <c r="K71">
        <f t="shared" ca="1" si="8"/>
        <v>70562</v>
      </c>
      <c r="L71">
        <f t="shared" ca="1" si="8"/>
        <v>15802</v>
      </c>
      <c r="M71">
        <f t="shared" ca="1" si="8"/>
        <v>5467</v>
      </c>
      <c r="N71">
        <f t="shared" ca="1" si="8"/>
        <v>23206</v>
      </c>
      <c r="O71">
        <f t="shared" ca="1" si="8"/>
        <v>82192</v>
      </c>
      <c r="P71">
        <f t="shared" ca="1" si="8"/>
        <v>4321</v>
      </c>
      <c r="Q71">
        <f t="shared" ca="1" si="8"/>
        <v>19026</v>
      </c>
      <c r="R71">
        <f t="shared" ca="1" si="8"/>
        <v>14516</v>
      </c>
      <c r="S71">
        <f t="shared" ca="1" si="8"/>
        <v>425786</v>
      </c>
      <c r="T71" t="str">
        <f t="shared" si="10"/>
        <v>珠海2012-10</v>
      </c>
      <c r="U71">
        <f t="shared" ca="1" si="11"/>
        <v>0</v>
      </c>
    </row>
    <row r="72" spans="1:21" x14ac:dyDescent="0.15">
      <c r="A72" t="str">
        <f>公司整体!A72</f>
        <v>东莞</v>
      </c>
      <c r="B72" t="str">
        <f>公司整体!B72</f>
        <v>2012-11</v>
      </c>
      <c r="C72">
        <f ca="1">INDIRECT(ADDRESS(ROW(C72),MATCH(公司各渠道指标可视化!$C$4,公司整体!$1:$1,0),3,1,"公司整体"),TRUE)</f>
        <v>0</v>
      </c>
      <c r="E72" t="str">
        <f t="shared" ca="1" si="9"/>
        <v>2018-04</v>
      </c>
      <c r="F72">
        <f t="shared" ca="1" si="7"/>
        <v>34</v>
      </c>
      <c r="G72">
        <f t="shared" ca="1" si="7"/>
        <v>1828</v>
      </c>
      <c r="H72">
        <f t="shared" ca="1" si="8"/>
        <v>40457</v>
      </c>
      <c r="I72">
        <f t="shared" ca="1" si="8"/>
        <v>9757</v>
      </c>
      <c r="J72">
        <f t="shared" ca="1" si="8"/>
        <v>-723</v>
      </c>
      <c r="K72">
        <f t="shared" ca="1" si="8"/>
        <v>-492</v>
      </c>
      <c r="L72">
        <f t="shared" ca="1" si="8"/>
        <v>-66</v>
      </c>
      <c r="M72">
        <f t="shared" ca="1" si="8"/>
        <v>-67</v>
      </c>
      <c r="N72">
        <f t="shared" ca="1" si="8"/>
        <v>17558</v>
      </c>
      <c r="O72">
        <f t="shared" ca="1" si="8"/>
        <v>12997</v>
      </c>
      <c r="P72">
        <f t="shared" ca="1" si="8"/>
        <v>87</v>
      </c>
      <c r="Q72">
        <f t="shared" ca="1" si="8"/>
        <v>1486</v>
      </c>
      <c r="R72">
        <f t="shared" ca="1" si="8"/>
        <v>2896</v>
      </c>
      <c r="S72">
        <f t="shared" ca="1" si="8"/>
        <v>85753</v>
      </c>
      <c r="T72" t="str">
        <f t="shared" si="10"/>
        <v>东莞2012-11</v>
      </c>
      <c r="U72">
        <f t="shared" ca="1" si="11"/>
        <v>0</v>
      </c>
    </row>
    <row r="73" spans="1:21" x14ac:dyDescent="0.15">
      <c r="A73" t="str">
        <f>公司整体!A73</f>
        <v>佛山</v>
      </c>
      <c r="B73" t="str">
        <f>公司整体!B73</f>
        <v>2012-11</v>
      </c>
      <c r="C73">
        <f ca="1">INDIRECT(ADDRESS(ROW(C73),MATCH(公司各渠道指标可视化!$C$4,公司整体!$1:$1,0),3,1,"公司整体"),TRUE)</f>
        <v>0</v>
      </c>
      <c r="E73" t="str">
        <f t="shared" ca="1" si="9"/>
        <v>2018-05</v>
      </c>
      <c r="F73">
        <f t="shared" ca="1" si="7"/>
        <v>2101</v>
      </c>
      <c r="G73">
        <f t="shared" ca="1" si="7"/>
        <v>5320</v>
      </c>
      <c r="H73">
        <f t="shared" ca="1" si="8"/>
        <v>56488</v>
      </c>
      <c r="I73">
        <f t="shared" ca="1" si="8"/>
        <v>29366</v>
      </c>
      <c r="J73">
        <f t="shared" ca="1" si="8"/>
        <v>3375</v>
      </c>
      <c r="K73">
        <f t="shared" ca="1" si="8"/>
        <v>3510</v>
      </c>
      <c r="L73">
        <f t="shared" ca="1" si="8"/>
        <v>1321</v>
      </c>
      <c r="M73">
        <f t="shared" ca="1" si="8"/>
        <v>160</v>
      </c>
      <c r="N73">
        <f t="shared" ca="1" si="8"/>
        <v>27681</v>
      </c>
      <c r="O73">
        <f t="shared" ca="1" si="8"/>
        <v>22607</v>
      </c>
      <c r="P73">
        <f t="shared" ca="1" si="8"/>
        <v>3940</v>
      </c>
      <c r="Q73">
        <f t="shared" ca="1" si="8"/>
        <v>2945</v>
      </c>
      <c r="R73">
        <f t="shared" ca="1" si="8"/>
        <v>5899</v>
      </c>
      <c r="S73">
        <f t="shared" ca="1" si="8"/>
        <v>164714</v>
      </c>
      <c r="T73" t="str">
        <f t="shared" si="10"/>
        <v>佛山2012-11</v>
      </c>
      <c r="U73">
        <f t="shared" ca="1" si="11"/>
        <v>0</v>
      </c>
    </row>
    <row r="74" spans="1:21" x14ac:dyDescent="0.15">
      <c r="A74" t="str">
        <f>公司整体!A74</f>
        <v>广东</v>
      </c>
      <c r="B74" t="str">
        <f>公司整体!B74</f>
        <v>2012-11</v>
      </c>
      <c r="C74">
        <f ca="1">INDIRECT(ADDRESS(ROW(C74),MATCH(公司各渠道指标可视化!$C$4,公司整体!$1:$1,0),3,1,"公司整体"),TRUE)</f>
        <v>0</v>
      </c>
      <c r="E74" t="str">
        <f t="shared" ca="1" si="9"/>
        <v>2018-06</v>
      </c>
      <c r="F74">
        <f t="shared" ca="1" si="7"/>
        <v>4535</v>
      </c>
      <c r="G74">
        <f t="shared" ca="1" si="7"/>
        <v>7323</v>
      </c>
      <c r="H74">
        <f t="shared" ca="1" si="8"/>
        <v>49520</v>
      </c>
      <c r="I74">
        <f t="shared" ca="1" si="8"/>
        <v>28600</v>
      </c>
      <c r="J74">
        <f t="shared" ca="1" si="8"/>
        <v>6246</v>
      </c>
      <c r="K74">
        <f t="shared" ca="1" si="8"/>
        <v>2905</v>
      </c>
      <c r="L74">
        <f t="shared" ca="1" si="8"/>
        <v>1172</v>
      </c>
      <c r="M74">
        <f t="shared" ca="1" si="8"/>
        <v>170</v>
      </c>
      <c r="N74">
        <f t="shared" ca="1" si="8"/>
        <v>17216</v>
      </c>
      <c r="O74">
        <f t="shared" ca="1" si="8"/>
        <v>18199</v>
      </c>
      <c r="P74">
        <f t="shared" ca="1" si="8"/>
        <v>2015</v>
      </c>
      <c r="Q74">
        <f t="shared" ca="1" si="8"/>
        <v>2842</v>
      </c>
      <c r="R74">
        <f t="shared" ca="1" si="8"/>
        <v>7097</v>
      </c>
      <c r="S74">
        <f t="shared" ca="1" si="8"/>
        <v>147840</v>
      </c>
      <c r="T74" t="str">
        <f t="shared" si="10"/>
        <v>广东2012-11</v>
      </c>
      <c r="U74">
        <f t="shared" ca="1" si="11"/>
        <v>0</v>
      </c>
    </row>
    <row r="75" spans="1:21" x14ac:dyDescent="0.15">
      <c r="A75" t="str">
        <f>公司整体!A75</f>
        <v>广州</v>
      </c>
      <c r="B75" t="str">
        <f>公司整体!B75</f>
        <v>2012-11</v>
      </c>
      <c r="C75">
        <f ca="1">INDIRECT(ADDRESS(ROW(C75),MATCH(公司各渠道指标可视化!$C$4,公司整体!$1:$1,0),3,1,"公司整体"),TRUE)</f>
        <v>0</v>
      </c>
      <c r="E75" t="str">
        <f ca="1">INDIRECT(ADDRESS(14*ROW(A74)-12,2,1,1,"图表数据"),TRUE)</f>
        <v>2018-07</v>
      </c>
      <c r="F75">
        <f t="shared" ca="1" si="7"/>
        <v>4142</v>
      </c>
      <c r="G75">
        <f t="shared" ca="1" si="7"/>
        <v>11738</v>
      </c>
      <c r="H75">
        <f t="shared" ca="1" si="8"/>
        <v>45928</v>
      </c>
      <c r="I75">
        <f t="shared" ca="1" si="8"/>
        <v>25479</v>
      </c>
      <c r="J75">
        <f t="shared" ca="1" si="8"/>
        <v>7914</v>
      </c>
      <c r="K75">
        <f t="shared" ca="1" si="8"/>
        <v>2685</v>
      </c>
      <c r="L75">
        <f t="shared" ca="1" si="8"/>
        <v>1321</v>
      </c>
      <c r="M75">
        <f t="shared" ca="1" si="8"/>
        <v>112</v>
      </c>
      <c r="N75">
        <f t="shared" ca="1" si="8"/>
        <v>7109</v>
      </c>
      <c r="O75">
        <f t="shared" ca="1" si="8"/>
        <v>21523</v>
      </c>
      <c r="P75">
        <f t="shared" ca="1" si="8"/>
        <v>1207</v>
      </c>
      <c r="Q75">
        <f t="shared" ca="1" si="8"/>
        <v>2763</v>
      </c>
      <c r="R75">
        <f t="shared" ca="1" si="8"/>
        <v>6577</v>
      </c>
      <c r="S75">
        <f t="shared" ca="1" si="8"/>
        <v>138496</v>
      </c>
      <c r="T75" t="str">
        <f t="shared" si="10"/>
        <v>广州2012-11</v>
      </c>
      <c r="U75">
        <f t="shared" ca="1" si="11"/>
        <v>0</v>
      </c>
    </row>
    <row r="76" spans="1:21" x14ac:dyDescent="0.15">
      <c r="A76" t="str">
        <f>公司整体!A76</f>
        <v>湖北</v>
      </c>
      <c r="B76" t="str">
        <f>公司整体!B76</f>
        <v>2012-11</v>
      </c>
      <c r="C76">
        <f ca="1">INDIRECT(ADDRESS(ROW(C76),MATCH(公司各渠道指标可视化!$C$4,公司整体!$1:$1,0),3,1,"公司整体"),TRUE)</f>
        <v>0</v>
      </c>
      <c r="E76" t="str">
        <f t="shared" ref="E76:E77" ca="1" si="12">INDIRECT(ADDRESS(14*ROW(A75)-12,2,1,1,"图表数据"),TRUE)</f>
        <v>2018-08</v>
      </c>
      <c r="F76">
        <f t="shared" ca="1" si="7"/>
        <v>2688</v>
      </c>
      <c r="G76">
        <f t="shared" ca="1" si="7"/>
        <v>10495</v>
      </c>
      <c r="H76">
        <f t="shared" ca="1" si="8"/>
        <v>56066</v>
      </c>
      <c r="I76">
        <f t="shared" ca="1" si="8"/>
        <v>19468</v>
      </c>
      <c r="J76">
        <f t="shared" ca="1" si="8"/>
        <v>11218</v>
      </c>
      <c r="K76">
        <f t="shared" ca="1" si="8"/>
        <v>3585</v>
      </c>
      <c r="L76">
        <f t="shared" ca="1" si="8"/>
        <v>797</v>
      </c>
      <c r="M76">
        <f t="shared" ca="1" si="8"/>
        <v>76</v>
      </c>
      <c r="N76">
        <f t="shared" ca="1" si="8"/>
        <v>9473</v>
      </c>
      <c r="O76">
        <f t="shared" ca="1" si="8"/>
        <v>19862</v>
      </c>
      <c r="P76">
        <f t="shared" ca="1" si="8"/>
        <v>1165</v>
      </c>
      <c r="Q76">
        <f t="shared" ca="1" si="8"/>
        <v>2329</v>
      </c>
      <c r="R76">
        <f t="shared" ca="1" si="8"/>
        <v>6539</v>
      </c>
      <c r="S76">
        <f t="shared" ca="1" si="8"/>
        <v>143763</v>
      </c>
      <c r="T76" t="str">
        <f t="shared" si="10"/>
        <v>湖北2012-11</v>
      </c>
      <c r="U76">
        <f t="shared" ca="1" si="11"/>
        <v>0</v>
      </c>
    </row>
    <row r="77" spans="1:21" x14ac:dyDescent="0.15">
      <c r="A77" t="str">
        <f>公司整体!A77</f>
        <v>机构</v>
      </c>
      <c r="B77" t="str">
        <f>公司整体!B77</f>
        <v>2012-11</v>
      </c>
      <c r="C77">
        <f ca="1">INDIRECT(ADDRESS(ROW(C77),MATCH(公司各渠道指标可视化!$C$4,公司整体!$1:$1,0),3,1,"公司整体"),TRUE)</f>
        <v>0</v>
      </c>
      <c r="E77" t="str">
        <f t="shared" ca="1" si="12"/>
        <v>2018-09</v>
      </c>
      <c r="F77">
        <f t="shared" ca="1" si="7"/>
        <v>2270</v>
      </c>
      <c r="G77">
        <f t="shared" ca="1" si="7"/>
        <v>21122</v>
      </c>
      <c r="H77">
        <f t="shared" ca="1" si="8"/>
        <v>49008</v>
      </c>
      <c r="I77">
        <f t="shared" ca="1" si="8"/>
        <v>21362</v>
      </c>
      <c r="J77">
        <f t="shared" ca="1" si="8"/>
        <v>13603</v>
      </c>
      <c r="K77">
        <f t="shared" ca="1" si="8"/>
        <v>3988</v>
      </c>
      <c r="L77">
        <f t="shared" ca="1" si="8"/>
        <v>912</v>
      </c>
      <c r="M77">
        <f t="shared" ca="1" si="8"/>
        <v>372</v>
      </c>
      <c r="N77">
        <f t="shared" ca="1" si="8"/>
        <v>8890</v>
      </c>
      <c r="O77">
        <f t="shared" ca="1" si="8"/>
        <v>21439</v>
      </c>
      <c r="P77">
        <f t="shared" ca="1" si="8"/>
        <v>5683</v>
      </c>
      <c r="Q77">
        <f t="shared" ca="1" si="8"/>
        <v>4188</v>
      </c>
      <c r="R77">
        <f t="shared" ca="1" si="8"/>
        <v>5889</v>
      </c>
      <c r="S77">
        <f t="shared" ca="1" si="8"/>
        <v>158725</v>
      </c>
      <c r="T77" t="str">
        <f t="shared" ref="T77:T86" si="13">A77&amp;B77</f>
        <v>机构2012-11</v>
      </c>
      <c r="U77">
        <f t="shared" ref="U77:U86" ca="1" si="14">C77</f>
        <v>0</v>
      </c>
    </row>
    <row r="78" spans="1:21" x14ac:dyDescent="0.15">
      <c r="A78" t="str">
        <f>公司整体!A78</f>
        <v>江苏</v>
      </c>
      <c r="B78" t="str">
        <f>公司整体!B78</f>
        <v>2012-11</v>
      </c>
      <c r="C78">
        <f ca="1">INDIRECT(ADDRESS(ROW(C78),MATCH(公司各渠道指标可视化!$C$4,公司整体!$1:$1,0),3,1,"公司整体"),TRUE)</f>
        <v>0</v>
      </c>
      <c r="E78" t="str">
        <f t="shared" ref="E78" ca="1" si="15">INDIRECT(ADDRESS(14*ROW(A77)-12,2,1,1,"图表数据"),TRUE)</f>
        <v>2018-10</v>
      </c>
      <c r="F78">
        <f t="shared" ca="1" si="7"/>
        <v>7226</v>
      </c>
      <c r="G78">
        <f t="shared" ca="1" si="7"/>
        <v>22578</v>
      </c>
      <c r="H78">
        <f t="shared" ca="1" si="8"/>
        <v>45810</v>
      </c>
      <c r="I78">
        <f t="shared" ca="1" si="8"/>
        <v>24257</v>
      </c>
      <c r="J78">
        <f t="shared" ca="1" si="8"/>
        <v>11601</v>
      </c>
      <c r="K78">
        <f t="shared" ca="1" si="8"/>
        <v>14051</v>
      </c>
      <c r="L78">
        <f t="shared" ca="1" si="8"/>
        <v>3073</v>
      </c>
      <c r="M78">
        <f t="shared" ca="1" si="8"/>
        <v>339</v>
      </c>
      <c r="N78">
        <f t="shared" ca="1" si="8"/>
        <v>17282</v>
      </c>
      <c r="O78">
        <f t="shared" ca="1" si="8"/>
        <v>47766</v>
      </c>
      <c r="P78">
        <f t="shared" ca="1" si="8"/>
        <v>6448</v>
      </c>
      <c r="Q78">
        <f t="shared" ca="1" si="8"/>
        <v>3174</v>
      </c>
      <c r="R78">
        <f t="shared" ca="1" si="8"/>
        <v>5820</v>
      </c>
      <c r="S78">
        <f t="shared" ca="1" si="8"/>
        <v>209427</v>
      </c>
      <c r="T78" t="str">
        <f t="shared" si="13"/>
        <v>江苏2012-11</v>
      </c>
      <c r="U78">
        <f t="shared" ca="1" si="14"/>
        <v>0</v>
      </c>
    </row>
    <row r="79" spans="1:21" x14ac:dyDescent="0.15">
      <c r="A79" t="str">
        <f>公司整体!A79</f>
        <v>山东</v>
      </c>
      <c r="B79" t="str">
        <f>公司整体!B79</f>
        <v>2012-11</v>
      </c>
      <c r="C79">
        <f ca="1">INDIRECT(ADDRESS(ROW(C79),MATCH(公司各渠道指标可视化!$C$4,公司整体!$1:$1,0),3,1,"公司整体"),TRUE)</f>
        <v>0</v>
      </c>
      <c r="E79" t="str">
        <f t="shared" ref="E79" ca="1" si="16">INDIRECT(ADDRESS(14*ROW(A78)-12,2,1,1,"图表数据"),TRUE)</f>
        <v>2018-11</v>
      </c>
      <c r="F79">
        <f t="shared" ca="1" si="7"/>
        <v>10158</v>
      </c>
      <c r="G79">
        <f t="shared" ca="1" si="7"/>
        <v>33720</v>
      </c>
      <c r="H79">
        <f t="shared" ca="1" si="8"/>
        <v>44296</v>
      </c>
      <c r="I79">
        <f t="shared" ca="1" si="8"/>
        <v>24496</v>
      </c>
      <c r="J79">
        <f t="shared" ca="1" si="8"/>
        <v>9755</v>
      </c>
      <c r="K79">
        <f t="shared" ca="1" si="8"/>
        <v>26815</v>
      </c>
      <c r="L79">
        <f t="shared" ca="1" si="8"/>
        <v>8455</v>
      </c>
      <c r="M79">
        <f t="shared" ca="1" si="8"/>
        <v>47</v>
      </c>
      <c r="N79">
        <f t="shared" ca="1" si="8"/>
        <v>24641</v>
      </c>
      <c r="O79">
        <f t="shared" ref="O79:S79" ca="1" si="17">VLOOKUP(O$1&amp;$E79,$T:$U,2,0)</f>
        <v>40015</v>
      </c>
      <c r="P79">
        <f t="shared" ca="1" si="17"/>
        <v>4960</v>
      </c>
      <c r="Q79">
        <f t="shared" ca="1" si="17"/>
        <v>3720</v>
      </c>
      <c r="R79">
        <f t="shared" ca="1" si="17"/>
        <v>8372</v>
      </c>
      <c r="S79">
        <f t="shared" ca="1" si="17"/>
        <v>239449</v>
      </c>
      <c r="T79" t="str">
        <f t="shared" si="13"/>
        <v>山东2012-11</v>
      </c>
      <c r="U79">
        <f t="shared" ca="1" si="14"/>
        <v>0</v>
      </c>
    </row>
    <row r="80" spans="1:21" x14ac:dyDescent="0.15">
      <c r="A80" t="str">
        <f>公司整体!A80</f>
        <v>上海</v>
      </c>
      <c r="B80" t="str">
        <f>公司整体!B80</f>
        <v>2012-11</v>
      </c>
      <c r="C80">
        <f ca="1">INDIRECT(ADDRESS(ROW(C80),MATCH(公司各渠道指标可视化!$C$4,公司整体!$1:$1,0),3,1,"公司整体"),TRUE)</f>
        <v>0</v>
      </c>
      <c r="T80" t="str">
        <f t="shared" si="13"/>
        <v>上海2012-11</v>
      </c>
      <c r="U80">
        <f t="shared" ca="1" si="14"/>
        <v>0</v>
      </c>
    </row>
    <row r="81" spans="1:21" x14ac:dyDescent="0.15">
      <c r="A81" t="str">
        <f>公司整体!A81</f>
        <v>深圳</v>
      </c>
      <c r="B81" t="str">
        <f>公司整体!B81</f>
        <v>2012-11</v>
      </c>
      <c r="C81">
        <f ca="1">INDIRECT(ADDRESS(ROW(C81),MATCH(公司各渠道指标可视化!$C$4,公司整体!$1:$1,0),3,1,"公司整体"),TRUE)</f>
        <v>0</v>
      </c>
      <c r="T81" t="str">
        <f t="shared" si="13"/>
        <v>深圳2012-11</v>
      </c>
      <c r="U81">
        <f t="shared" ca="1" si="14"/>
        <v>0</v>
      </c>
    </row>
    <row r="82" spans="1:21" x14ac:dyDescent="0.15">
      <c r="A82" t="str">
        <f>公司整体!A82</f>
        <v>四川</v>
      </c>
      <c r="B82" t="str">
        <f>公司整体!B82</f>
        <v>2012-11</v>
      </c>
      <c r="C82">
        <f ca="1">INDIRECT(ADDRESS(ROW(C82),MATCH(公司各渠道指标可视化!$C$4,公司整体!$1:$1,0),3,1,"公司整体"),TRUE)</f>
        <v>0</v>
      </c>
      <c r="T82" t="str">
        <f t="shared" si="13"/>
        <v>四川2012-11</v>
      </c>
      <c r="U82">
        <f t="shared" ca="1" si="14"/>
        <v>0</v>
      </c>
    </row>
    <row r="83" spans="1:21" x14ac:dyDescent="0.15">
      <c r="A83" t="str">
        <f>公司整体!A83</f>
        <v>苏州</v>
      </c>
      <c r="B83" t="str">
        <f>公司整体!B83</f>
        <v>2012-11</v>
      </c>
      <c r="C83">
        <f ca="1">INDIRECT(ADDRESS(ROW(C83),MATCH(公司各渠道指标可视化!$C$4,公司整体!$1:$1,0),3,1,"公司整体"),TRUE)</f>
        <v>0</v>
      </c>
      <c r="T83" t="str">
        <f t="shared" si="13"/>
        <v>苏州2012-11</v>
      </c>
      <c r="U83">
        <f t="shared" ca="1" si="14"/>
        <v>0</v>
      </c>
    </row>
    <row r="84" spans="1:21" x14ac:dyDescent="0.15">
      <c r="A84" t="str">
        <f>公司整体!A84</f>
        <v>中山</v>
      </c>
      <c r="B84" t="str">
        <f>公司整体!B84</f>
        <v>2012-11</v>
      </c>
      <c r="C84">
        <f ca="1">INDIRECT(ADDRESS(ROW(C84),MATCH(公司各渠道指标可视化!$C$4,公司整体!$1:$1,0),3,1,"公司整体"),TRUE)</f>
        <v>0</v>
      </c>
      <c r="T84" t="str">
        <f t="shared" si="13"/>
        <v>中山2012-11</v>
      </c>
      <c r="U84">
        <f t="shared" ca="1" si="14"/>
        <v>0</v>
      </c>
    </row>
    <row r="85" spans="1:21" x14ac:dyDescent="0.15">
      <c r="A85" t="str">
        <f>公司整体!A85</f>
        <v>珠海</v>
      </c>
      <c r="B85" t="str">
        <f>公司整体!B85</f>
        <v>2012-11</v>
      </c>
      <c r="C85">
        <f ca="1">INDIRECT(ADDRESS(ROW(C85),MATCH(公司各渠道指标可视化!$C$4,公司整体!$1:$1,0),3,1,"公司整体"),TRUE)</f>
        <v>0</v>
      </c>
      <c r="T85" t="str">
        <f t="shared" si="13"/>
        <v>珠海2012-11</v>
      </c>
      <c r="U85">
        <f t="shared" ca="1" si="14"/>
        <v>0</v>
      </c>
    </row>
    <row r="86" spans="1:21" x14ac:dyDescent="0.15">
      <c r="A86" t="str">
        <f>公司整体!A86</f>
        <v>东莞</v>
      </c>
      <c r="B86" t="str">
        <f>公司整体!B86</f>
        <v>2012-12</v>
      </c>
      <c r="C86">
        <f ca="1">INDIRECT(ADDRESS(ROW(C86),MATCH(公司各渠道指标可视化!$C$4,公司整体!$1:$1,0),3,1,"公司整体"),TRUE)</f>
        <v>0</v>
      </c>
      <c r="T86" t="str">
        <f t="shared" si="13"/>
        <v>东莞2012-12</v>
      </c>
      <c r="U86">
        <f t="shared" ca="1" si="14"/>
        <v>0</v>
      </c>
    </row>
    <row r="87" spans="1:21" x14ac:dyDescent="0.15">
      <c r="A87" t="str">
        <f>公司整体!A87</f>
        <v>佛山</v>
      </c>
      <c r="B87" t="str">
        <f>公司整体!B87</f>
        <v>2012-12</v>
      </c>
      <c r="C87">
        <f ca="1">INDIRECT(ADDRESS(ROW(C87),MATCH(公司各渠道指标可视化!$C$4,公司整体!$1:$1,0),3,1,"公司整体"),TRUE)</f>
        <v>0</v>
      </c>
      <c r="T87" t="str">
        <f t="shared" ref="T87:T150" si="18">A87&amp;B87</f>
        <v>佛山2012-12</v>
      </c>
      <c r="U87">
        <f t="shared" ref="U87:U150" ca="1" si="19">C87</f>
        <v>0</v>
      </c>
    </row>
    <row r="88" spans="1:21" x14ac:dyDescent="0.15">
      <c r="A88" t="str">
        <f>公司整体!A88</f>
        <v>广东</v>
      </c>
      <c r="B88" t="str">
        <f>公司整体!B88</f>
        <v>2012-12</v>
      </c>
      <c r="C88">
        <f ca="1">INDIRECT(ADDRESS(ROW(C88),MATCH(公司各渠道指标可视化!$C$4,公司整体!$1:$1,0),3,1,"公司整体"),TRUE)</f>
        <v>0</v>
      </c>
      <c r="T88" t="str">
        <f t="shared" si="18"/>
        <v>广东2012-12</v>
      </c>
      <c r="U88">
        <f t="shared" ca="1" si="19"/>
        <v>0</v>
      </c>
    </row>
    <row r="89" spans="1:21" x14ac:dyDescent="0.15">
      <c r="A89" t="str">
        <f>公司整体!A89</f>
        <v>广州</v>
      </c>
      <c r="B89" t="str">
        <f>公司整体!B89</f>
        <v>2012-12</v>
      </c>
      <c r="C89">
        <f ca="1">INDIRECT(ADDRESS(ROW(C89),MATCH(公司各渠道指标可视化!$C$4,公司整体!$1:$1,0),3,1,"公司整体"),TRUE)</f>
        <v>0</v>
      </c>
      <c r="T89" t="str">
        <f t="shared" si="18"/>
        <v>广州2012-12</v>
      </c>
      <c r="U89">
        <f t="shared" ca="1" si="19"/>
        <v>0</v>
      </c>
    </row>
    <row r="90" spans="1:21" x14ac:dyDescent="0.15">
      <c r="A90" t="str">
        <f>公司整体!A90</f>
        <v>湖北</v>
      </c>
      <c r="B90" t="str">
        <f>公司整体!B90</f>
        <v>2012-12</v>
      </c>
      <c r="C90">
        <f ca="1">INDIRECT(ADDRESS(ROW(C90),MATCH(公司各渠道指标可视化!$C$4,公司整体!$1:$1,0),3,1,"公司整体"),TRUE)</f>
        <v>0</v>
      </c>
      <c r="T90" t="str">
        <f t="shared" si="18"/>
        <v>湖北2012-12</v>
      </c>
      <c r="U90">
        <f t="shared" ca="1" si="19"/>
        <v>0</v>
      </c>
    </row>
    <row r="91" spans="1:21" x14ac:dyDescent="0.15">
      <c r="A91" t="str">
        <f>公司整体!A91</f>
        <v>机构</v>
      </c>
      <c r="B91" t="str">
        <f>公司整体!B91</f>
        <v>2012-12</v>
      </c>
      <c r="C91">
        <f ca="1">INDIRECT(ADDRESS(ROW(C91),MATCH(公司各渠道指标可视化!$C$4,公司整体!$1:$1,0),3,1,"公司整体"),TRUE)</f>
        <v>0</v>
      </c>
      <c r="T91" t="str">
        <f t="shared" si="18"/>
        <v>机构2012-12</v>
      </c>
      <c r="U91">
        <f t="shared" ca="1" si="19"/>
        <v>0</v>
      </c>
    </row>
    <row r="92" spans="1:21" x14ac:dyDescent="0.15">
      <c r="A92" t="str">
        <f>公司整体!A92</f>
        <v>江苏</v>
      </c>
      <c r="B92" t="str">
        <f>公司整体!B92</f>
        <v>2012-12</v>
      </c>
      <c r="C92">
        <f ca="1">INDIRECT(ADDRESS(ROW(C92),MATCH(公司各渠道指标可视化!$C$4,公司整体!$1:$1,0),3,1,"公司整体"),TRUE)</f>
        <v>0</v>
      </c>
      <c r="T92" t="str">
        <f t="shared" si="18"/>
        <v>江苏2012-12</v>
      </c>
      <c r="U92">
        <f t="shared" ca="1" si="19"/>
        <v>0</v>
      </c>
    </row>
    <row r="93" spans="1:21" x14ac:dyDescent="0.15">
      <c r="A93" t="str">
        <f>公司整体!A93</f>
        <v>山东</v>
      </c>
      <c r="B93" t="str">
        <f>公司整体!B93</f>
        <v>2012-12</v>
      </c>
      <c r="C93">
        <f ca="1">INDIRECT(ADDRESS(ROW(C93),MATCH(公司各渠道指标可视化!$C$4,公司整体!$1:$1,0),3,1,"公司整体"),TRUE)</f>
        <v>0</v>
      </c>
      <c r="T93" t="str">
        <f t="shared" si="18"/>
        <v>山东2012-12</v>
      </c>
      <c r="U93">
        <f t="shared" ca="1" si="19"/>
        <v>0</v>
      </c>
    </row>
    <row r="94" spans="1:21" x14ac:dyDescent="0.15">
      <c r="A94" t="str">
        <f>公司整体!A94</f>
        <v>上海</v>
      </c>
      <c r="B94" t="str">
        <f>公司整体!B94</f>
        <v>2012-12</v>
      </c>
      <c r="C94">
        <f ca="1">INDIRECT(ADDRESS(ROW(C94),MATCH(公司各渠道指标可视化!$C$4,公司整体!$1:$1,0),3,1,"公司整体"),TRUE)</f>
        <v>0</v>
      </c>
      <c r="T94" t="str">
        <f t="shared" si="18"/>
        <v>上海2012-12</v>
      </c>
      <c r="U94">
        <f t="shared" ca="1" si="19"/>
        <v>0</v>
      </c>
    </row>
    <row r="95" spans="1:21" x14ac:dyDescent="0.15">
      <c r="A95" t="str">
        <f>公司整体!A95</f>
        <v>深圳</v>
      </c>
      <c r="B95" t="str">
        <f>公司整体!B95</f>
        <v>2012-12</v>
      </c>
      <c r="C95">
        <f ca="1">INDIRECT(ADDRESS(ROW(C95),MATCH(公司各渠道指标可视化!$C$4,公司整体!$1:$1,0),3,1,"公司整体"),TRUE)</f>
        <v>0</v>
      </c>
      <c r="T95" t="str">
        <f t="shared" si="18"/>
        <v>深圳2012-12</v>
      </c>
      <c r="U95">
        <f t="shared" ca="1" si="19"/>
        <v>0</v>
      </c>
    </row>
    <row r="96" spans="1:21" x14ac:dyDescent="0.15">
      <c r="A96" t="str">
        <f>公司整体!A96</f>
        <v>四川</v>
      </c>
      <c r="B96" t="str">
        <f>公司整体!B96</f>
        <v>2012-12</v>
      </c>
      <c r="C96">
        <f ca="1">INDIRECT(ADDRESS(ROW(C96),MATCH(公司各渠道指标可视化!$C$4,公司整体!$1:$1,0),3,1,"公司整体"),TRUE)</f>
        <v>0</v>
      </c>
      <c r="T96" t="str">
        <f t="shared" si="18"/>
        <v>四川2012-12</v>
      </c>
      <c r="U96">
        <f t="shared" ca="1" si="19"/>
        <v>0</v>
      </c>
    </row>
    <row r="97" spans="1:21" x14ac:dyDescent="0.15">
      <c r="A97" t="str">
        <f>公司整体!A97</f>
        <v>苏州</v>
      </c>
      <c r="B97" t="str">
        <f>公司整体!B97</f>
        <v>2012-12</v>
      </c>
      <c r="C97">
        <f ca="1">INDIRECT(ADDRESS(ROW(C97),MATCH(公司各渠道指标可视化!$C$4,公司整体!$1:$1,0),3,1,"公司整体"),TRUE)</f>
        <v>0</v>
      </c>
      <c r="T97" t="str">
        <f t="shared" si="18"/>
        <v>苏州2012-12</v>
      </c>
      <c r="U97">
        <f t="shared" ca="1" si="19"/>
        <v>0</v>
      </c>
    </row>
    <row r="98" spans="1:21" x14ac:dyDescent="0.15">
      <c r="A98" t="str">
        <f>公司整体!A98</f>
        <v>中山</v>
      </c>
      <c r="B98" t="str">
        <f>公司整体!B98</f>
        <v>2012-12</v>
      </c>
      <c r="C98">
        <f ca="1">INDIRECT(ADDRESS(ROW(C98),MATCH(公司各渠道指标可视化!$C$4,公司整体!$1:$1,0),3,1,"公司整体"),TRUE)</f>
        <v>0</v>
      </c>
      <c r="T98" t="str">
        <f t="shared" si="18"/>
        <v>中山2012-12</v>
      </c>
      <c r="U98">
        <f t="shared" ca="1" si="19"/>
        <v>0</v>
      </c>
    </row>
    <row r="99" spans="1:21" x14ac:dyDescent="0.15">
      <c r="A99" t="str">
        <f>公司整体!A99</f>
        <v>珠海</v>
      </c>
      <c r="B99" t="str">
        <f>公司整体!B99</f>
        <v>2012-12</v>
      </c>
      <c r="C99">
        <f ca="1">INDIRECT(ADDRESS(ROW(C99),MATCH(公司各渠道指标可视化!$C$4,公司整体!$1:$1,0),3,1,"公司整体"),TRUE)</f>
        <v>0</v>
      </c>
      <c r="T99" t="str">
        <f t="shared" si="18"/>
        <v>珠海2012-12</v>
      </c>
      <c r="U99">
        <f t="shared" ca="1" si="19"/>
        <v>0</v>
      </c>
    </row>
    <row r="100" spans="1:21" x14ac:dyDescent="0.15">
      <c r="A100" t="str">
        <f>公司整体!A100</f>
        <v>东莞</v>
      </c>
      <c r="B100" t="str">
        <f>公司整体!B100</f>
        <v>2013-01</v>
      </c>
      <c r="C100">
        <f ca="1">INDIRECT(ADDRESS(ROW(C100),MATCH(公司各渠道指标可视化!$C$4,公司整体!$1:$1,0),3,1,"公司整体"),TRUE)</f>
        <v>0</v>
      </c>
      <c r="T100" t="str">
        <f t="shared" si="18"/>
        <v>东莞2013-01</v>
      </c>
      <c r="U100">
        <f t="shared" ca="1" si="19"/>
        <v>0</v>
      </c>
    </row>
    <row r="101" spans="1:21" x14ac:dyDescent="0.15">
      <c r="A101" t="str">
        <f>公司整体!A101</f>
        <v>佛山</v>
      </c>
      <c r="B101" t="str">
        <f>公司整体!B101</f>
        <v>2013-01</v>
      </c>
      <c r="C101">
        <f ca="1">INDIRECT(ADDRESS(ROW(C101),MATCH(公司各渠道指标可视化!$C$4,公司整体!$1:$1,0),3,1,"公司整体"),TRUE)</f>
        <v>0</v>
      </c>
      <c r="T101" t="str">
        <f t="shared" si="18"/>
        <v>佛山2013-01</v>
      </c>
      <c r="U101">
        <f t="shared" ca="1" si="19"/>
        <v>0</v>
      </c>
    </row>
    <row r="102" spans="1:21" x14ac:dyDescent="0.15">
      <c r="A102" t="str">
        <f>公司整体!A102</f>
        <v>广东</v>
      </c>
      <c r="B102" t="str">
        <f>公司整体!B102</f>
        <v>2013-01</v>
      </c>
      <c r="C102">
        <f ca="1">INDIRECT(ADDRESS(ROW(C102),MATCH(公司各渠道指标可视化!$C$4,公司整体!$1:$1,0),3,1,"公司整体"),TRUE)</f>
        <v>0</v>
      </c>
      <c r="T102" t="str">
        <f t="shared" si="18"/>
        <v>广东2013-01</v>
      </c>
      <c r="U102">
        <f t="shared" ca="1" si="19"/>
        <v>0</v>
      </c>
    </row>
    <row r="103" spans="1:21" x14ac:dyDescent="0.15">
      <c r="A103" t="str">
        <f>公司整体!A103</f>
        <v>广州</v>
      </c>
      <c r="B103" t="str">
        <f>公司整体!B103</f>
        <v>2013-01</v>
      </c>
      <c r="C103">
        <f ca="1">INDIRECT(ADDRESS(ROW(C103),MATCH(公司各渠道指标可视化!$C$4,公司整体!$1:$1,0),3,1,"公司整体"),TRUE)</f>
        <v>0</v>
      </c>
      <c r="T103" t="str">
        <f t="shared" si="18"/>
        <v>广州2013-01</v>
      </c>
      <c r="U103">
        <f t="shared" ca="1" si="19"/>
        <v>0</v>
      </c>
    </row>
    <row r="104" spans="1:21" x14ac:dyDescent="0.15">
      <c r="A104" t="str">
        <f>公司整体!A104</f>
        <v>湖北</v>
      </c>
      <c r="B104" t="str">
        <f>公司整体!B104</f>
        <v>2013-01</v>
      </c>
      <c r="C104">
        <f ca="1">INDIRECT(ADDRESS(ROW(C104),MATCH(公司各渠道指标可视化!$C$4,公司整体!$1:$1,0),3,1,"公司整体"),TRUE)</f>
        <v>0</v>
      </c>
      <c r="T104" t="str">
        <f t="shared" si="18"/>
        <v>湖北2013-01</v>
      </c>
      <c r="U104">
        <f t="shared" ca="1" si="19"/>
        <v>0</v>
      </c>
    </row>
    <row r="105" spans="1:21" x14ac:dyDescent="0.15">
      <c r="A105" t="str">
        <f>公司整体!A105</f>
        <v>机构</v>
      </c>
      <c r="B105" t="str">
        <f>公司整体!B105</f>
        <v>2013-01</v>
      </c>
      <c r="C105">
        <f ca="1">INDIRECT(ADDRESS(ROW(C105),MATCH(公司各渠道指标可视化!$C$4,公司整体!$1:$1,0),3,1,"公司整体"),TRUE)</f>
        <v>0</v>
      </c>
      <c r="T105" t="str">
        <f t="shared" si="18"/>
        <v>机构2013-01</v>
      </c>
      <c r="U105">
        <f t="shared" ca="1" si="19"/>
        <v>0</v>
      </c>
    </row>
    <row r="106" spans="1:21" x14ac:dyDescent="0.15">
      <c r="A106" t="str">
        <f>公司整体!A106</f>
        <v>江苏</v>
      </c>
      <c r="B106" t="str">
        <f>公司整体!B106</f>
        <v>2013-01</v>
      </c>
      <c r="C106">
        <f ca="1">INDIRECT(ADDRESS(ROW(C106),MATCH(公司各渠道指标可视化!$C$4,公司整体!$1:$1,0),3,1,"公司整体"),TRUE)</f>
        <v>0</v>
      </c>
      <c r="T106" t="str">
        <f t="shared" si="18"/>
        <v>江苏2013-01</v>
      </c>
      <c r="U106">
        <f t="shared" ca="1" si="19"/>
        <v>0</v>
      </c>
    </row>
    <row r="107" spans="1:21" x14ac:dyDescent="0.15">
      <c r="A107" t="str">
        <f>公司整体!A107</f>
        <v>山东</v>
      </c>
      <c r="B107" t="str">
        <f>公司整体!B107</f>
        <v>2013-01</v>
      </c>
      <c r="C107">
        <f ca="1">INDIRECT(ADDRESS(ROW(C107),MATCH(公司各渠道指标可视化!$C$4,公司整体!$1:$1,0),3,1,"公司整体"),TRUE)</f>
        <v>0</v>
      </c>
      <c r="T107" t="str">
        <f t="shared" si="18"/>
        <v>山东2013-01</v>
      </c>
      <c r="U107">
        <f t="shared" ca="1" si="19"/>
        <v>0</v>
      </c>
    </row>
    <row r="108" spans="1:21" x14ac:dyDescent="0.15">
      <c r="A108" t="str">
        <f>公司整体!A108</f>
        <v>上海</v>
      </c>
      <c r="B108" t="str">
        <f>公司整体!B108</f>
        <v>2013-01</v>
      </c>
      <c r="C108">
        <f ca="1">INDIRECT(ADDRESS(ROW(C108),MATCH(公司各渠道指标可视化!$C$4,公司整体!$1:$1,0),3,1,"公司整体"),TRUE)</f>
        <v>0</v>
      </c>
      <c r="T108" t="str">
        <f t="shared" si="18"/>
        <v>上海2013-01</v>
      </c>
      <c r="U108">
        <f t="shared" ca="1" si="19"/>
        <v>0</v>
      </c>
    </row>
    <row r="109" spans="1:21" x14ac:dyDescent="0.15">
      <c r="A109" t="str">
        <f>公司整体!A109</f>
        <v>深圳</v>
      </c>
      <c r="B109" t="str">
        <f>公司整体!B109</f>
        <v>2013-01</v>
      </c>
      <c r="C109">
        <f ca="1">INDIRECT(ADDRESS(ROW(C109),MATCH(公司各渠道指标可视化!$C$4,公司整体!$1:$1,0),3,1,"公司整体"),TRUE)</f>
        <v>0</v>
      </c>
      <c r="T109" t="str">
        <f t="shared" si="18"/>
        <v>深圳2013-01</v>
      </c>
      <c r="U109">
        <f t="shared" ca="1" si="19"/>
        <v>0</v>
      </c>
    </row>
    <row r="110" spans="1:21" x14ac:dyDescent="0.15">
      <c r="A110" t="str">
        <f>公司整体!A110</f>
        <v>四川</v>
      </c>
      <c r="B110" t="str">
        <f>公司整体!B110</f>
        <v>2013-01</v>
      </c>
      <c r="C110">
        <f ca="1">INDIRECT(ADDRESS(ROW(C110),MATCH(公司各渠道指标可视化!$C$4,公司整体!$1:$1,0),3,1,"公司整体"),TRUE)</f>
        <v>0</v>
      </c>
      <c r="T110" t="str">
        <f t="shared" si="18"/>
        <v>四川2013-01</v>
      </c>
      <c r="U110">
        <f t="shared" ca="1" si="19"/>
        <v>0</v>
      </c>
    </row>
    <row r="111" spans="1:21" x14ac:dyDescent="0.15">
      <c r="A111" t="str">
        <f>公司整体!A111</f>
        <v>苏州</v>
      </c>
      <c r="B111" t="str">
        <f>公司整体!B111</f>
        <v>2013-01</v>
      </c>
      <c r="C111">
        <f ca="1">INDIRECT(ADDRESS(ROW(C111),MATCH(公司各渠道指标可视化!$C$4,公司整体!$1:$1,0),3,1,"公司整体"),TRUE)</f>
        <v>0</v>
      </c>
      <c r="T111" t="str">
        <f t="shared" si="18"/>
        <v>苏州2013-01</v>
      </c>
      <c r="U111">
        <f t="shared" ca="1" si="19"/>
        <v>0</v>
      </c>
    </row>
    <row r="112" spans="1:21" x14ac:dyDescent="0.15">
      <c r="A112" t="str">
        <f>公司整体!A112</f>
        <v>中山</v>
      </c>
      <c r="B112" t="str">
        <f>公司整体!B112</f>
        <v>2013-01</v>
      </c>
      <c r="C112">
        <f ca="1">INDIRECT(ADDRESS(ROW(C112),MATCH(公司各渠道指标可视化!$C$4,公司整体!$1:$1,0),3,1,"公司整体"),TRUE)</f>
        <v>0</v>
      </c>
      <c r="T112" t="str">
        <f t="shared" si="18"/>
        <v>中山2013-01</v>
      </c>
      <c r="U112">
        <f t="shared" ca="1" si="19"/>
        <v>0</v>
      </c>
    </row>
    <row r="113" spans="1:21" x14ac:dyDescent="0.15">
      <c r="A113" t="str">
        <f>公司整体!A113</f>
        <v>珠海</v>
      </c>
      <c r="B113" t="str">
        <f>公司整体!B113</f>
        <v>2013-01</v>
      </c>
      <c r="C113">
        <f ca="1">INDIRECT(ADDRESS(ROW(C113),MATCH(公司各渠道指标可视化!$C$4,公司整体!$1:$1,0),3,1,"公司整体"),TRUE)</f>
        <v>0</v>
      </c>
      <c r="T113" t="str">
        <f t="shared" si="18"/>
        <v>珠海2013-01</v>
      </c>
      <c r="U113">
        <f t="shared" ca="1" si="19"/>
        <v>0</v>
      </c>
    </row>
    <row r="114" spans="1:21" x14ac:dyDescent="0.15">
      <c r="A114" t="str">
        <f>公司整体!A114</f>
        <v>东莞</v>
      </c>
      <c r="B114" t="str">
        <f>公司整体!B114</f>
        <v>2013-02</v>
      </c>
      <c r="C114">
        <f ca="1">INDIRECT(ADDRESS(ROW(C114),MATCH(公司各渠道指标可视化!$C$4,公司整体!$1:$1,0),3,1,"公司整体"),TRUE)</f>
        <v>0</v>
      </c>
      <c r="T114" t="str">
        <f t="shared" si="18"/>
        <v>东莞2013-02</v>
      </c>
      <c r="U114">
        <f t="shared" ca="1" si="19"/>
        <v>0</v>
      </c>
    </row>
    <row r="115" spans="1:21" x14ac:dyDescent="0.15">
      <c r="A115" t="str">
        <f>公司整体!A115</f>
        <v>佛山</v>
      </c>
      <c r="B115" t="str">
        <f>公司整体!B115</f>
        <v>2013-02</v>
      </c>
      <c r="C115">
        <f ca="1">INDIRECT(ADDRESS(ROW(C115),MATCH(公司各渠道指标可视化!$C$4,公司整体!$1:$1,0),3,1,"公司整体"),TRUE)</f>
        <v>0</v>
      </c>
      <c r="T115" t="str">
        <f t="shared" si="18"/>
        <v>佛山2013-02</v>
      </c>
      <c r="U115">
        <f t="shared" ca="1" si="19"/>
        <v>0</v>
      </c>
    </row>
    <row r="116" spans="1:21" x14ac:dyDescent="0.15">
      <c r="A116" t="str">
        <f>公司整体!A116</f>
        <v>广东</v>
      </c>
      <c r="B116" t="str">
        <f>公司整体!B116</f>
        <v>2013-02</v>
      </c>
      <c r="C116">
        <f ca="1">INDIRECT(ADDRESS(ROW(C116),MATCH(公司各渠道指标可视化!$C$4,公司整体!$1:$1,0),3,1,"公司整体"),TRUE)</f>
        <v>0</v>
      </c>
      <c r="T116" t="str">
        <f t="shared" si="18"/>
        <v>广东2013-02</v>
      </c>
      <c r="U116">
        <f t="shared" ca="1" si="19"/>
        <v>0</v>
      </c>
    </row>
    <row r="117" spans="1:21" x14ac:dyDescent="0.15">
      <c r="A117" t="str">
        <f>公司整体!A117</f>
        <v>广州</v>
      </c>
      <c r="B117" t="str">
        <f>公司整体!B117</f>
        <v>2013-02</v>
      </c>
      <c r="C117">
        <f ca="1">INDIRECT(ADDRESS(ROW(C117),MATCH(公司各渠道指标可视化!$C$4,公司整体!$1:$1,0),3,1,"公司整体"),TRUE)</f>
        <v>0</v>
      </c>
      <c r="T117" t="str">
        <f t="shared" si="18"/>
        <v>广州2013-02</v>
      </c>
      <c r="U117">
        <f t="shared" ca="1" si="19"/>
        <v>0</v>
      </c>
    </row>
    <row r="118" spans="1:21" x14ac:dyDescent="0.15">
      <c r="A118" t="str">
        <f>公司整体!A118</f>
        <v>湖北</v>
      </c>
      <c r="B118" t="str">
        <f>公司整体!B118</f>
        <v>2013-02</v>
      </c>
      <c r="C118">
        <f ca="1">INDIRECT(ADDRESS(ROW(C118),MATCH(公司各渠道指标可视化!$C$4,公司整体!$1:$1,0),3,1,"公司整体"),TRUE)</f>
        <v>0</v>
      </c>
      <c r="T118" t="str">
        <f t="shared" si="18"/>
        <v>湖北2013-02</v>
      </c>
      <c r="U118">
        <f t="shared" ca="1" si="19"/>
        <v>0</v>
      </c>
    </row>
    <row r="119" spans="1:21" x14ac:dyDescent="0.15">
      <c r="A119" t="str">
        <f>公司整体!A119</f>
        <v>机构</v>
      </c>
      <c r="B119" t="str">
        <f>公司整体!B119</f>
        <v>2013-02</v>
      </c>
      <c r="C119">
        <f ca="1">INDIRECT(ADDRESS(ROW(C119),MATCH(公司各渠道指标可视化!$C$4,公司整体!$1:$1,0),3,1,"公司整体"),TRUE)</f>
        <v>0</v>
      </c>
      <c r="T119" t="str">
        <f t="shared" si="18"/>
        <v>机构2013-02</v>
      </c>
      <c r="U119">
        <f t="shared" ca="1" si="19"/>
        <v>0</v>
      </c>
    </row>
    <row r="120" spans="1:21" x14ac:dyDescent="0.15">
      <c r="A120" t="str">
        <f>公司整体!A120</f>
        <v>江苏</v>
      </c>
      <c r="B120" t="str">
        <f>公司整体!B120</f>
        <v>2013-02</v>
      </c>
      <c r="C120">
        <f ca="1">INDIRECT(ADDRESS(ROW(C120),MATCH(公司各渠道指标可视化!$C$4,公司整体!$1:$1,0),3,1,"公司整体"),TRUE)</f>
        <v>0</v>
      </c>
      <c r="T120" t="str">
        <f t="shared" si="18"/>
        <v>江苏2013-02</v>
      </c>
      <c r="U120">
        <f t="shared" ca="1" si="19"/>
        <v>0</v>
      </c>
    </row>
    <row r="121" spans="1:21" x14ac:dyDescent="0.15">
      <c r="A121" t="str">
        <f>公司整体!A121</f>
        <v>山东</v>
      </c>
      <c r="B121" t="str">
        <f>公司整体!B121</f>
        <v>2013-02</v>
      </c>
      <c r="C121">
        <f ca="1">INDIRECT(ADDRESS(ROW(C121),MATCH(公司各渠道指标可视化!$C$4,公司整体!$1:$1,0),3,1,"公司整体"),TRUE)</f>
        <v>0</v>
      </c>
      <c r="T121" t="str">
        <f t="shared" si="18"/>
        <v>山东2013-02</v>
      </c>
      <c r="U121">
        <f t="shared" ca="1" si="19"/>
        <v>0</v>
      </c>
    </row>
    <row r="122" spans="1:21" x14ac:dyDescent="0.15">
      <c r="A122" t="str">
        <f>公司整体!A122</f>
        <v>上海</v>
      </c>
      <c r="B122" t="str">
        <f>公司整体!B122</f>
        <v>2013-02</v>
      </c>
      <c r="C122">
        <f ca="1">INDIRECT(ADDRESS(ROW(C122),MATCH(公司各渠道指标可视化!$C$4,公司整体!$1:$1,0),3,1,"公司整体"),TRUE)</f>
        <v>0</v>
      </c>
      <c r="T122" t="str">
        <f t="shared" si="18"/>
        <v>上海2013-02</v>
      </c>
      <c r="U122">
        <f t="shared" ca="1" si="19"/>
        <v>0</v>
      </c>
    </row>
    <row r="123" spans="1:21" x14ac:dyDescent="0.15">
      <c r="A123" t="str">
        <f>公司整体!A123</f>
        <v>深圳</v>
      </c>
      <c r="B123" t="str">
        <f>公司整体!B123</f>
        <v>2013-02</v>
      </c>
      <c r="C123">
        <f ca="1">INDIRECT(ADDRESS(ROW(C123),MATCH(公司各渠道指标可视化!$C$4,公司整体!$1:$1,0),3,1,"公司整体"),TRUE)</f>
        <v>0</v>
      </c>
      <c r="T123" t="str">
        <f t="shared" si="18"/>
        <v>深圳2013-02</v>
      </c>
      <c r="U123">
        <f t="shared" ca="1" si="19"/>
        <v>0</v>
      </c>
    </row>
    <row r="124" spans="1:21" x14ac:dyDescent="0.15">
      <c r="A124" t="str">
        <f>公司整体!A124</f>
        <v>四川</v>
      </c>
      <c r="B124" t="str">
        <f>公司整体!B124</f>
        <v>2013-02</v>
      </c>
      <c r="C124">
        <f ca="1">INDIRECT(ADDRESS(ROW(C124),MATCH(公司各渠道指标可视化!$C$4,公司整体!$1:$1,0),3,1,"公司整体"),TRUE)</f>
        <v>0</v>
      </c>
      <c r="T124" t="str">
        <f t="shared" si="18"/>
        <v>四川2013-02</v>
      </c>
      <c r="U124">
        <f t="shared" ca="1" si="19"/>
        <v>0</v>
      </c>
    </row>
    <row r="125" spans="1:21" x14ac:dyDescent="0.15">
      <c r="A125" t="str">
        <f>公司整体!A125</f>
        <v>苏州</v>
      </c>
      <c r="B125" t="str">
        <f>公司整体!B125</f>
        <v>2013-02</v>
      </c>
      <c r="C125">
        <f ca="1">INDIRECT(ADDRESS(ROW(C125),MATCH(公司各渠道指标可视化!$C$4,公司整体!$1:$1,0),3,1,"公司整体"),TRUE)</f>
        <v>0</v>
      </c>
      <c r="T125" t="str">
        <f t="shared" si="18"/>
        <v>苏州2013-02</v>
      </c>
      <c r="U125">
        <f t="shared" ca="1" si="19"/>
        <v>0</v>
      </c>
    </row>
    <row r="126" spans="1:21" x14ac:dyDescent="0.15">
      <c r="A126" t="str">
        <f>公司整体!A126</f>
        <v>中山</v>
      </c>
      <c r="B126" t="str">
        <f>公司整体!B126</f>
        <v>2013-02</v>
      </c>
      <c r="C126">
        <f ca="1">INDIRECT(ADDRESS(ROW(C126),MATCH(公司各渠道指标可视化!$C$4,公司整体!$1:$1,0),3,1,"公司整体"),TRUE)</f>
        <v>0</v>
      </c>
      <c r="T126" t="str">
        <f t="shared" si="18"/>
        <v>中山2013-02</v>
      </c>
      <c r="U126">
        <f t="shared" ca="1" si="19"/>
        <v>0</v>
      </c>
    </row>
    <row r="127" spans="1:21" x14ac:dyDescent="0.15">
      <c r="A127" t="str">
        <f>公司整体!A127</f>
        <v>珠海</v>
      </c>
      <c r="B127" t="str">
        <f>公司整体!B127</f>
        <v>2013-02</v>
      </c>
      <c r="C127">
        <f ca="1">INDIRECT(ADDRESS(ROW(C127),MATCH(公司各渠道指标可视化!$C$4,公司整体!$1:$1,0),3,1,"公司整体"),TRUE)</f>
        <v>0</v>
      </c>
      <c r="T127" t="str">
        <f t="shared" si="18"/>
        <v>珠海2013-02</v>
      </c>
      <c r="U127">
        <f t="shared" ca="1" si="19"/>
        <v>0</v>
      </c>
    </row>
    <row r="128" spans="1:21" x14ac:dyDescent="0.15">
      <c r="A128" t="str">
        <f>公司整体!A128</f>
        <v>东莞</v>
      </c>
      <c r="B128" t="str">
        <f>公司整体!B128</f>
        <v>2013-03</v>
      </c>
      <c r="C128">
        <f ca="1">INDIRECT(ADDRESS(ROW(C128),MATCH(公司各渠道指标可视化!$C$4,公司整体!$1:$1,0),3,1,"公司整体"),TRUE)</f>
        <v>0</v>
      </c>
      <c r="T128" t="str">
        <f t="shared" si="18"/>
        <v>东莞2013-03</v>
      </c>
      <c r="U128">
        <f t="shared" ca="1" si="19"/>
        <v>0</v>
      </c>
    </row>
    <row r="129" spans="1:21" x14ac:dyDescent="0.15">
      <c r="A129" t="str">
        <f>公司整体!A129</f>
        <v>佛山</v>
      </c>
      <c r="B129" t="str">
        <f>公司整体!B129</f>
        <v>2013-03</v>
      </c>
      <c r="C129">
        <f ca="1">INDIRECT(ADDRESS(ROW(C129),MATCH(公司各渠道指标可视化!$C$4,公司整体!$1:$1,0),3,1,"公司整体"),TRUE)</f>
        <v>0</v>
      </c>
      <c r="T129" t="str">
        <f t="shared" si="18"/>
        <v>佛山2013-03</v>
      </c>
      <c r="U129">
        <f t="shared" ca="1" si="19"/>
        <v>0</v>
      </c>
    </row>
    <row r="130" spans="1:21" x14ac:dyDescent="0.15">
      <c r="A130" t="str">
        <f>公司整体!A130</f>
        <v>广东</v>
      </c>
      <c r="B130" t="str">
        <f>公司整体!B130</f>
        <v>2013-03</v>
      </c>
      <c r="C130">
        <f ca="1">INDIRECT(ADDRESS(ROW(C130),MATCH(公司各渠道指标可视化!$C$4,公司整体!$1:$1,0),3,1,"公司整体"),TRUE)</f>
        <v>0</v>
      </c>
      <c r="T130" t="str">
        <f t="shared" si="18"/>
        <v>广东2013-03</v>
      </c>
      <c r="U130">
        <f t="shared" ca="1" si="19"/>
        <v>0</v>
      </c>
    </row>
    <row r="131" spans="1:21" x14ac:dyDescent="0.15">
      <c r="A131" t="str">
        <f>公司整体!A131</f>
        <v>广州</v>
      </c>
      <c r="B131" t="str">
        <f>公司整体!B131</f>
        <v>2013-03</v>
      </c>
      <c r="C131">
        <f ca="1">INDIRECT(ADDRESS(ROW(C131),MATCH(公司各渠道指标可视化!$C$4,公司整体!$1:$1,0),3,1,"公司整体"),TRUE)</f>
        <v>0</v>
      </c>
      <c r="T131" t="str">
        <f t="shared" si="18"/>
        <v>广州2013-03</v>
      </c>
      <c r="U131">
        <f t="shared" ca="1" si="19"/>
        <v>0</v>
      </c>
    </row>
    <row r="132" spans="1:21" x14ac:dyDescent="0.15">
      <c r="A132" t="str">
        <f>公司整体!A132</f>
        <v>湖北</v>
      </c>
      <c r="B132" t="str">
        <f>公司整体!B132</f>
        <v>2013-03</v>
      </c>
      <c r="C132">
        <f ca="1">INDIRECT(ADDRESS(ROW(C132),MATCH(公司各渠道指标可视化!$C$4,公司整体!$1:$1,0),3,1,"公司整体"),TRUE)</f>
        <v>0</v>
      </c>
      <c r="T132" t="str">
        <f t="shared" si="18"/>
        <v>湖北2013-03</v>
      </c>
      <c r="U132">
        <f t="shared" ca="1" si="19"/>
        <v>0</v>
      </c>
    </row>
    <row r="133" spans="1:21" x14ac:dyDescent="0.15">
      <c r="A133" t="str">
        <f>公司整体!A133</f>
        <v>机构</v>
      </c>
      <c r="B133" t="str">
        <f>公司整体!B133</f>
        <v>2013-03</v>
      </c>
      <c r="C133">
        <f ca="1">INDIRECT(ADDRESS(ROW(C133),MATCH(公司各渠道指标可视化!$C$4,公司整体!$1:$1,0),3,1,"公司整体"),TRUE)</f>
        <v>0</v>
      </c>
      <c r="T133" t="str">
        <f t="shared" si="18"/>
        <v>机构2013-03</v>
      </c>
      <c r="U133">
        <f t="shared" ca="1" si="19"/>
        <v>0</v>
      </c>
    </row>
    <row r="134" spans="1:21" x14ac:dyDescent="0.15">
      <c r="A134" t="str">
        <f>公司整体!A134</f>
        <v>江苏</v>
      </c>
      <c r="B134" t="str">
        <f>公司整体!B134</f>
        <v>2013-03</v>
      </c>
      <c r="C134">
        <f ca="1">INDIRECT(ADDRESS(ROW(C134),MATCH(公司各渠道指标可视化!$C$4,公司整体!$1:$1,0),3,1,"公司整体"),TRUE)</f>
        <v>0</v>
      </c>
      <c r="T134" t="str">
        <f t="shared" si="18"/>
        <v>江苏2013-03</v>
      </c>
      <c r="U134">
        <f t="shared" ca="1" si="19"/>
        <v>0</v>
      </c>
    </row>
    <row r="135" spans="1:21" x14ac:dyDescent="0.15">
      <c r="A135" t="str">
        <f>公司整体!A135</f>
        <v>山东</v>
      </c>
      <c r="B135" t="str">
        <f>公司整体!B135</f>
        <v>2013-03</v>
      </c>
      <c r="C135">
        <f ca="1">INDIRECT(ADDRESS(ROW(C135),MATCH(公司各渠道指标可视化!$C$4,公司整体!$1:$1,0),3,1,"公司整体"),TRUE)</f>
        <v>0</v>
      </c>
      <c r="T135" t="str">
        <f t="shared" si="18"/>
        <v>山东2013-03</v>
      </c>
      <c r="U135">
        <f t="shared" ca="1" si="19"/>
        <v>0</v>
      </c>
    </row>
    <row r="136" spans="1:21" x14ac:dyDescent="0.15">
      <c r="A136" t="str">
        <f>公司整体!A136</f>
        <v>上海</v>
      </c>
      <c r="B136" t="str">
        <f>公司整体!B136</f>
        <v>2013-03</v>
      </c>
      <c r="C136">
        <f ca="1">INDIRECT(ADDRESS(ROW(C136),MATCH(公司各渠道指标可视化!$C$4,公司整体!$1:$1,0),3,1,"公司整体"),TRUE)</f>
        <v>0</v>
      </c>
      <c r="T136" t="str">
        <f t="shared" si="18"/>
        <v>上海2013-03</v>
      </c>
      <c r="U136">
        <f t="shared" ca="1" si="19"/>
        <v>0</v>
      </c>
    </row>
    <row r="137" spans="1:21" x14ac:dyDescent="0.15">
      <c r="A137" t="str">
        <f>公司整体!A137</f>
        <v>深圳</v>
      </c>
      <c r="B137" t="str">
        <f>公司整体!B137</f>
        <v>2013-03</v>
      </c>
      <c r="C137">
        <f ca="1">INDIRECT(ADDRESS(ROW(C137),MATCH(公司各渠道指标可视化!$C$4,公司整体!$1:$1,0),3,1,"公司整体"),TRUE)</f>
        <v>0</v>
      </c>
      <c r="T137" t="str">
        <f t="shared" si="18"/>
        <v>深圳2013-03</v>
      </c>
      <c r="U137">
        <f t="shared" ca="1" si="19"/>
        <v>0</v>
      </c>
    </row>
    <row r="138" spans="1:21" x14ac:dyDescent="0.15">
      <c r="A138" t="str">
        <f>公司整体!A138</f>
        <v>四川</v>
      </c>
      <c r="B138" t="str">
        <f>公司整体!B138</f>
        <v>2013-03</v>
      </c>
      <c r="C138">
        <f ca="1">INDIRECT(ADDRESS(ROW(C138),MATCH(公司各渠道指标可视化!$C$4,公司整体!$1:$1,0),3,1,"公司整体"),TRUE)</f>
        <v>0</v>
      </c>
      <c r="T138" t="str">
        <f t="shared" si="18"/>
        <v>四川2013-03</v>
      </c>
      <c r="U138">
        <f t="shared" ca="1" si="19"/>
        <v>0</v>
      </c>
    </row>
    <row r="139" spans="1:21" x14ac:dyDescent="0.15">
      <c r="A139" t="str">
        <f>公司整体!A139</f>
        <v>苏州</v>
      </c>
      <c r="B139" t="str">
        <f>公司整体!B139</f>
        <v>2013-03</v>
      </c>
      <c r="C139">
        <f ca="1">INDIRECT(ADDRESS(ROW(C139),MATCH(公司各渠道指标可视化!$C$4,公司整体!$1:$1,0),3,1,"公司整体"),TRUE)</f>
        <v>0</v>
      </c>
      <c r="T139" t="str">
        <f t="shared" si="18"/>
        <v>苏州2013-03</v>
      </c>
      <c r="U139">
        <f t="shared" ca="1" si="19"/>
        <v>0</v>
      </c>
    </row>
    <row r="140" spans="1:21" x14ac:dyDescent="0.15">
      <c r="A140" t="str">
        <f>公司整体!A140</f>
        <v>中山</v>
      </c>
      <c r="B140" t="str">
        <f>公司整体!B140</f>
        <v>2013-03</v>
      </c>
      <c r="C140">
        <f ca="1">INDIRECT(ADDRESS(ROW(C140),MATCH(公司各渠道指标可视化!$C$4,公司整体!$1:$1,0),3,1,"公司整体"),TRUE)</f>
        <v>0</v>
      </c>
      <c r="T140" t="str">
        <f t="shared" si="18"/>
        <v>中山2013-03</v>
      </c>
      <c r="U140">
        <f t="shared" ca="1" si="19"/>
        <v>0</v>
      </c>
    </row>
    <row r="141" spans="1:21" x14ac:dyDescent="0.15">
      <c r="A141" t="str">
        <f>公司整体!A141</f>
        <v>珠海</v>
      </c>
      <c r="B141" t="str">
        <f>公司整体!B141</f>
        <v>2013-03</v>
      </c>
      <c r="C141">
        <f ca="1">INDIRECT(ADDRESS(ROW(C141),MATCH(公司各渠道指标可视化!$C$4,公司整体!$1:$1,0),3,1,"公司整体"),TRUE)</f>
        <v>0</v>
      </c>
      <c r="T141" t="str">
        <f t="shared" si="18"/>
        <v>珠海2013-03</v>
      </c>
      <c r="U141">
        <f t="shared" ca="1" si="19"/>
        <v>0</v>
      </c>
    </row>
    <row r="142" spans="1:21" x14ac:dyDescent="0.15">
      <c r="A142" t="str">
        <f>公司整体!A142</f>
        <v>东莞</v>
      </c>
      <c r="B142" t="str">
        <f>公司整体!B142</f>
        <v>2013-04</v>
      </c>
      <c r="C142">
        <f ca="1">INDIRECT(ADDRESS(ROW(C142),MATCH(公司各渠道指标可视化!$C$4,公司整体!$1:$1,0),3,1,"公司整体"),TRUE)</f>
        <v>0</v>
      </c>
      <c r="T142" t="str">
        <f t="shared" si="18"/>
        <v>东莞2013-04</v>
      </c>
      <c r="U142">
        <f t="shared" ca="1" si="19"/>
        <v>0</v>
      </c>
    </row>
    <row r="143" spans="1:21" x14ac:dyDescent="0.15">
      <c r="A143" t="str">
        <f>公司整体!A143</f>
        <v>佛山</v>
      </c>
      <c r="B143" t="str">
        <f>公司整体!B143</f>
        <v>2013-04</v>
      </c>
      <c r="C143">
        <f ca="1">INDIRECT(ADDRESS(ROW(C143),MATCH(公司各渠道指标可视化!$C$4,公司整体!$1:$1,0),3,1,"公司整体"),TRUE)</f>
        <v>0</v>
      </c>
      <c r="T143" t="str">
        <f t="shared" si="18"/>
        <v>佛山2013-04</v>
      </c>
      <c r="U143">
        <f t="shared" ca="1" si="19"/>
        <v>0</v>
      </c>
    </row>
    <row r="144" spans="1:21" x14ac:dyDescent="0.15">
      <c r="A144" t="str">
        <f>公司整体!A144</f>
        <v>广东</v>
      </c>
      <c r="B144" t="str">
        <f>公司整体!B144</f>
        <v>2013-04</v>
      </c>
      <c r="C144">
        <f ca="1">INDIRECT(ADDRESS(ROW(C144),MATCH(公司各渠道指标可视化!$C$4,公司整体!$1:$1,0),3,1,"公司整体"),TRUE)</f>
        <v>0</v>
      </c>
      <c r="T144" t="str">
        <f t="shared" si="18"/>
        <v>广东2013-04</v>
      </c>
      <c r="U144">
        <f t="shared" ca="1" si="19"/>
        <v>0</v>
      </c>
    </row>
    <row r="145" spans="1:21" x14ac:dyDescent="0.15">
      <c r="A145" t="str">
        <f>公司整体!A145</f>
        <v>广州</v>
      </c>
      <c r="B145" t="str">
        <f>公司整体!B145</f>
        <v>2013-04</v>
      </c>
      <c r="C145">
        <f ca="1">INDIRECT(ADDRESS(ROW(C145),MATCH(公司各渠道指标可视化!$C$4,公司整体!$1:$1,0),3,1,"公司整体"),TRUE)</f>
        <v>0</v>
      </c>
      <c r="T145" t="str">
        <f t="shared" si="18"/>
        <v>广州2013-04</v>
      </c>
      <c r="U145">
        <f t="shared" ca="1" si="19"/>
        <v>0</v>
      </c>
    </row>
    <row r="146" spans="1:21" x14ac:dyDescent="0.15">
      <c r="A146" t="str">
        <f>公司整体!A146</f>
        <v>湖北</v>
      </c>
      <c r="B146" t="str">
        <f>公司整体!B146</f>
        <v>2013-04</v>
      </c>
      <c r="C146">
        <f ca="1">INDIRECT(ADDRESS(ROW(C146),MATCH(公司各渠道指标可视化!$C$4,公司整体!$1:$1,0),3,1,"公司整体"),TRUE)</f>
        <v>0</v>
      </c>
      <c r="T146" t="str">
        <f t="shared" si="18"/>
        <v>湖北2013-04</v>
      </c>
      <c r="U146">
        <f t="shared" ca="1" si="19"/>
        <v>0</v>
      </c>
    </row>
    <row r="147" spans="1:21" x14ac:dyDescent="0.15">
      <c r="A147" t="str">
        <f>公司整体!A147</f>
        <v>机构</v>
      </c>
      <c r="B147" t="str">
        <f>公司整体!B147</f>
        <v>2013-04</v>
      </c>
      <c r="C147">
        <f ca="1">INDIRECT(ADDRESS(ROW(C147),MATCH(公司各渠道指标可视化!$C$4,公司整体!$1:$1,0),3,1,"公司整体"),TRUE)</f>
        <v>0</v>
      </c>
      <c r="T147" t="str">
        <f t="shared" si="18"/>
        <v>机构2013-04</v>
      </c>
      <c r="U147">
        <f t="shared" ca="1" si="19"/>
        <v>0</v>
      </c>
    </row>
    <row r="148" spans="1:21" x14ac:dyDescent="0.15">
      <c r="A148" t="str">
        <f>公司整体!A148</f>
        <v>江苏</v>
      </c>
      <c r="B148" t="str">
        <f>公司整体!B148</f>
        <v>2013-04</v>
      </c>
      <c r="C148">
        <f ca="1">INDIRECT(ADDRESS(ROW(C148),MATCH(公司各渠道指标可视化!$C$4,公司整体!$1:$1,0),3,1,"公司整体"),TRUE)</f>
        <v>0</v>
      </c>
      <c r="T148" t="str">
        <f t="shared" si="18"/>
        <v>江苏2013-04</v>
      </c>
      <c r="U148">
        <f t="shared" ca="1" si="19"/>
        <v>0</v>
      </c>
    </row>
    <row r="149" spans="1:21" x14ac:dyDescent="0.15">
      <c r="A149" t="str">
        <f>公司整体!A149</f>
        <v>山东</v>
      </c>
      <c r="B149" t="str">
        <f>公司整体!B149</f>
        <v>2013-04</v>
      </c>
      <c r="C149">
        <f ca="1">INDIRECT(ADDRESS(ROW(C149),MATCH(公司各渠道指标可视化!$C$4,公司整体!$1:$1,0),3,1,"公司整体"),TRUE)</f>
        <v>0</v>
      </c>
      <c r="T149" t="str">
        <f t="shared" si="18"/>
        <v>山东2013-04</v>
      </c>
      <c r="U149">
        <f t="shared" ca="1" si="19"/>
        <v>0</v>
      </c>
    </row>
    <row r="150" spans="1:21" x14ac:dyDescent="0.15">
      <c r="A150" t="str">
        <f>公司整体!A150</f>
        <v>上海</v>
      </c>
      <c r="B150" t="str">
        <f>公司整体!B150</f>
        <v>2013-04</v>
      </c>
      <c r="C150">
        <f ca="1">INDIRECT(ADDRESS(ROW(C150),MATCH(公司各渠道指标可视化!$C$4,公司整体!$1:$1,0),3,1,"公司整体"),TRUE)</f>
        <v>0</v>
      </c>
      <c r="T150" t="str">
        <f t="shared" si="18"/>
        <v>上海2013-04</v>
      </c>
      <c r="U150">
        <f t="shared" ca="1" si="19"/>
        <v>0</v>
      </c>
    </row>
    <row r="151" spans="1:21" x14ac:dyDescent="0.15">
      <c r="A151" t="str">
        <f>公司整体!A151</f>
        <v>深圳</v>
      </c>
      <c r="B151" t="str">
        <f>公司整体!B151</f>
        <v>2013-04</v>
      </c>
      <c r="C151">
        <f ca="1">INDIRECT(ADDRESS(ROW(C151),MATCH(公司各渠道指标可视化!$C$4,公司整体!$1:$1,0),3,1,"公司整体"),TRUE)</f>
        <v>0</v>
      </c>
      <c r="T151" t="str">
        <f t="shared" ref="T151:T214" si="20">A151&amp;B151</f>
        <v>深圳2013-04</v>
      </c>
      <c r="U151">
        <f t="shared" ref="U151:U214" ca="1" si="21">C151</f>
        <v>0</v>
      </c>
    </row>
    <row r="152" spans="1:21" x14ac:dyDescent="0.15">
      <c r="A152" t="str">
        <f>公司整体!A152</f>
        <v>四川</v>
      </c>
      <c r="B152" t="str">
        <f>公司整体!B152</f>
        <v>2013-04</v>
      </c>
      <c r="C152">
        <f ca="1">INDIRECT(ADDRESS(ROW(C152),MATCH(公司各渠道指标可视化!$C$4,公司整体!$1:$1,0),3,1,"公司整体"),TRUE)</f>
        <v>0</v>
      </c>
      <c r="T152" t="str">
        <f t="shared" si="20"/>
        <v>四川2013-04</v>
      </c>
      <c r="U152">
        <f t="shared" ca="1" si="21"/>
        <v>0</v>
      </c>
    </row>
    <row r="153" spans="1:21" x14ac:dyDescent="0.15">
      <c r="A153" t="str">
        <f>公司整体!A153</f>
        <v>苏州</v>
      </c>
      <c r="B153" t="str">
        <f>公司整体!B153</f>
        <v>2013-04</v>
      </c>
      <c r="C153">
        <f ca="1">INDIRECT(ADDRESS(ROW(C153),MATCH(公司各渠道指标可视化!$C$4,公司整体!$1:$1,0),3,1,"公司整体"),TRUE)</f>
        <v>0</v>
      </c>
      <c r="T153" t="str">
        <f t="shared" si="20"/>
        <v>苏州2013-04</v>
      </c>
      <c r="U153">
        <f t="shared" ca="1" si="21"/>
        <v>0</v>
      </c>
    </row>
    <row r="154" spans="1:21" x14ac:dyDescent="0.15">
      <c r="A154" t="str">
        <f>公司整体!A154</f>
        <v>中山</v>
      </c>
      <c r="B154" t="str">
        <f>公司整体!B154</f>
        <v>2013-04</v>
      </c>
      <c r="C154">
        <f ca="1">INDIRECT(ADDRESS(ROW(C154),MATCH(公司各渠道指标可视化!$C$4,公司整体!$1:$1,0),3,1,"公司整体"),TRUE)</f>
        <v>0</v>
      </c>
      <c r="T154" t="str">
        <f t="shared" si="20"/>
        <v>中山2013-04</v>
      </c>
      <c r="U154">
        <f t="shared" ca="1" si="21"/>
        <v>0</v>
      </c>
    </row>
    <row r="155" spans="1:21" x14ac:dyDescent="0.15">
      <c r="A155" t="str">
        <f>公司整体!A155</f>
        <v>珠海</v>
      </c>
      <c r="B155" t="str">
        <f>公司整体!B155</f>
        <v>2013-04</v>
      </c>
      <c r="C155">
        <f ca="1">INDIRECT(ADDRESS(ROW(C155),MATCH(公司各渠道指标可视化!$C$4,公司整体!$1:$1,0),3,1,"公司整体"),TRUE)</f>
        <v>0</v>
      </c>
      <c r="T155" t="str">
        <f t="shared" si="20"/>
        <v>珠海2013-04</v>
      </c>
      <c r="U155">
        <f t="shared" ca="1" si="21"/>
        <v>0</v>
      </c>
    </row>
    <row r="156" spans="1:21" x14ac:dyDescent="0.15">
      <c r="A156" t="str">
        <f>公司整体!A156</f>
        <v>东莞</v>
      </c>
      <c r="B156" t="str">
        <f>公司整体!B156</f>
        <v>2013-05</v>
      </c>
      <c r="C156">
        <f ca="1">INDIRECT(ADDRESS(ROW(C156),MATCH(公司各渠道指标可视化!$C$4,公司整体!$1:$1,0),3,1,"公司整体"),TRUE)</f>
        <v>0</v>
      </c>
      <c r="T156" t="str">
        <f t="shared" si="20"/>
        <v>东莞2013-05</v>
      </c>
      <c r="U156">
        <f t="shared" ca="1" si="21"/>
        <v>0</v>
      </c>
    </row>
    <row r="157" spans="1:21" x14ac:dyDescent="0.15">
      <c r="A157" t="str">
        <f>公司整体!A157</f>
        <v>佛山</v>
      </c>
      <c r="B157" t="str">
        <f>公司整体!B157</f>
        <v>2013-05</v>
      </c>
      <c r="C157">
        <f ca="1">INDIRECT(ADDRESS(ROW(C157),MATCH(公司各渠道指标可视化!$C$4,公司整体!$1:$1,0),3,1,"公司整体"),TRUE)</f>
        <v>0</v>
      </c>
      <c r="T157" t="str">
        <f t="shared" si="20"/>
        <v>佛山2013-05</v>
      </c>
      <c r="U157">
        <f t="shared" ca="1" si="21"/>
        <v>0</v>
      </c>
    </row>
    <row r="158" spans="1:21" x14ac:dyDescent="0.15">
      <c r="A158" t="str">
        <f>公司整体!A158</f>
        <v>广东</v>
      </c>
      <c r="B158" t="str">
        <f>公司整体!B158</f>
        <v>2013-05</v>
      </c>
      <c r="C158">
        <f ca="1">INDIRECT(ADDRESS(ROW(C158),MATCH(公司各渠道指标可视化!$C$4,公司整体!$1:$1,0),3,1,"公司整体"),TRUE)</f>
        <v>0</v>
      </c>
      <c r="T158" t="str">
        <f t="shared" si="20"/>
        <v>广东2013-05</v>
      </c>
      <c r="U158">
        <f t="shared" ca="1" si="21"/>
        <v>0</v>
      </c>
    </row>
    <row r="159" spans="1:21" x14ac:dyDescent="0.15">
      <c r="A159" t="str">
        <f>公司整体!A159</f>
        <v>广州</v>
      </c>
      <c r="B159" t="str">
        <f>公司整体!B159</f>
        <v>2013-05</v>
      </c>
      <c r="C159">
        <f ca="1">INDIRECT(ADDRESS(ROW(C159),MATCH(公司各渠道指标可视化!$C$4,公司整体!$1:$1,0),3,1,"公司整体"),TRUE)</f>
        <v>0</v>
      </c>
      <c r="T159" t="str">
        <f t="shared" si="20"/>
        <v>广州2013-05</v>
      </c>
      <c r="U159">
        <f t="shared" ca="1" si="21"/>
        <v>0</v>
      </c>
    </row>
    <row r="160" spans="1:21" x14ac:dyDescent="0.15">
      <c r="A160" t="str">
        <f>公司整体!A160</f>
        <v>湖北</v>
      </c>
      <c r="B160" t="str">
        <f>公司整体!B160</f>
        <v>2013-05</v>
      </c>
      <c r="C160">
        <f ca="1">INDIRECT(ADDRESS(ROW(C160),MATCH(公司各渠道指标可视化!$C$4,公司整体!$1:$1,0),3,1,"公司整体"),TRUE)</f>
        <v>0</v>
      </c>
      <c r="T160" t="str">
        <f t="shared" si="20"/>
        <v>湖北2013-05</v>
      </c>
      <c r="U160">
        <f t="shared" ca="1" si="21"/>
        <v>0</v>
      </c>
    </row>
    <row r="161" spans="1:21" x14ac:dyDescent="0.15">
      <c r="A161" t="str">
        <f>公司整体!A161</f>
        <v>机构</v>
      </c>
      <c r="B161" t="str">
        <f>公司整体!B161</f>
        <v>2013-05</v>
      </c>
      <c r="C161">
        <f ca="1">INDIRECT(ADDRESS(ROW(C161),MATCH(公司各渠道指标可视化!$C$4,公司整体!$1:$1,0),3,1,"公司整体"),TRUE)</f>
        <v>0</v>
      </c>
      <c r="T161" t="str">
        <f t="shared" si="20"/>
        <v>机构2013-05</v>
      </c>
      <c r="U161">
        <f t="shared" ca="1" si="21"/>
        <v>0</v>
      </c>
    </row>
    <row r="162" spans="1:21" x14ac:dyDescent="0.15">
      <c r="A162" t="str">
        <f>公司整体!A162</f>
        <v>江苏</v>
      </c>
      <c r="B162" t="str">
        <f>公司整体!B162</f>
        <v>2013-05</v>
      </c>
      <c r="C162">
        <f ca="1">INDIRECT(ADDRESS(ROW(C162),MATCH(公司各渠道指标可视化!$C$4,公司整体!$1:$1,0),3,1,"公司整体"),TRUE)</f>
        <v>0</v>
      </c>
      <c r="T162" t="str">
        <f t="shared" si="20"/>
        <v>江苏2013-05</v>
      </c>
      <c r="U162">
        <f t="shared" ca="1" si="21"/>
        <v>0</v>
      </c>
    </row>
    <row r="163" spans="1:21" x14ac:dyDescent="0.15">
      <c r="A163" t="str">
        <f>公司整体!A163</f>
        <v>山东</v>
      </c>
      <c r="B163" t="str">
        <f>公司整体!B163</f>
        <v>2013-05</v>
      </c>
      <c r="C163">
        <f ca="1">INDIRECT(ADDRESS(ROW(C163),MATCH(公司各渠道指标可视化!$C$4,公司整体!$1:$1,0),3,1,"公司整体"),TRUE)</f>
        <v>0</v>
      </c>
      <c r="T163" t="str">
        <f t="shared" si="20"/>
        <v>山东2013-05</v>
      </c>
      <c r="U163">
        <f t="shared" ca="1" si="21"/>
        <v>0</v>
      </c>
    </row>
    <row r="164" spans="1:21" x14ac:dyDescent="0.15">
      <c r="A164" t="str">
        <f>公司整体!A164</f>
        <v>上海</v>
      </c>
      <c r="B164" t="str">
        <f>公司整体!B164</f>
        <v>2013-05</v>
      </c>
      <c r="C164">
        <f ca="1">INDIRECT(ADDRESS(ROW(C164),MATCH(公司各渠道指标可视化!$C$4,公司整体!$1:$1,0),3,1,"公司整体"),TRUE)</f>
        <v>0</v>
      </c>
      <c r="T164" t="str">
        <f t="shared" si="20"/>
        <v>上海2013-05</v>
      </c>
      <c r="U164">
        <f t="shared" ca="1" si="21"/>
        <v>0</v>
      </c>
    </row>
    <row r="165" spans="1:21" x14ac:dyDescent="0.15">
      <c r="A165" t="str">
        <f>公司整体!A165</f>
        <v>深圳</v>
      </c>
      <c r="B165" t="str">
        <f>公司整体!B165</f>
        <v>2013-05</v>
      </c>
      <c r="C165">
        <f ca="1">INDIRECT(ADDRESS(ROW(C165),MATCH(公司各渠道指标可视化!$C$4,公司整体!$1:$1,0),3,1,"公司整体"),TRUE)</f>
        <v>0</v>
      </c>
      <c r="T165" t="str">
        <f t="shared" si="20"/>
        <v>深圳2013-05</v>
      </c>
      <c r="U165">
        <f t="shared" ca="1" si="21"/>
        <v>0</v>
      </c>
    </row>
    <row r="166" spans="1:21" x14ac:dyDescent="0.15">
      <c r="A166" t="str">
        <f>公司整体!A166</f>
        <v>四川</v>
      </c>
      <c r="B166" t="str">
        <f>公司整体!B166</f>
        <v>2013-05</v>
      </c>
      <c r="C166">
        <f ca="1">INDIRECT(ADDRESS(ROW(C166),MATCH(公司各渠道指标可视化!$C$4,公司整体!$1:$1,0),3,1,"公司整体"),TRUE)</f>
        <v>0</v>
      </c>
      <c r="T166" t="str">
        <f t="shared" si="20"/>
        <v>四川2013-05</v>
      </c>
      <c r="U166">
        <f t="shared" ca="1" si="21"/>
        <v>0</v>
      </c>
    </row>
    <row r="167" spans="1:21" x14ac:dyDescent="0.15">
      <c r="A167" t="str">
        <f>公司整体!A167</f>
        <v>苏州</v>
      </c>
      <c r="B167" t="str">
        <f>公司整体!B167</f>
        <v>2013-05</v>
      </c>
      <c r="C167">
        <f ca="1">INDIRECT(ADDRESS(ROW(C167),MATCH(公司各渠道指标可视化!$C$4,公司整体!$1:$1,0),3,1,"公司整体"),TRUE)</f>
        <v>0</v>
      </c>
      <c r="T167" t="str">
        <f t="shared" si="20"/>
        <v>苏州2013-05</v>
      </c>
      <c r="U167">
        <f t="shared" ca="1" si="21"/>
        <v>0</v>
      </c>
    </row>
    <row r="168" spans="1:21" x14ac:dyDescent="0.15">
      <c r="A168" t="str">
        <f>公司整体!A168</f>
        <v>中山</v>
      </c>
      <c r="B168" t="str">
        <f>公司整体!B168</f>
        <v>2013-05</v>
      </c>
      <c r="C168">
        <f ca="1">INDIRECT(ADDRESS(ROW(C168),MATCH(公司各渠道指标可视化!$C$4,公司整体!$1:$1,0),3,1,"公司整体"),TRUE)</f>
        <v>0</v>
      </c>
      <c r="T168" t="str">
        <f t="shared" si="20"/>
        <v>中山2013-05</v>
      </c>
      <c r="U168">
        <f t="shared" ca="1" si="21"/>
        <v>0</v>
      </c>
    </row>
    <row r="169" spans="1:21" x14ac:dyDescent="0.15">
      <c r="A169" t="str">
        <f>公司整体!A169</f>
        <v>珠海</v>
      </c>
      <c r="B169" t="str">
        <f>公司整体!B169</f>
        <v>2013-05</v>
      </c>
      <c r="C169">
        <f ca="1">INDIRECT(ADDRESS(ROW(C169),MATCH(公司各渠道指标可视化!$C$4,公司整体!$1:$1,0),3,1,"公司整体"),TRUE)</f>
        <v>0</v>
      </c>
      <c r="T169" t="str">
        <f t="shared" si="20"/>
        <v>珠海2013-05</v>
      </c>
      <c r="U169">
        <f t="shared" ca="1" si="21"/>
        <v>0</v>
      </c>
    </row>
    <row r="170" spans="1:21" x14ac:dyDescent="0.15">
      <c r="A170" t="str">
        <f>公司整体!A170</f>
        <v>东莞</v>
      </c>
      <c r="B170" t="str">
        <f>公司整体!B170</f>
        <v>2013-06</v>
      </c>
      <c r="C170">
        <f ca="1">INDIRECT(ADDRESS(ROW(C170),MATCH(公司各渠道指标可视化!$C$4,公司整体!$1:$1,0),3,1,"公司整体"),TRUE)</f>
        <v>0</v>
      </c>
      <c r="T170" t="str">
        <f t="shared" si="20"/>
        <v>东莞2013-06</v>
      </c>
      <c r="U170">
        <f t="shared" ca="1" si="21"/>
        <v>0</v>
      </c>
    </row>
    <row r="171" spans="1:21" x14ac:dyDescent="0.15">
      <c r="A171" t="str">
        <f>公司整体!A171</f>
        <v>佛山</v>
      </c>
      <c r="B171" t="str">
        <f>公司整体!B171</f>
        <v>2013-06</v>
      </c>
      <c r="C171">
        <f ca="1">INDIRECT(ADDRESS(ROW(C171),MATCH(公司各渠道指标可视化!$C$4,公司整体!$1:$1,0),3,1,"公司整体"),TRUE)</f>
        <v>0</v>
      </c>
      <c r="T171" t="str">
        <f t="shared" si="20"/>
        <v>佛山2013-06</v>
      </c>
      <c r="U171">
        <f t="shared" ca="1" si="21"/>
        <v>0</v>
      </c>
    </row>
    <row r="172" spans="1:21" x14ac:dyDescent="0.15">
      <c r="A172" t="str">
        <f>公司整体!A172</f>
        <v>广东</v>
      </c>
      <c r="B172" t="str">
        <f>公司整体!B172</f>
        <v>2013-06</v>
      </c>
      <c r="C172">
        <f ca="1">INDIRECT(ADDRESS(ROW(C172),MATCH(公司各渠道指标可视化!$C$4,公司整体!$1:$1,0),3,1,"公司整体"),TRUE)</f>
        <v>0</v>
      </c>
      <c r="T172" t="str">
        <f t="shared" si="20"/>
        <v>广东2013-06</v>
      </c>
      <c r="U172">
        <f t="shared" ca="1" si="21"/>
        <v>0</v>
      </c>
    </row>
    <row r="173" spans="1:21" x14ac:dyDescent="0.15">
      <c r="A173" t="str">
        <f>公司整体!A173</f>
        <v>广州</v>
      </c>
      <c r="B173" t="str">
        <f>公司整体!B173</f>
        <v>2013-06</v>
      </c>
      <c r="C173">
        <f ca="1">INDIRECT(ADDRESS(ROW(C173),MATCH(公司各渠道指标可视化!$C$4,公司整体!$1:$1,0),3,1,"公司整体"),TRUE)</f>
        <v>0</v>
      </c>
      <c r="T173" t="str">
        <f t="shared" si="20"/>
        <v>广州2013-06</v>
      </c>
      <c r="U173">
        <f t="shared" ca="1" si="21"/>
        <v>0</v>
      </c>
    </row>
    <row r="174" spans="1:21" x14ac:dyDescent="0.15">
      <c r="A174" t="str">
        <f>公司整体!A174</f>
        <v>湖北</v>
      </c>
      <c r="B174" t="str">
        <f>公司整体!B174</f>
        <v>2013-06</v>
      </c>
      <c r="C174">
        <f ca="1">INDIRECT(ADDRESS(ROW(C174),MATCH(公司各渠道指标可视化!$C$4,公司整体!$1:$1,0),3,1,"公司整体"),TRUE)</f>
        <v>0</v>
      </c>
      <c r="T174" t="str">
        <f t="shared" si="20"/>
        <v>湖北2013-06</v>
      </c>
      <c r="U174">
        <f t="shared" ca="1" si="21"/>
        <v>0</v>
      </c>
    </row>
    <row r="175" spans="1:21" x14ac:dyDescent="0.15">
      <c r="A175" t="str">
        <f>公司整体!A175</f>
        <v>机构</v>
      </c>
      <c r="B175" t="str">
        <f>公司整体!B175</f>
        <v>2013-06</v>
      </c>
      <c r="C175">
        <f ca="1">INDIRECT(ADDRESS(ROW(C175),MATCH(公司各渠道指标可视化!$C$4,公司整体!$1:$1,0),3,1,"公司整体"),TRUE)</f>
        <v>0</v>
      </c>
      <c r="T175" t="str">
        <f t="shared" si="20"/>
        <v>机构2013-06</v>
      </c>
      <c r="U175">
        <f t="shared" ca="1" si="21"/>
        <v>0</v>
      </c>
    </row>
    <row r="176" spans="1:21" x14ac:dyDescent="0.15">
      <c r="A176" t="str">
        <f>公司整体!A176</f>
        <v>江苏</v>
      </c>
      <c r="B176" t="str">
        <f>公司整体!B176</f>
        <v>2013-06</v>
      </c>
      <c r="C176">
        <f ca="1">INDIRECT(ADDRESS(ROW(C176),MATCH(公司各渠道指标可视化!$C$4,公司整体!$1:$1,0),3,1,"公司整体"),TRUE)</f>
        <v>0</v>
      </c>
      <c r="T176" t="str">
        <f t="shared" si="20"/>
        <v>江苏2013-06</v>
      </c>
      <c r="U176">
        <f t="shared" ca="1" si="21"/>
        <v>0</v>
      </c>
    </row>
    <row r="177" spans="1:21" x14ac:dyDescent="0.15">
      <c r="A177" t="str">
        <f>公司整体!A177</f>
        <v>山东</v>
      </c>
      <c r="B177" t="str">
        <f>公司整体!B177</f>
        <v>2013-06</v>
      </c>
      <c r="C177">
        <f ca="1">INDIRECT(ADDRESS(ROW(C177),MATCH(公司各渠道指标可视化!$C$4,公司整体!$1:$1,0),3,1,"公司整体"),TRUE)</f>
        <v>0</v>
      </c>
      <c r="T177" t="str">
        <f t="shared" si="20"/>
        <v>山东2013-06</v>
      </c>
      <c r="U177">
        <f t="shared" ca="1" si="21"/>
        <v>0</v>
      </c>
    </row>
    <row r="178" spans="1:21" x14ac:dyDescent="0.15">
      <c r="A178" t="str">
        <f>公司整体!A178</f>
        <v>上海</v>
      </c>
      <c r="B178" t="str">
        <f>公司整体!B178</f>
        <v>2013-06</v>
      </c>
      <c r="C178">
        <f ca="1">INDIRECT(ADDRESS(ROW(C178),MATCH(公司各渠道指标可视化!$C$4,公司整体!$1:$1,0),3,1,"公司整体"),TRUE)</f>
        <v>0</v>
      </c>
      <c r="T178" t="str">
        <f t="shared" si="20"/>
        <v>上海2013-06</v>
      </c>
      <c r="U178">
        <f t="shared" ca="1" si="21"/>
        <v>0</v>
      </c>
    </row>
    <row r="179" spans="1:21" x14ac:dyDescent="0.15">
      <c r="A179" t="str">
        <f>公司整体!A179</f>
        <v>深圳</v>
      </c>
      <c r="B179" t="str">
        <f>公司整体!B179</f>
        <v>2013-06</v>
      </c>
      <c r="C179">
        <f ca="1">INDIRECT(ADDRESS(ROW(C179),MATCH(公司各渠道指标可视化!$C$4,公司整体!$1:$1,0),3,1,"公司整体"),TRUE)</f>
        <v>0</v>
      </c>
      <c r="T179" t="str">
        <f t="shared" si="20"/>
        <v>深圳2013-06</v>
      </c>
      <c r="U179">
        <f t="shared" ca="1" si="21"/>
        <v>0</v>
      </c>
    </row>
    <row r="180" spans="1:21" x14ac:dyDescent="0.15">
      <c r="A180" t="str">
        <f>公司整体!A180</f>
        <v>四川</v>
      </c>
      <c r="B180" t="str">
        <f>公司整体!B180</f>
        <v>2013-06</v>
      </c>
      <c r="C180">
        <f ca="1">INDIRECT(ADDRESS(ROW(C180),MATCH(公司各渠道指标可视化!$C$4,公司整体!$1:$1,0),3,1,"公司整体"),TRUE)</f>
        <v>0</v>
      </c>
      <c r="T180" t="str">
        <f t="shared" si="20"/>
        <v>四川2013-06</v>
      </c>
      <c r="U180">
        <f t="shared" ca="1" si="21"/>
        <v>0</v>
      </c>
    </row>
    <row r="181" spans="1:21" x14ac:dyDescent="0.15">
      <c r="A181" t="str">
        <f>公司整体!A181</f>
        <v>苏州</v>
      </c>
      <c r="B181" t="str">
        <f>公司整体!B181</f>
        <v>2013-06</v>
      </c>
      <c r="C181">
        <f ca="1">INDIRECT(ADDRESS(ROW(C181),MATCH(公司各渠道指标可视化!$C$4,公司整体!$1:$1,0),3,1,"公司整体"),TRUE)</f>
        <v>0</v>
      </c>
      <c r="T181" t="str">
        <f t="shared" si="20"/>
        <v>苏州2013-06</v>
      </c>
      <c r="U181">
        <f t="shared" ca="1" si="21"/>
        <v>0</v>
      </c>
    </row>
    <row r="182" spans="1:21" x14ac:dyDescent="0.15">
      <c r="A182" t="str">
        <f>公司整体!A182</f>
        <v>中山</v>
      </c>
      <c r="B182" t="str">
        <f>公司整体!B182</f>
        <v>2013-06</v>
      </c>
      <c r="C182">
        <f ca="1">INDIRECT(ADDRESS(ROW(C182),MATCH(公司各渠道指标可视化!$C$4,公司整体!$1:$1,0),3,1,"公司整体"),TRUE)</f>
        <v>0</v>
      </c>
      <c r="T182" t="str">
        <f t="shared" si="20"/>
        <v>中山2013-06</v>
      </c>
      <c r="U182">
        <f t="shared" ca="1" si="21"/>
        <v>0</v>
      </c>
    </row>
    <row r="183" spans="1:21" x14ac:dyDescent="0.15">
      <c r="A183" t="str">
        <f>公司整体!A183</f>
        <v>珠海</v>
      </c>
      <c r="B183" t="str">
        <f>公司整体!B183</f>
        <v>2013-06</v>
      </c>
      <c r="C183">
        <f ca="1">INDIRECT(ADDRESS(ROW(C183),MATCH(公司各渠道指标可视化!$C$4,公司整体!$1:$1,0),3,1,"公司整体"),TRUE)</f>
        <v>0</v>
      </c>
      <c r="T183" t="str">
        <f t="shared" si="20"/>
        <v>珠海2013-06</v>
      </c>
      <c r="U183">
        <f t="shared" ca="1" si="21"/>
        <v>0</v>
      </c>
    </row>
    <row r="184" spans="1:21" x14ac:dyDescent="0.15">
      <c r="A184" t="str">
        <f>公司整体!A184</f>
        <v>东莞</v>
      </c>
      <c r="B184" t="str">
        <f>公司整体!B184</f>
        <v>2013-07</v>
      </c>
      <c r="C184">
        <f ca="1">INDIRECT(ADDRESS(ROW(C184),MATCH(公司各渠道指标可视化!$C$4,公司整体!$1:$1,0),3,1,"公司整体"),TRUE)</f>
        <v>0</v>
      </c>
      <c r="T184" t="str">
        <f t="shared" si="20"/>
        <v>东莞2013-07</v>
      </c>
      <c r="U184">
        <f t="shared" ca="1" si="21"/>
        <v>0</v>
      </c>
    </row>
    <row r="185" spans="1:21" x14ac:dyDescent="0.15">
      <c r="A185" t="str">
        <f>公司整体!A185</f>
        <v>佛山</v>
      </c>
      <c r="B185" t="str">
        <f>公司整体!B185</f>
        <v>2013-07</v>
      </c>
      <c r="C185">
        <f ca="1">INDIRECT(ADDRESS(ROW(C185),MATCH(公司各渠道指标可视化!$C$4,公司整体!$1:$1,0),3,1,"公司整体"),TRUE)</f>
        <v>0</v>
      </c>
      <c r="T185" t="str">
        <f t="shared" si="20"/>
        <v>佛山2013-07</v>
      </c>
      <c r="U185">
        <f t="shared" ca="1" si="21"/>
        <v>0</v>
      </c>
    </row>
    <row r="186" spans="1:21" x14ac:dyDescent="0.15">
      <c r="A186" t="str">
        <f>公司整体!A186</f>
        <v>广东</v>
      </c>
      <c r="B186" t="str">
        <f>公司整体!B186</f>
        <v>2013-07</v>
      </c>
      <c r="C186">
        <f ca="1">INDIRECT(ADDRESS(ROW(C186),MATCH(公司各渠道指标可视化!$C$4,公司整体!$1:$1,0),3,1,"公司整体"),TRUE)</f>
        <v>0</v>
      </c>
      <c r="T186" t="str">
        <f t="shared" si="20"/>
        <v>广东2013-07</v>
      </c>
      <c r="U186">
        <f t="shared" ca="1" si="21"/>
        <v>0</v>
      </c>
    </row>
    <row r="187" spans="1:21" x14ac:dyDescent="0.15">
      <c r="A187" t="str">
        <f>公司整体!A187</f>
        <v>广州</v>
      </c>
      <c r="B187" t="str">
        <f>公司整体!B187</f>
        <v>2013-07</v>
      </c>
      <c r="C187">
        <f ca="1">INDIRECT(ADDRESS(ROW(C187),MATCH(公司各渠道指标可视化!$C$4,公司整体!$1:$1,0),3,1,"公司整体"),TRUE)</f>
        <v>0</v>
      </c>
      <c r="T187" t="str">
        <f t="shared" si="20"/>
        <v>广州2013-07</v>
      </c>
      <c r="U187">
        <f t="shared" ca="1" si="21"/>
        <v>0</v>
      </c>
    </row>
    <row r="188" spans="1:21" x14ac:dyDescent="0.15">
      <c r="A188" t="str">
        <f>公司整体!A188</f>
        <v>湖北</v>
      </c>
      <c r="B188" t="str">
        <f>公司整体!B188</f>
        <v>2013-07</v>
      </c>
      <c r="C188">
        <f ca="1">INDIRECT(ADDRESS(ROW(C188),MATCH(公司各渠道指标可视化!$C$4,公司整体!$1:$1,0),3,1,"公司整体"),TRUE)</f>
        <v>0</v>
      </c>
      <c r="T188" t="str">
        <f t="shared" si="20"/>
        <v>湖北2013-07</v>
      </c>
      <c r="U188">
        <f t="shared" ca="1" si="21"/>
        <v>0</v>
      </c>
    </row>
    <row r="189" spans="1:21" x14ac:dyDescent="0.15">
      <c r="A189" t="str">
        <f>公司整体!A189</f>
        <v>机构</v>
      </c>
      <c r="B189" t="str">
        <f>公司整体!B189</f>
        <v>2013-07</v>
      </c>
      <c r="C189">
        <f ca="1">INDIRECT(ADDRESS(ROW(C189),MATCH(公司各渠道指标可视化!$C$4,公司整体!$1:$1,0),3,1,"公司整体"),TRUE)</f>
        <v>0</v>
      </c>
      <c r="T189" t="str">
        <f t="shared" si="20"/>
        <v>机构2013-07</v>
      </c>
      <c r="U189">
        <f t="shared" ca="1" si="21"/>
        <v>0</v>
      </c>
    </row>
    <row r="190" spans="1:21" x14ac:dyDescent="0.15">
      <c r="A190" t="str">
        <f>公司整体!A190</f>
        <v>江苏</v>
      </c>
      <c r="B190" t="str">
        <f>公司整体!B190</f>
        <v>2013-07</v>
      </c>
      <c r="C190">
        <f ca="1">INDIRECT(ADDRESS(ROW(C190),MATCH(公司各渠道指标可视化!$C$4,公司整体!$1:$1,0),3,1,"公司整体"),TRUE)</f>
        <v>0</v>
      </c>
      <c r="T190" t="str">
        <f t="shared" si="20"/>
        <v>江苏2013-07</v>
      </c>
      <c r="U190">
        <f t="shared" ca="1" si="21"/>
        <v>0</v>
      </c>
    </row>
    <row r="191" spans="1:21" x14ac:dyDescent="0.15">
      <c r="A191" t="str">
        <f>公司整体!A191</f>
        <v>山东</v>
      </c>
      <c r="B191" t="str">
        <f>公司整体!B191</f>
        <v>2013-07</v>
      </c>
      <c r="C191">
        <f ca="1">INDIRECT(ADDRESS(ROW(C191),MATCH(公司各渠道指标可视化!$C$4,公司整体!$1:$1,0),3,1,"公司整体"),TRUE)</f>
        <v>0</v>
      </c>
      <c r="T191" t="str">
        <f t="shared" si="20"/>
        <v>山东2013-07</v>
      </c>
      <c r="U191">
        <f t="shared" ca="1" si="21"/>
        <v>0</v>
      </c>
    </row>
    <row r="192" spans="1:21" x14ac:dyDescent="0.15">
      <c r="A192" t="str">
        <f>公司整体!A192</f>
        <v>上海</v>
      </c>
      <c r="B192" t="str">
        <f>公司整体!B192</f>
        <v>2013-07</v>
      </c>
      <c r="C192">
        <f ca="1">INDIRECT(ADDRESS(ROW(C192),MATCH(公司各渠道指标可视化!$C$4,公司整体!$1:$1,0),3,1,"公司整体"),TRUE)</f>
        <v>0</v>
      </c>
      <c r="T192" t="str">
        <f t="shared" si="20"/>
        <v>上海2013-07</v>
      </c>
      <c r="U192">
        <f t="shared" ca="1" si="21"/>
        <v>0</v>
      </c>
    </row>
    <row r="193" spans="1:21" x14ac:dyDescent="0.15">
      <c r="A193" t="str">
        <f>公司整体!A193</f>
        <v>深圳</v>
      </c>
      <c r="B193" t="str">
        <f>公司整体!B193</f>
        <v>2013-07</v>
      </c>
      <c r="C193">
        <f ca="1">INDIRECT(ADDRESS(ROW(C193),MATCH(公司各渠道指标可视化!$C$4,公司整体!$1:$1,0),3,1,"公司整体"),TRUE)</f>
        <v>0</v>
      </c>
      <c r="T193" t="str">
        <f t="shared" si="20"/>
        <v>深圳2013-07</v>
      </c>
      <c r="U193">
        <f t="shared" ca="1" si="21"/>
        <v>0</v>
      </c>
    </row>
    <row r="194" spans="1:21" x14ac:dyDescent="0.15">
      <c r="A194" t="str">
        <f>公司整体!A194</f>
        <v>四川</v>
      </c>
      <c r="B194" t="str">
        <f>公司整体!B194</f>
        <v>2013-07</v>
      </c>
      <c r="C194">
        <f ca="1">INDIRECT(ADDRESS(ROW(C194),MATCH(公司各渠道指标可视化!$C$4,公司整体!$1:$1,0),3,1,"公司整体"),TRUE)</f>
        <v>0</v>
      </c>
      <c r="T194" t="str">
        <f t="shared" si="20"/>
        <v>四川2013-07</v>
      </c>
      <c r="U194">
        <f t="shared" ca="1" si="21"/>
        <v>0</v>
      </c>
    </row>
    <row r="195" spans="1:21" x14ac:dyDescent="0.15">
      <c r="A195" t="str">
        <f>公司整体!A195</f>
        <v>苏州</v>
      </c>
      <c r="B195" t="str">
        <f>公司整体!B195</f>
        <v>2013-07</v>
      </c>
      <c r="C195">
        <f ca="1">INDIRECT(ADDRESS(ROW(C195),MATCH(公司各渠道指标可视化!$C$4,公司整体!$1:$1,0),3,1,"公司整体"),TRUE)</f>
        <v>0</v>
      </c>
      <c r="T195" t="str">
        <f t="shared" si="20"/>
        <v>苏州2013-07</v>
      </c>
      <c r="U195">
        <f t="shared" ca="1" si="21"/>
        <v>0</v>
      </c>
    </row>
    <row r="196" spans="1:21" x14ac:dyDescent="0.15">
      <c r="A196" t="str">
        <f>公司整体!A196</f>
        <v>中山</v>
      </c>
      <c r="B196" t="str">
        <f>公司整体!B196</f>
        <v>2013-07</v>
      </c>
      <c r="C196">
        <f ca="1">INDIRECT(ADDRESS(ROW(C196),MATCH(公司各渠道指标可视化!$C$4,公司整体!$1:$1,0),3,1,"公司整体"),TRUE)</f>
        <v>0</v>
      </c>
      <c r="T196" t="str">
        <f t="shared" si="20"/>
        <v>中山2013-07</v>
      </c>
      <c r="U196">
        <f t="shared" ca="1" si="21"/>
        <v>0</v>
      </c>
    </row>
    <row r="197" spans="1:21" x14ac:dyDescent="0.15">
      <c r="A197" t="str">
        <f>公司整体!A197</f>
        <v>珠海</v>
      </c>
      <c r="B197" t="str">
        <f>公司整体!B197</f>
        <v>2013-07</v>
      </c>
      <c r="C197">
        <f ca="1">INDIRECT(ADDRESS(ROW(C197),MATCH(公司各渠道指标可视化!$C$4,公司整体!$1:$1,0),3,1,"公司整体"),TRUE)</f>
        <v>0</v>
      </c>
      <c r="T197" t="str">
        <f t="shared" si="20"/>
        <v>珠海2013-07</v>
      </c>
      <c r="U197">
        <f t="shared" ca="1" si="21"/>
        <v>0</v>
      </c>
    </row>
    <row r="198" spans="1:21" x14ac:dyDescent="0.15">
      <c r="A198" t="str">
        <f>公司整体!A198</f>
        <v>东莞</v>
      </c>
      <c r="B198" t="str">
        <f>公司整体!B198</f>
        <v>2013-08</v>
      </c>
      <c r="C198">
        <f ca="1">INDIRECT(ADDRESS(ROW(C198),MATCH(公司各渠道指标可视化!$C$4,公司整体!$1:$1,0),3,1,"公司整体"),TRUE)</f>
        <v>0</v>
      </c>
      <c r="T198" t="str">
        <f t="shared" si="20"/>
        <v>东莞2013-08</v>
      </c>
      <c r="U198">
        <f t="shared" ca="1" si="21"/>
        <v>0</v>
      </c>
    </row>
    <row r="199" spans="1:21" x14ac:dyDescent="0.15">
      <c r="A199" t="str">
        <f>公司整体!A199</f>
        <v>佛山</v>
      </c>
      <c r="B199" t="str">
        <f>公司整体!B199</f>
        <v>2013-08</v>
      </c>
      <c r="C199">
        <f ca="1">INDIRECT(ADDRESS(ROW(C199),MATCH(公司各渠道指标可视化!$C$4,公司整体!$1:$1,0),3,1,"公司整体"),TRUE)</f>
        <v>0</v>
      </c>
      <c r="T199" t="str">
        <f t="shared" si="20"/>
        <v>佛山2013-08</v>
      </c>
      <c r="U199">
        <f t="shared" ca="1" si="21"/>
        <v>0</v>
      </c>
    </row>
    <row r="200" spans="1:21" x14ac:dyDescent="0.15">
      <c r="A200" t="str">
        <f>公司整体!A200</f>
        <v>广东</v>
      </c>
      <c r="B200" t="str">
        <f>公司整体!B200</f>
        <v>2013-08</v>
      </c>
      <c r="C200">
        <f ca="1">INDIRECT(ADDRESS(ROW(C200),MATCH(公司各渠道指标可视化!$C$4,公司整体!$1:$1,0),3,1,"公司整体"),TRUE)</f>
        <v>0</v>
      </c>
      <c r="T200" t="str">
        <f t="shared" si="20"/>
        <v>广东2013-08</v>
      </c>
      <c r="U200">
        <f t="shared" ca="1" si="21"/>
        <v>0</v>
      </c>
    </row>
    <row r="201" spans="1:21" x14ac:dyDescent="0.15">
      <c r="A201" t="str">
        <f>公司整体!A201</f>
        <v>广州</v>
      </c>
      <c r="B201" t="str">
        <f>公司整体!B201</f>
        <v>2013-08</v>
      </c>
      <c r="C201">
        <f ca="1">INDIRECT(ADDRESS(ROW(C201),MATCH(公司各渠道指标可视化!$C$4,公司整体!$1:$1,0),3,1,"公司整体"),TRUE)</f>
        <v>0</v>
      </c>
      <c r="T201" t="str">
        <f t="shared" si="20"/>
        <v>广州2013-08</v>
      </c>
      <c r="U201">
        <f t="shared" ca="1" si="21"/>
        <v>0</v>
      </c>
    </row>
    <row r="202" spans="1:21" x14ac:dyDescent="0.15">
      <c r="A202" t="str">
        <f>公司整体!A202</f>
        <v>湖北</v>
      </c>
      <c r="B202" t="str">
        <f>公司整体!B202</f>
        <v>2013-08</v>
      </c>
      <c r="C202">
        <f ca="1">INDIRECT(ADDRESS(ROW(C202),MATCH(公司各渠道指标可视化!$C$4,公司整体!$1:$1,0),3,1,"公司整体"),TRUE)</f>
        <v>0</v>
      </c>
      <c r="T202" t="str">
        <f t="shared" si="20"/>
        <v>湖北2013-08</v>
      </c>
      <c r="U202">
        <f t="shared" ca="1" si="21"/>
        <v>0</v>
      </c>
    </row>
    <row r="203" spans="1:21" x14ac:dyDescent="0.15">
      <c r="A203" t="str">
        <f>公司整体!A203</f>
        <v>机构</v>
      </c>
      <c r="B203" t="str">
        <f>公司整体!B203</f>
        <v>2013-08</v>
      </c>
      <c r="C203">
        <f ca="1">INDIRECT(ADDRESS(ROW(C203),MATCH(公司各渠道指标可视化!$C$4,公司整体!$1:$1,0),3,1,"公司整体"),TRUE)</f>
        <v>0</v>
      </c>
      <c r="T203" t="str">
        <f t="shared" si="20"/>
        <v>机构2013-08</v>
      </c>
      <c r="U203">
        <f t="shared" ca="1" si="21"/>
        <v>0</v>
      </c>
    </row>
    <row r="204" spans="1:21" x14ac:dyDescent="0.15">
      <c r="A204" t="str">
        <f>公司整体!A204</f>
        <v>江苏</v>
      </c>
      <c r="B204" t="str">
        <f>公司整体!B204</f>
        <v>2013-08</v>
      </c>
      <c r="C204">
        <f ca="1">INDIRECT(ADDRESS(ROW(C204),MATCH(公司各渠道指标可视化!$C$4,公司整体!$1:$1,0),3,1,"公司整体"),TRUE)</f>
        <v>0</v>
      </c>
      <c r="T204" t="str">
        <f t="shared" si="20"/>
        <v>江苏2013-08</v>
      </c>
      <c r="U204">
        <f t="shared" ca="1" si="21"/>
        <v>0</v>
      </c>
    </row>
    <row r="205" spans="1:21" x14ac:dyDescent="0.15">
      <c r="A205" t="str">
        <f>公司整体!A205</f>
        <v>山东</v>
      </c>
      <c r="B205" t="str">
        <f>公司整体!B205</f>
        <v>2013-08</v>
      </c>
      <c r="C205">
        <f ca="1">INDIRECT(ADDRESS(ROW(C205),MATCH(公司各渠道指标可视化!$C$4,公司整体!$1:$1,0),3,1,"公司整体"),TRUE)</f>
        <v>0</v>
      </c>
      <c r="T205" t="str">
        <f t="shared" si="20"/>
        <v>山东2013-08</v>
      </c>
      <c r="U205">
        <f t="shared" ca="1" si="21"/>
        <v>0</v>
      </c>
    </row>
    <row r="206" spans="1:21" x14ac:dyDescent="0.15">
      <c r="A206" t="str">
        <f>公司整体!A206</f>
        <v>上海</v>
      </c>
      <c r="B206" t="str">
        <f>公司整体!B206</f>
        <v>2013-08</v>
      </c>
      <c r="C206">
        <f ca="1">INDIRECT(ADDRESS(ROW(C206),MATCH(公司各渠道指标可视化!$C$4,公司整体!$1:$1,0),3,1,"公司整体"),TRUE)</f>
        <v>0</v>
      </c>
      <c r="T206" t="str">
        <f t="shared" si="20"/>
        <v>上海2013-08</v>
      </c>
      <c r="U206">
        <f t="shared" ca="1" si="21"/>
        <v>0</v>
      </c>
    </row>
    <row r="207" spans="1:21" x14ac:dyDescent="0.15">
      <c r="A207" t="str">
        <f>公司整体!A207</f>
        <v>深圳</v>
      </c>
      <c r="B207" t="str">
        <f>公司整体!B207</f>
        <v>2013-08</v>
      </c>
      <c r="C207">
        <f ca="1">INDIRECT(ADDRESS(ROW(C207),MATCH(公司各渠道指标可视化!$C$4,公司整体!$1:$1,0),3,1,"公司整体"),TRUE)</f>
        <v>0</v>
      </c>
      <c r="T207" t="str">
        <f t="shared" si="20"/>
        <v>深圳2013-08</v>
      </c>
      <c r="U207">
        <f t="shared" ca="1" si="21"/>
        <v>0</v>
      </c>
    </row>
    <row r="208" spans="1:21" x14ac:dyDescent="0.15">
      <c r="A208" t="str">
        <f>公司整体!A208</f>
        <v>四川</v>
      </c>
      <c r="B208" t="str">
        <f>公司整体!B208</f>
        <v>2013-08</v>
      </c>
      <c r="C208">
        <f ca="1">INDIRECT(ADDRESS(ROW(C208),MATCH(公司各渠道指标可视化!$C$4,公司整体!$1:$1,0),3,1,"公司整体"),TRUE)</f>
        <v>0</v>
      </c>
      <c r="T208" t="str">
        <f t="shared" si="20"/>
        <v>四川2013-08</v>
      </c>
      <c r="U208">
        <f t="shared" ca="1" si="21"/>
        <v>0</v>
      </c>
    </row>
    <row r="209" spans="1:21" x14ac:dyDescent="0.15">
      <c r="A209" t="str">
        <f>公司整体!A209</f>
        <v>苏州</v>
      </c>
      <c r="B209" t="str">
        <f>公司整体!B209</f>
        <v>2013-08</v>
      </c>
      <c r="C209">
        <f ca="1">INDIRECT(ADDRESS(ROW(C209),MATCH(公司各渠道指标可视化!$C$4,公司整体!$1:$1,0),3,1,"公司整体"),TRUE)</f>
        <v>0</v>
      </c>
      <c r="T209" t="str">
        <f t="shared" si="20"/>
        <v>苏州2013-08</v>
      </c>
      <c r="U209">
        <f t="shared" ca="1" si="21"/>
        <v>0</v>
      </c>
    </row>
    <row r="210" spans="1:21" x14ac:dyDescent="0.15">
      <c r="A210" t="str">
        <f>公司整体!A210</f>
        <v>中山</v>
      </c>
      <c r="B210" t="str">
        <f>公司整体!B210</f>
        <v>2013-08</v>
      </c>
      <c r="C210">
        <f ca="1">INDIRECT(ADDRESS(ROW(C210),MATCH(公司各渠道指标可视化!$C$4,公司整体!$1:$1,0),3,1,"公司整体"),TRUE)</f>
        <v>0</v>
      </c>
      <c r="T210" t="str">
        <f t="shared" si="20"/>
        <v>中山2013-08</v>
      </c>
      <c r="U210">
        <f t="shared" ca="1" si="21"/>
        <v>0</v>
      </c>
    </row>
    <row r="211" spans="1:21" x14ac:dyDescent="0.15">
      <c r="A211" t="str">
        <f>公司整体!A211</f>
        <v>珠海</v>
      </c>
      <c r="B211" t="str">
        <f>公司整体!B211</f>
        <v>2013-08</v>
      </c>
      <c r="C211">
        <f ca="1">INDIRECT(ADDRESS(ROW(C211),MATCH(公司各渠道指标可视化!$C$4,公司整体!$1:$1,0),3,1,"公司整体"),TRUE)</f>
        <v>0</v>
      </c>
      <c r="T211" t="str">
        <f t="shared" si="20"/>
        <v>珠海2013-08</v>
      </c>
      <c r="U211">
        <f t="shared" ca="1" si="21"/>
        <v>0</v>
      </c>
    </row>
    <row r="212" spans="1:21" x14ac:dyDescent="0.15">
      <c r="A212" t="str">
        <f>公司整体!A212</f>
        <v>东莞</v>
      </c>
      <c r="B212" t="str">
        <f>公司整体!B212</f>
        <v>2013-09</v>
      </c>
      <c r="C212">
        <f ca="1">INDIRECT(ADDRESS(ROW(C212),MATCH(公司各渠道指标可视化!$C$4,公司整体!$1:$1,0),3,1,"公司整体"),TRUE)</f>
        <v>0</v>
      </c>
      <c r="T212" t="str">
        <f t="shared" si="20"/>
        <v>东莞2013-09</v>
      </c>
      <c r="U212">
        <f t="shared" ca="1" si="21"/>
        <v>0</v>
      </c>
    </row>
    <row r="213" spans="1:21" x14ac:dyDescent="0.15">
      <c r="A213" t="str">
        <f>公司整体!A213</f>
        <v>佛山</v>
      </c>
      <c r="B213" t="str">
        <f>公司整体!B213</f>
        <v>2013-09</v>
      </c>
      <c r="C213">
        <f ca="1">INDIRECT(ADDRESS(ROW(C213),MATCH(公司各渠道指标可视化!$C$4,公司整体!$1:$1,0),3,1,"公司整体"),TRUE)</f>
        <v>0</v>
      </c>
      <c r="T213" t="str">
        <f t="shared" si="20"/>
        <v>佛山2013-09</v>
      </c>
      <c r="U213">
        <f t="shared" ca="1" si="21"/>
        <v>0</v>
      </c>
    </row>
    <row r="214" spans="1:21" x14ac:dyDescent="0.15">
      <c r="A214" t="str">
        <f>公司整体!A214</f>
        <v>广东</v>
      </c>
      <c r="B214" t="str">
        <f>公司整体!B214</f>
        <v>2013-09</v>
      </c>
      <c r="C214">
        <f ca="1">INDIRECT(ADDRESS(ROW(C214),MATCH(公司各渠道指标可视化!$C$4,公司整体!$1:$1,0),3,1,"公司整体"),TRUE)</f>
        <v>0</v>
      </c>
      <c r="T214" t="str">
        <f t="shared" si="20"/>
        <v>广东2013-09</v>
      </c>
      <c r="U214">
        <f t="shared" ca="1" si="21"/>
        <v>0</v>
      </c>
    </row>
    <row r="215" spans="1:21" x14ac:dyDescent="0.15">
      <c r="A215" t="str">
        <f>公司整体!A215</f>
        <v>广州</v>
      </c>
      <c r="B215" t="str">
        <f>公司整体!B215</f>
        <v>2013-09</v>
      </c>
      <c r="C215">
        <f ca="1">INDIRECT(ADDRESS(ROW(C215),MATCH(公司各渠道指标可视化!$C$4,公司整体!$1:$1,0),3,1,"公司整体"),TRUE)</f>
        <v>0</v>
      </c>
      <c r="T215" t="str">
        <f t="shared" ref="T215:T278" si="22">A215&amp;B215</f>
        <v>广州2013-09</v>
      </c>
      <c r="U215">
        <f t="shared" ref="U215:U278" ca="1" si="23">C215</f>
        <v>0</v>
      </c>
    </row>
    <row r="216" spans="1:21" x14ac:dyDescent="0.15">
      <c r="A216" t="str">
        <f>公司整体!A216</f>
        <v>湖北</v>
      </c>
      <c r="B216" t="str">
        <f>公司整体!B216</f>
        <v>2013-09</v>
      </c>
      <c r="C216">
        <f ca="1">INDIRECT(ADDRESS(ROW(C216),MATCH(公司各渠道指标可视化!$C$4,公司整体!$1:$1,0),3,1,"公司整体"),TRUE)</f>
        <v>0</v>
      </c>
      <c r="T216" t="str">
        <f t="shared" si="22"/>
        <v>湖北2013-09</v>
      </c>
      <c r="U216">
        <f t="shared" ca="1" si="23"/>
        <v>0</v>
      </c>
    </row>
    <row r="217" spans="1:21" x14ac:dyDescent="0.15">
      <c r="A217" t="str">
        <f>公司整体!A217</f>
        <v>机构</v>
      </c>
      <c r="B217" t="str">
        <f>公司整体!B217</f>
        <v>2013-09</v>
      </c>
      <c r="C217">
        <f ca="1">INDIRECT(ADDRESS(ROW(C217),MATCH(公司各渠道指标可视化!$C$4,公司整体!$1:$1,0),3,1,"公司整体"),TRUE)</f>
        <v>0</v>
      </c>
      <c r="T217" t="str">
        <f t="shared" si="22"/>
        <v>机构2013-09</v>
      </c>
      <c r="U217">
        <f t="shared" ca="1" si="23"/>
        <v>0</v>
      </c>
    </row>
    <row r="218" spans="1:21" x14ac:dyDescent="0.15">
      <c r="A218" t="str">
        <f>公司整体!A218</f>
        <v>江苏</v>
      </c>
      <c r="B218" t="str">
        <f>公司整体!B218</f>
        <v>2013-09</v>
      </c>
      <c r="C218">
        <f ca="1">INDIRECT(ADDRESS(ROW(C218),MATCH(公司各渠道指标可视化!$C$4,公司整体!$1:$1,0),3,1,"公司整体"),TRUE)</f>
        <v>0</v>
      </c>
      <c r="T218" t="str">
        <f t="shared" si="22"/>
        <v>江苏2013-09</v>
      </c>
      <c r="U218">
        <f t="shared" ca="1" si="23"/>
        <v>0</v>
      </c>
    </row>
    <row r="219" spans="1:21" x14ac:dyDescent="0.15">
      <c r="A219" t="str">
        <f>公司整体!A219</f>
        <v>山东</v>
      </c>
      <c r="B219" t="str">
        <f>公司整体!B219</f>
        <v>2013-09</v>
      </c>
      <c r="C219">
        <f ca="1">INDIRECT(ADDRESS(ROW(C219),MATCH(公司各渠道指标可视化!$C$4,公司整体!$1:$1,0),3,1,"公司整体"),TRUE)</f>
        <v>0</v>
      </c>
      <c r="T219" t="str">
        <f t="shared" si="22"/>
        <v>山东2013-09</v>
      </c>
      <c r="U219">
        <f t="shared" ca="1" si="23"/>
        <v>0</v>
      </c>
    </row>
    <row r="220" spans="1:21" x14ac:dyDescent="0.15">
      <c r="A220" t="str">
        <f>公司整体!A220</f>
        <v>上海</v>
      </c>
      <c r="B220" t="str">
        <f>公司整体!B220</f>
        <v>2013-09</v>
      </c>
      <c r="C220">
        <f ca="1">INDIRECT(ADDRESS(ROW(C220),MATCH(公司各渠道指标可视化!$C$4,公司整体!$1:$1,0),3,1,"公司整体"),TRUE)</f>
        <v>0</v>
      </c>
      <c r="T220" t="str">
        <f t="shared" si="22"/>
        <v>上海2013-09</v>
      </c>
      <c r="U220">
        <f t="shared" ca="1" si="23"/>
        <v>0</v>
      </c>
    </row>
    <row r="221" spans="1:21" x14ac:dyDescent="0.15">
      <c r="A221" t="str">
        <f>公司整体!A221</f>
        <v>深圳</v>
      </c>
      <c r="B221" t="str">
        <f>公司整体!B221</f>
        <v>2013-09</v>
      </c>
      <c r="C221">
        <f ca="1">INDIRECT(ADDRESS(ROW(C221),MATCH(公司各渠道指标可视化!$C$4,公司整体!$1:$1,0),3,1,"公司整体"),TRUE)</f>
        <v>0</v>
      </c>
      <c r="T221" t="str">
        <f t="shared" si="22"/>
        <v>深圳2013-09</v>
      </c>
      <c r="U221">
        <f t="shared" ca="1" si="23"/>
        <v>0</v>
      </c>
    </row>
    <row r="222" spans="1:21" x14ac:dyDescent="0.15">
      <c r="A222" t="str">
        <f>公司整体!A222</f>
        <v>四川</v>
      </c>
      <c r="B222" t="str">
        <f>公司整体!B222</f>
        <v>2013-09</v>
      </c>
      <c r="C222">
        <f ca="1">INDIRECT(ADDRESS(ROW(C222),MATCH(公司各渠道指标可视化!$C$4,公司整体!$1:$1,0),3,1,"公司整体"),TRUE)</f>
        <v>0</v>
      </c>
      <c r="T222" t="str">
        <f t="shared" si="22"/>
        <v>四川2013-09</v>
      </c>
      <c r="U222">
        <f t="shared" ca="1" si="23"/>
        <v>0</v>
      </c>
    </row>
    <row r="223" spans="1:21" x14ac:dyDescent="0.15">
      <c r="A223" t="str">
        <f>公司整体!A223</f>
        <v>苏州</v>
      </c>
      <c r="B223" t="str">
        <f>公司整体!B223</f>
        <v>2013-09</v>
      </c>
      <c r="C223">
        <f ca="1">INDIRECT(ADDRESS(ROW(C223),MATCH(公司各渠道指标可视化!$C$4,公司整体!$1:$1,0),3,1,"公司整体"),TRUE)</f>
        <v>0</v>
      </c>
      <c r="T223" t="str">
        <f t="shared" si="22"/>
        <v>苏州2013-09</v>
      </c>
      <c r="U223">
        <f t="shared" ca="1" si="23"/>
        <v>0</v>
      </c>
    </row>
    <row r="224" spans="1:21" x14ac:dyDescent="0.15">
      <c r="A224" t="str">
        <f>公司整体!A224</f>
        <v>中山</v>
      </c>
      <c r="B224" t="str">
        <f>公司整体!B224</f>
        <v>2013-09</v>
      </c>
      <c r="C224">
        <f ca="1">INDIRECT(ADDRESS(ROW(C224),MATCH(公司各渠道指标可视化!$C$4,公司整体!$1:$1,0),3,1,"公司整体"),TRUE)</f>
        <v>0</v>
      </c>
      <c r="T224" t="str">
        <f t="shared" si="22"/>
        <v>中山2013-09</v>
      </c>
      <c r="U224">
        <f t="shared" ca="1" si="23"/>
        <v>0</v>
      </c>
    </row>
    <row r="225" spans="1:21" x14ac:dyDescent="0.15">
      <c r="A225" t="str">
        <f>公司整体!A225</f>
        <v>珠海</v>
      </c>
      <c r="B225" t="str">
        <f>公司整体!B225</f>
        <v>2013-09</v>
      </c>
      <c r="C225">
        <f ca="1">INDIRECT(ADDRESS(ROW(C225),MATCH(公司各渠道指标可视化!$C$4,公司整体!$1:$1,0),3,1,"公司整体"),TRUE)</f>
        <v>0</v>
      </c>
      <c r="T225" t="str">
        <f t="shared" si="22"/>
        <v>珠海2013-09</v>
      </c>
      <c r="U225">
        <f t="shared" ca="1" si="23"/>
        <v>0</v>
      </c>
    </row>
    <row r="226" spans="1:21" x14ac:dyDescent="0.15">
      <c r="A226" t="str">
        <f>公司整体!A226</f>
        <v>东莞</v>
      </c>
      <c r="B226" t="str">
        <f>公司整体!B226</f>
        <v>2013-10</v>
      </c>
      <c r="C226">
        <f ca="1">INDIRECT(ADDRESS(ROW(C226),MATCH(公司各渠道指标可视化!$C$4,公司整体!$1:$1,0),3,1,"公司整体"),TRUE)</f>
        <v>0</v>
      </c>
      <c r="T226" t="str">
        <f t="shared" si="22"/>
        <v>东莞2013-10</v>
      </c>
      <c r="U226">
        <f t="shared" ca="1" si="23"/>
        <v>0</v>
      </c>
    </row>
    <row r="227" spans="1:21" x14ac:dyDescent="0.15">
      <c r="A227" t="str">
        <f>公司整体!A227</f>
        <v>佛山</v>
      </c>
      <c r="B227" t="str">
        <f>公司整体!B227</f>
        <v>2013-10</v>
      </c>
      <c r="C227">
        <f ca="1">INDIRECT(ADDRESS(ROW(C227),MATCH(公司各渠道指标可视化!$C$4,公司整体!$1:$1,0),3,1,"公司整体"),TRUE)</f>
        <v>0</v>
      </c>
      <c r="T227" t="str">
        <f t="shared" si="22"/>
        <v>佛山2013-10</v>
      </c>
      <c r="U227">
        <f t="shared" ca="1" si="23"/>
        <v>0</v>
      </c>
    </row>
    <row r="228" spans="1:21" x14ac:dyDescent="0.15">
      <c r="A228" t="str">
        <f>公司整体!A228</f>
        <v>广东</v>
      </c>
      <c r="B228" t="str">
        <f>公司整体!B228</f>
        <v>2013-10</v>
      </c>
      <c r="C228">
        <f ca="1">INDIRECT(ADDRESS(ROW(C228),MATCH(公司各渠道指标可视化!$C$4,公司整体!$1:$1,0),3,1,"公司整体"),TRUE)</f>
        <v>0</v>
      </c>
      <c r="T228" t="str">
        <f t="shared" si="22"/>
        <v>广东2013-10</v>
      </c>
      <c r="U228">
        <f t="shared" ca="1" si="23"/>
        <v>0</v>
      </c>
    </row>
    <row r="229" spans="1:21" x14ac:dyDescent="0.15">
      <c r="A229" t="str">
        <f>公司整体!A229</f>
        <v>广州</v>
      </c>
      <c r="B229" t="str">
        <f>公司整体!B229</f>
        <v>2013-10</v>
      </c>
      <c r="C229">
        <f ca="1">INDIRECT(ADDRESS(ROW(C229),MATCH(公司各渠道指标可视化!$C$4,公司整体!$1:$1,0),3,1,"公司整体"),TRUE)</f>
        <v>0</v>
      </c>
      <c r="T229" t="str">
        <f t="shared" si="22"/>
        <v>广州2013-10</v>
      </c>
      <c r="U229">
        <f t="shared" ca="1" si="23"/>
        <v>0</v>
      </c>
    </row>
    <row r="230" spans="1:21" x14ac:dyDescent="0.15">
      <c r="A230" t="str">
        <f>公司整体!A230</f>
        <v>湖北</v>
      </c>
      <c r="B230" t="str">
        <f>公司整体!B230</f>
        <v>2013-10</v>
      </c>
      <c r="C230">
        <f ca="1">INDIRECT(ADDRESS(ROW(C230),MATCH(公司各渠道指标可视化!$C$4,公司整体!$1:$1,0),3,1,"公司整体"),TRUE)</f>
        <v>0</v>
      </c>
      <c r="T230" t="str">
        <f t="shared" si="22"/>
        <v>湖北2013-10</v>
      </c>
      <c r="U230">
        <f t="shared" ca="1" si="23"/>
        <v>0</v>
      </c>
    </row>
    <row r="231" spans="1:21" x14ac:dyDescent="0.15">
      <c r="A231" t="str">
        <f>公司整体!A231</f>
        <v>机构</v>
      </c>
      <c r="B231" t="str">
        <f>公司整体!B231</f>
        <v>2013-10</v>
      </c>
      <c r="C231">
        <f ca="1">INDIRECT(ADDRESS(ROW(C231),MATCH(公司各渠道指标可视化!$C$4,公司整体!$1:$1,0),3,1,"公司整体"),TRUE)</f>
        <v>0</v>
      </c>
      <c r="T231" t="str">
        <f t="shared" si="22"/>
        <v>机构2013-10</v>
      </c>
      <c r="U231">
        <f t="shared" ca="1" si="23"/>
        <v>0</v>
      </c>
    </row>
    <row r="232" spans="1:21" x14ac:dyDescent="0.15">
      <c r="A232" t="str">
        <f>公司整体!A232</f>
        <v>江苏</v>
      </c>
      <c r="B232" t="str">
        <f>公司整体!B232</f>
        <v>2013-10</v>
      </c>
      <c r="C232">
        <f ca="1">INDIRECT(ADDRESS(ROW(C232),MATCH(公司各渠道指标可视化!$C$4,公司整体!$1:$1,0),3,1,"公司整体"),TRUE)</f>
        <v>0</v>
      </c>
      <c r="T232" t="str">
        <f t="shared" si="22"/>
        <v>江苏2013-10</v>
      </c>
      <c r="U232">
        <f t="shared" ca="1" si="23"/>
        <v>0</v>
      </c>
    </row>
    <row r="233" spans="1:21" x14ac:dyDescent="0.15">
      <c r="A233" t="str">
        <f>公司整体!A233</f>
        <v>山东</v>
      </c>
      <c r="B233" t="str">
        <f>公司整体!B233</f>
        <v>2013-10</v>
      </c>
      <c r="C233">
        <f ca="1">INDIRECT(ADDRESS(ROW(C233),MATCH(公司各渠道指标可视化!$C$4,公司整体!$1:$1,0),3,1,"公司整体"),TRUE)</f>
        <v>0</v>
      </c>
      <c r="T233" t="str">
        <f t="shared" si="22"/>
        <v>山东2013-10</v>
      </c>
      <c r="U233">
        <f t="shared" ca="1" si="23"/>
        <v>0</v>
      </c>
    </row>
    <row r="234" spans="1:21" x14ac:dyDescent="0.15">
      <c r="A234" t="str">
        <f>公司整体!A234</f>
        <v>上海</v>
      </c>
      <c r="B234" t="str">
        <f>公司整体!B234</f>
        <v>2013-10</v>
      </c>
      <c r="C234">
        <f ca="1">INDIRECT(ADDRESS(ROW(C234),MATCH(公司各渠道指标可视化!$C$4,公司整体!$1:$1,0),3,1,"公司整体"),TRUE)</f>
        <v>0</v>
      </c>
      <c r="T234" t="str">
        <f t="shared" si="22"/>
        <v>上海2013-10</v>
      </c>
      <c r="U234">
        <f t="shared" ca="1" si="23"/>
        <v>0</v>
      </c>
    </row>
    <row r="235" spans="1:21" x14ac:dyDescent="0.15">
      <c r="A235" t="str">
        <f>公司整体!A235</f>
        <v>深圳</v>
      </c>
      <c r="B235" t="str">
        <f>公司整体!B235</f>
        <v>2013-10</v>
      </c>
      <c r="C235">
        <f ca="1">INDIRECT(ADDRESS(ROW(C235),MATCH(公司各渠道指标可视化!$C$4,公司整体!$1:$1,0),3,1,"公司整体"),TRUE)</f>
        <v>0</v>
      </c>
      <c r="T235" t="str">
        <f t="shared" si="22"/>
        <v>深圳2013-10</v>
      </c>
      <c r="U235">
        <f t="shared" ca="1" si="23"/>
        <v>0</v>
      </c>
    </row>
    <row r="236" spans="1:21" x14ac:dyDescent="0.15">
      <c r="A236" t="str">
        <f>公司整体!A236</f>
        <v>四川</v>
      </c>
      <c r="B236" t="str">
        <f>公司整体!B236</f>
        <v>2013-10</v>
      </c>
      <c r="C236">
        <f ca="1">INDIRECT(ADDRESS(ROW(C236),MATCH(公司各渠道指标可视化!$C$4,公司整体!$1:$1,0),3,1,"公司整体"),TRUE)</f>
        <v>0</v>
      </c>
      <c r="T236" t="str">
        <f t="shared" si="22"/>
        <v>四川2013-10</v>
      </c>
      <c r="U236">
        <f t="shared" ca="1" si="23"/>
        <v>0</v>
      </c>
    </row>
    <row r="237" spans="1:21" x14ac:dyDescent="0.15">
      <c r="A237" t="str">
        <f>公司整体!A237</f>
        <v>苏州</v>
      </c>
      <c r="B237" t="str">
        <f>公司整体!B237</f>
        <v>2013-10</v>
      </c>
      <c r="C237">
        <f ca="1">INDIRECT(ADDRESS(ROW(C237),MATCH(公司各渠道指标可视化!$C$4,公司整体!$1:$1,0),3,1,"公司整体"),TRUE)</f>
        <v>0</v>
      </c>
      <c r="T237" t="str">
        <f t="shared" si="22"/>
        <v>苏州2013-10</v>
      </c>
      <c r="U237">
        <f t="shared" ca="1" si="23"/>
        <v>0</v>
      </c>
    </row>
    <row r="238" spans="1:21" x14ac:dyDescent="0.15">
      <c r="A238" t="str">
        <f>公司整体!A238</f>
        <v>中山</v>
      </c>
      <c r="B238" t="str">
        <f>公司整体!B238</f>
        <v>2013-10</v>
      </c>
      <c r="C238">
        <f ca="1">INDIRECT(ADDRESS(ROW(C238),MATCH(公司各渠道指标可视化!$C$4,公司整体!$1:$1,0),3,1,"公司整体"),TRUE)</f>
        <v>0</v>
      </c>
      <c r="T238" t="str">
        <f t="shared" si="22"/>
        <v>中山2013-10</v>
      </c>
      <c r="U238">
        <f t="shared" ca="1" si="23"/>
        <v>0</v>
      </c>
    </row>
    <row r="239" spans="1:21" x14ac:dyDescent="0.15">
      <c r="A239" t="str">
        <f>公司整体!A239</f>
        <v>珠海</v>
      </c>
      <c r="B239" t="str">
        <f>公司整体!B239</f>
        <v>2013-10</v>
      </c>
      <c r="C239">
        <f ca="1">INDIRECT(ADDRESS(ROW(C239),MATCH(公司各渠道指标可视化!$C$4,公司整体!$1:$1,0),3,1,"公司整体"),TRUE)</f>
        <v>0</v>
      </c>
      <c r="T239" t="str">
        <f t="shared" si="22"/>
        <v>珠海2013-10</v>
      </c>
      <c r="U239">
        <f t="shared" ca="1" si="23"/>
        <v>0</v>
      </c>
    </row>
    <row r="240" spans="1:21" x14ac:dyDescent="0.15">
      <c r="A240" t="str">
        <f>公司整体!A240</f>
        <v>东莞</v>
      </c>
      <c r="B240" t="str">
        <f>公司整体!B240</f>
        <v>2013-11</v>
      </c>
      <c r="C240">
        <f ca="1">INDIRECT(ADDRESS(ROW(C240),MATCH(公司各渠道指标可视化!$C$4,公司整体!$1:$1,0),3,1,"公司整体"),TRUE)</f>
        <v>0</v>
      </c>
      <c r="T240" t="str">
        <f t="shared" si="22"/>
        <v>东莞2013-11</v>
      </c>
      <c r="U240">
        <f t="shared" ca="1" si="23"/>
        <v>0</v>
      </c>
    </row>
    <row r="241" spans="1:21" x14ac:dyDescent="0.15">
      <c r="A241" t="str">
        <f>公司整体!A241</f>
        <v>佛山</v>
      </c>
      <c r="B241" t="str">
        <f>公司整体!B241</f>
        <v>2013-11</v>
      </c>
      <c r="C241">
        <f ca="1">INDIRECT(ADDRESS(ROW(C241),MATCH(公司各渠道指标可视化!$C$4,公司整体!$1:$1,0),3,1,"公司整体"),TRUE)</f>
        <v>0</v>
      </c>
      <c r="T241" t="str">
        <f t="shared" si="22"/>
        <v>佛山2013-11</v>
      </c>
      <c r="U241">
        <f t="shared" ca="1" si="23"/>
        <v>0</v>
      </c>
    </row>
    <row r="242" spans="1:21" x14ac:dyDescent="0.15">
      <c r="A242" t="str">
        <f>公司整体!A242</f>
        <v>广东</v>
      </c>
      <c r="B242" t="str">
        <f>公司整体!B242</f>
        <v>2013-11</v>
      </c>
      <c r="C242">
        <f ca="1">INDIRECT(ADDRESS(ROW(C242),MATCH(公司各渠道指标可视化!$C$4,公司整体!$1:$1,0),3,1,"公司整体"),TRUE)</f>
        <v>0</v>
      </c>
      <c r="T242" t="str">
        <f t="shared" si="22"/>
        <v>广东2013-11</v>
      </c>
      <c r="U242">
        <f t="shared" ca="1" si="23"/>
        <v>0</v>
      </c>
    </row>
    <row r="243" spans="1:21" x14ac:dyDescent="0.15">
      <c r="A243" t="str">
        <f>公司整体!A243</f>
        <v>广州</v>
      </c>
      <c r="B243" t="str">
        <f>公司整体!B243</f>
        <v>2013-11</v>
      </c>
      <c r="C243">
        <f ca="1">INDIRECT(ADDRESS(ROW(C243),MATCH(公司各渠道指标可视化!$C$4,公司整体!$1:$1,0),3,1,"公司整体"),TRUE)</f>
        <v>0</v>
      </c>
      <c r="T243" t="str">
        <f t="shared" si="22"/>
        <v>广州2013-11</v>
      </c>
      <c r="U243">
        <f t="shared" ca="1" si="23"/>
        <v>0</v>
      </c>
    </row>
    <row r="244" spans="1:21" x14ac:dyDescent="0.15">
      <c r="A244" t="str">
        <f>公司整体!A244</f>
        <v>湖北</v>
      </c>
      <c r="B244" t="str">
        <f>公司整体!B244</f>
        <v>2013-11</v>
      </c>
      <c r="C244">
        <f ca="1">INDIRECT(ADDRESS(ROW(C244),MATCH(公司各渠道指标可视化!$C$4,公司整体!$1:$1,0),3,1,"公司整体"),TRUE)</f>
        <v>0</v>
      </c>
      <c r="T244" t="str">
        <f t="shared" si="22"/>
        <v>湖北2013-11</v>
      </c>
      <c r="U244">
        <f t="shared" ca="1" si="23"/>
        <v>0</v>
      </c>
    </row>
    <row r="245" spans="1:21" x14ac:dyDescent="0.15">
      <c r="A245" t="str">
        <f>公司整体!A245</f>
        <v>机构</v>
      </c>
      <c r="B245" t="str">
        <f>公司整体!B245</f>
        <v>2013-11</v>
      </c>
      <c r="C245">
        <f ca="1">INDIRECT(ADDRESS(ROW(C245),MATCH(公司各渠道指标可视化!$C$4,公司整体!$1:$1,0),3,1,"公司整体"),TRUE)</f>
        <v>0</v>
      </c>
      <c r="T245" t="str">
        <f t="shared" si="22"/>
        <v>机构2013-11</v>
      </c>
      <c r="U245">
        <f t="shared" ca="1" si="23"/>
        <v>0</v>
      </c>
    </row>
    <row r="246" spans="1:21" x14ac:dyDescent="0.15">
      <c r="A246" t="str">
        <f>公司整体!A246</f>
        <v>江苏</v>
      </c>
      <c r="B246" t="str">
        <f>公司整体!B246</f>
        <v>2013-11</v>
      </c>
      <c r="C246">
        <f ca="1">INDIRECT(ADDRESS(ROW(C246),MATCH(公司各渠道指标可视化!$C$4,公司整体!$1:$1,0),3,1,"公司整体"),TRUE)</f>
        <v>0</v>
      </c>
      <c r="T246" t="str">
        <f t="shared" si="22"/>
        <v>江苏2013-11</v>
      </c>
      <c r="U246">
        <f t="shared" ca="1" si="23"/>
        <v>0</v>
      </c>
    </row>
    <row r="247" spans="1:21" x14ac:dyDescent="0.15">
      <c r="A247" t="str">
        <f>公司整体!A247</f>
        <v>山东</v>
      </c>
      <c r="B247" t="str">
        <f>公司整体!B247</f>
        <v>2013-11</v>
      </c>
      <c r="C247">
        <f ca="1">INDIRECT(ADDRESS(ROW(C247),MATCH(公司各渠道指标可视化!$C$4,公司整体!$1:$1,0),3,1,"公司整体"),TRUE)</f>
        <v>0</v>
      </c>
      <c r="T247" t="str">
        <f t="shared" si="22"/>
        <v>山东2013-11</v>
      </c>
      <c r="U247">
        <f t="shared" ca="1" si="23"/>
        <v>0</v>
      </c>
    </row>
    <row r="248" spans="1:21" x14ac:dyDescent="0.15">
      <c r="A248" t="str">
        <f>公司整体!A248</f>
        <v>上海</v>
      </c>
      <c r="B248" t="str">
        <f>公司整体!B248</f>
        <v>2013-11</v>
      </c>
      <c r="C248">
        <f ca="1">INDIRECT(ADDRESS(ROW(C248),MATCH(公司各渠道指标可视化!$C$4,公司整体!$1:$1,0),3,1,"公司整体"),TRUE)</f>
        <v>0</v>
      </c>
      <c r="T248" t="str">
        <f t="shared" si="22"/>
        <v>上海2013-11</v>
      </c>
      <c r="U248">
        <f t="shared" ca="1" si="23"/>
        <v>0</v>
      </c>
    </row>
    <row r="249" spans="1:21" x14ac:dyDescent="0.15">
      <c r="A249" t="str">
        <f>公司整体!A249</f>
        <v>深圳</v>
      </c>
      <c r="B249" t="str">
        <f>公司整体!B249</f>
        <v>2013-11</v>
      </c>
      <c r="C249">
        <f ca="1">INDIRECT(ADDRESS(ROW(C249),MATCH(公司各渠道指标可视化!$C$4,公司整体!$1:$1,0),3,1,"公司整体"),TRUE)</f>
        <v>0</v>
      </c>
      <c r="T249" t="str">
        <f t="shared" si="22"/>
        <v>深圳2013-11</v>
      </c>
      <c r="U249">
        <f t="shared" ca="1" si="23"/>
        <v>0</v>
      </c>
    </row>
    <row r="250" spans="1:21" x14ac:dyDescent="0.15">
      <c r="A250" t="str">
        <f>公司整体!A250</f>
        <v>四川</v>
      </c>
      <c r="B250" t="str">
        <f>公司整体!B250</f>
        <v>2013-11</v>
      </c>
      <c r="C250">
        <f ca="1">INDIRECT(ADDRESS(ROW(C250),MATCH(公司各渠道指标可视化!$C$4,公司整体!$1:$1,0),3,1,"公司整体"),TRUE)</f>
        <v>0</v>
      </c>
      <c r="T250" t="str">
        <f t="shared" si="22"/>
        <v>四川2013-11</v>
      </c>
      <c r="U250">
        <f t="shared" ca="1" si="23"/>
        <v>0</v>
      </c>
    </row>
    <row r="251" spans="1:21" x14ac:dyDescent="0.15">
      <c r="A251" t="str">
        <f>公司整体!A251</f>
        <v>苏州</v>
      </c>
      <c r="B251" t="str">
        <f>公司整体!B251</f>
        <v>2013-11</v>
      </c>
      <c r="C251">
        <f ca="1">INDIRECT(ADDRESS(ROW(C251),MATCH(公司各渠道指标可视化!$C$4,公司整体!$1:$1,0),3,1,"公司整体"),TRUE)</f>
        <v>0</v>
      </c>
      <c r="T251" t="str">
        <f t="shared" si="22"/>
        <v>苏州2013-11</v>
      </c>
      <c r="U251">
        <f t="shared" ca="1" si="23"/>
        <v>0</v>
      </c>
    </row>
    <row r="252" spans="1:21" x14ac:dyDescent="0.15">
      <c r="A252" t="str">
        <f>公司整体!A252</f>
        <v>中山</v>
      </c>
      <c r="B252" t="str">
        <f>公司整体!B252</f>
        <v>2013-11</v>
      </c>
      <c r="C252">
        <f ca="1">INDIRECT(ADDRESS(ROW(C252),MATCH(公司各渠道指标可视化!$C$4,公司整体!$1:$1,0),3,1,"公司整体"),TRUE)</f>
        <v>0</v>
      </c>
      <c r="T252" t="str">
        <f t="shared" si="22"/>
        <v>中山2013-11</v>
      </c>
      <c r="U252">
        <f t="shared" ca="1" si="23"/>
        <v>0</v>
      </c>
    </row>
    <row r="253" spans="1:21" x14ac:dyDescent="0.15">
      <c r="A253" t="str">
        <f>公司整体!A253</f>
        <v>珠海</v>
      </c>
      <c r="B253" t="str">
        <f>公司整体!B253</f>
        <v>2013-11</v>
      </c>
      <c r="C253">
        <f ca="1">INDIRECT(ADDRESS(ROW(C253),MATCH(公司各渠道指标可视化!$C$4,公司整体!$1:$1,0),3,1,"公司整体"),TRUE)</f>
        <v>0</v>
      </c>
      <c r="T253" t="str">
        <f t="shared" si="22"/>
        <v>珠海2013-11</v>
      </c>
      <c r="U253">
        <f t="shared" ca="1" si="23"/>
        <v>0</v>
      </c>
    </row>
    <row r="254" spans="1:21" x14ac:dyDescent="0.15">
      <c r="A254" t="str">
        <f>公司整体!A254</f>
        <v>东莞</v>
      </c>
      <c r="B254" t="str">
        <f>公司整体!B254</f>
        <v>2013-12</v>
      </c>
      <c r="C254">
        <f ca="1">INDIRECT(ADDRESS(ROW(C254),MATCH(公司各渠道指标可视化!$C$4,公司整体!$1:$1,0),3,1,"公司整体"),TRUE)</f>
        <v>0</v>
      </c>
      <c r="T254" t="str">
        <f t="shared" si="22"/>
        <v>东莞2013-12</v>
      </c>
      <c r="U254">
        <f t="shared" ca="1" si="23"/>
        <v>0</v>
      </c>
    </row>
    <row r="255" spans="1:21" x14ac:dyDescent="0.15">
      <c r="A255" t="str">
        <f>公司整体!A255</f>
        <v>佛山</v>
      </c>
      <c r="B255" t="str">
        <f>公司整体!B255</f>
        <v>2013-12</v>
      </c>
      <c r="C255">
        <f ca="1">INDIRECT(ADDRESS(ROW(C255),MATCH(公司各渠道指标可视化!$C$4,公司整体!$1:$1,0),3,1,"公司整体"),TRUE)</f>
        <v>0</v>
      </c>
      <c r="T255" t="str">
        <f t="shared" si="22"/>
        <v>佛山2013-12</v>
      </c>
      <c r="U255">
        <f t="shared" ca="1" si="23"/>
        <v>0</v>
      </c>
    </row>
    <row r="256" spans="1:21" x14ac:dyDescent="0.15">
      <c r="A256" t="str">
        <f>公司整体!A256</f>
        <v>广东</v>
      </c>
      <c r="B256" t="str">
        <f>公司整体!B256</f>
        <v>2013-12</v>
      </c>
      <c r="C256">
        <f ca="1">INDIRECT(ADDRESS(ROW(C256),MATCH(公司各渠道指标可视化!$C$4,公司整体!$1:$1,0),3,1,"公司整体"),TRUE)</f>
        <v>0</v>
      </c>
      <c r="T256" t="str">
        <f t="shared" si="22"/>
        <v>广东2013-12</v>
      </c>
      <c r="U256">
        <f t="shared" ca="1" si="23"/>
        <v>0</v>
      </c>
    </row>
    <row r="257" spans="1:21" x14ac:dyDescent="0.15">
      <c r="A257" t="str">
        <f>公司整体!A257</f>
        <v>广州</v>
      </c>
      <c r="B257" t="str">
        <f>公司整体!B257</f>
        <v>2013-12</v>
      </c>
      <c r="C257">
        <f ca="1">INDIRECT(ADDRESS(ROW(C257),MATCH(公司各渠道指标可视化!$C$4,公司整体!$1:$1,0),3,1,"公司整体"),TRUE)</f>
        <v>0</v>
      </c>
      <c r="T257" t="str">
        <f t="shared" si="22"/>
        <v>广州2013-12</v>
      </c>
      <c r="U257">
        <f t="shared" ca="1" si="23"/>
        <v>0</v>
      </c>
    </row>
    <row r="258" spans="1:21" x14ac:dyDescent="0.15">
      <c r="A258" t="str">
        <f>公司整体!A258</f>
        <v>湖北</v>
      </c>
      <c r="B258" t="str">
        <f>公司整体!B258</f>
        <v>2013-12</v>
      </c>
      <c r="C258">
        <f ca="1">INDIRECT(ADDRESS(ROW(C258),MATCH(公司各渠道指标可视化!$C$4,公司整体!$1:$1,0),3,1,"公司整体"),TRUE)</f>
        <v>0</v>
      </c>
      <c r="T258" t="str">
        <f t="shared" si="22"/>
        <v>湖北2013-12</v>
      </c>
      <c r="U258">
        <f t="shared" ca="1" si="23"/>
        <v>0</v>
      </c>
    </row>
    <row r="259" spans="1:21" x14ac:dyDescent="0.15">
      <c r="A259" t="str">
        <f>公司整体!A259</f>
        <v>机构</v>
      </c>
      <c r="B259" t="str">
        <f>公司整体!B259</f>
        <v>2013-12</v>
      </c>
      <c r="C259">
        <f ca="1">INDIRECT(ADDRESS(ROW(C259),MATCH(公司各渠道指标可视化!$C$4,公司整体!$1:$1,0),3,1,"公司整体"),TRUE)</f>
        <v>0</v>
      </c>
      <c r="T259" t="str">
        <f t="shared" si="22"/>
        <v>机构2013-12</v>
      </c>
      <c r="U259">
        <f t="shared" ca="1" si="23"/>
        <v>0</v>
      </c>
    </row>
    <row r="260" spans="1:21" x14ac:dyDescent="0.15">
      <c r="A260" t="str">
        <f>公司整体!A260</f>
        <v>江苏</v>
      </c>
      <c r="B260" t="str">
        <f>公司整体!B260</f>
        <v>2013-12</v>
      </c>
      <c r="C260">
        <f ca="1">INDIRECT(ADDRESS(ROW(C260),MATCH(公司各渠道指标可视化!$C$4,公司整体!$1:$1,0),3,1,"公司整体"),TRUE)</f>
        <v>0</v>
      </c>
      <c r="T260" t="str">
        <f t="shared" si="22"/>
        <v>江苏2013-12</v>
      </c>
      <c r="U260">
        <f t="shared" ca="1" si="23"/>
        <v>0</v>
      </c>
    </row>
    <row r="261" spans="1:21" x14ac:dyDescent="0.15">
      <c r="A261" t="str">
        <f>公司整体!A261</f>
        <v>山东</v>
      </c>
      <c r="B261" t="str">
        <f>公司整体!B261</f>
        <v>2013-12</v>
      </c>
      <c r="C261">
        <f ca="1">INDIRECT(ADDRESS(ROW(C261),MATCH(公司各渠道指标可视化!$C$4,公司整体!$1:$1,0),3,1,"公司整体"),TRUE)</f>
        <v>0</v>
      </c>
      <c r="T261" t="str">
        <f t="shared" si="22"/>
        <v>山东2013-12</v>
      </c>
      <c r="U261">
        <f t="shared" ca="1" si="23"/>
        <v>0</v>
      </c>
    </row>
    <row r="262" spans="1:21" x14ac:dyDescent="0.15">
      <c r="A262" t="str">
        <f>公司整体!A262</f>
        <v>上海</v>
      </c>
      <c r="B262" t="str">
        <f>公司整体!B262</f>
        <v>2013-12</v>
      </c>
      <c r="C262">
        <f ca="1">INDIRECT(ADDRESS(ROW(C262),MATCH(公司各渠道指标可视化!$C$4,公司整体!$1:$1,0),3,1,"公司整体"),TRUE)</f>
        <v>0</v>
      </c>
      <c r="T262" t="str">
        <f t="shared" si="22"/>
        <v>上海2013-12</v>
      </c>
      <c r="U262">
        <f t="shared" ca="1" si="23"/>
        <v>0</v>
      </c>
    </row>
    <row r="263" spans="1:21" x14ac:dyDescent="0.15">
      <c r="A263" t="str">
        <f>公司整体!A263</f>
        <v>深圳</v>
      </c>
      <c r="B263" t="str">
        <f>公司整体!B263</f>
        <v>2013-12</v>
      </c>
      <c r="C263">
        <f ca="1">INDIRECT(ADDRESS(ROW(C263),MATCH(公司各渠道指标可视化!$C$4,公司整体!$1:$1,0),3,1,"公司整体"),TRUE)</f>
        <v>0</v>
      </c>
      <c r="T263" t="str">
        <f t="shared" si="22"/>
        <v>深圳2013-12</v>
      </c>
      <c r="U263">
        <f t="shared" ca="1" si="23"/>
        <v>0</v>
      </c>
    </row>
    <row r="264" spans="1:21" x14ac:dyDescent="0.15">
      <c r="A264" t="str">
        <f>公司整体!A264</f>
        <v>四川</v>
      </c>
      <c r="B264" t="str">
        <f>公司整体!B264</f>
        <v>2013-12</v>
      </c>
      <c r="C264">
        <f ca="1">INDIRECT(ADDRESS(ROW(C264),MATCH(公司各渠道指标可视化!$C$4,公司整体!$1:$1,0),3,1,"公司整体"),TRUE)</f>
        <v>0</v>
      </c>
      <c r="T264" t="str">
        <f t="shared" si="22"/>
        <v>四川2013-12</v>
      </c>
      <c r="U264">
        <f t="shared" ca="1" si="23"/>
        <v>0</v>
      </c>
    </row>
    <row r="265" spans="1:21" x14ac:dyDescent="0.15">
      <c r="A265" t="str">
        <f>公司整体!A265</f>
        <v>苏州</v>
      </c>
      <c r="B265" t="str">
        <f>公司整体!B265</f>
        <v>2013-12</v>
      </c>
      <c r="C265">
        <f ca="1">INDIRECT(ADDRESS(ROW(C265),MATCH(公司各渠道指标可视化!$C$4,公司整体!$1:$1,0),3,1,"公司整体"),TRUE)</f>
        <v>0</v>
      </c>
      <c r="T265" t="str">
        <f t="shared" si="22"/>
        <v>苏州2013-12</v>
      </c>
      <c r="U265">
        <f t="shared" ca="1" si="23"/>
        <v>0</v>
      </c>
    </row>
    <row r="266" spans="1:21" x14ac:dyDescent="0.15">
      <c r="A266" t="str">
        <f>公司整体!A266</f>
        <v>中山</v>
      </c>
      <c r="B266" t="str">
        <f>公司整体!B266</f>
        <v>2013-12</v>
      </c>
      <c r="C266">
        <f ca="1">INDIRECT(ADDRESS(ROW(C266),MATCH(公司各渠道指标可视化!$C$4,公司整体!$1:$1,0),3,1,"公司整体"),TRUE)</f>
        <v>0</v>
      </c>
      <c r="T266" t="str">
        <f t="shared" si="22"/>
        <v>中山2013-12</v>
      </c>
      <c r="U266">
        <f t="shared" ca="1" si="23"/>
        <v>0</v>
      </c>
    </row>
    <row r="267" spans="1:21" x14ac:dyDescent="0.15">
      <c r="A267" t="str">
        <f>公司整体!A267</f>
        <v>珠海</v>
      </c>
      <c r="B267" t="str">
        <f>公司整体!B267</f>
        <v>2013-12</v>
      </c>
      <c r="C267">
        <f ca="1">INDIRECT(ADDRESS(ROW(C267),MATCH(公司各渠道指标可视化!$C$4,公司整体!$1:$1,0),3,1,"公司整体"),TRUE)</f>
        <v>0</v>
      </c>
      <c r="T267" t="str">
        <f t="shared" si="22"/>
        <v>珠海2013-12</v>
      </c>
      <c r="U267">
        <f t="shared" ca="1" si="23"/>
        <v>0</v>
      </c>
    </row>
    <row r="268" spans="1:21" x14ac:dyDescent="0.15">
      <c r="A268" t="str">
        <f>公司整体!A268</f>
        <v>东莞</v>
      </c>
      <c r="B268" t="str">
        <f>公司整体!B268</f>
        <v>2014-01</v>
      </c>
      <c r="C268">
        <f ca="1">INDIRECT(ADDRESS(ROW(C268),MATCH(公司各渠道指标可视化!$C$4,公司整体!$1:$1,0),3,1,"公司整体"),TRUE)</f>
        <v>0</v>
      </c>
      <c r="T268" t="str">
        <f t="shared" si="22"/>
        <v>东莞2014-01</v>
      </c>
      <c r="U268">
        <f t="shared" ca="1" si="23"/>
        <v>0</v>
      </c>
    </row>
    <row r="269" spans="1:21" x14ac:dyDescent="0.15">
      <c r="A269" t="str">
        <f>公司整体!A269</f>
        <v>佛山</v>
      </c>
      <c r="B269" t="str">
        <f>公司整体!B269</f>
        <v>2014-01</v>
      </c>
      <c r="C269">
        <f ca="1">INDIRECT(ADDRESS(ROW(C269),MATCH(公司各渠道指标可视化!$C$4,公司整体!$1:$1,0),3,1,"公司整体"),TRUE)</f>
        <v>0</v>
      </c>
      <c r="T269" t="str">
        <f t="shared" si="22"/>
        <v>佛山2014-01</v>
      </c>
      <c r="U269">
        <f t="shared" ca="1" si="23"/>
        <v>0</v>
      </c>
    </row>
    <row r="270" spans="1:21" x14ac:dyDescent="0.15">
      <c r="A270" t="str">
        <f>公司整体!A270</f>
        <v>广东</v>
      </c>
      <c r="B270" t="str">
        <f>公司整体!B270</f>
        <v>2014-01</v>
      </c>
      <c r="C270">
        <f ca="1">INDIRECT(ADDRESS(ROW(C270),MATCH(公司各渠道指标可视化!$C$4,公司整体!$1:$1,0),3,1,"公司整体"),TRUE)</f>
        <v>0</v>
      </c>
      <c r="T270" t="str">
        <f t="shared" si="22"/>
        <v>广东2014-01</v>
      </c>
      <c r="U270">
        <f t="shared" ca="1" si="23"/>
        <v>0</v>
      </c>
    </row>
    <row r="271" spans="1:21" x14ac:dyDescent="0.15">
      <c r="A271" t="str">
        <f>公司整体!A271</f>
        <v>广州</v>
      </c>
      <c r="B271" t="str">
        <f>公司整体!B271</f>
        <v>2014-01</v>
      </c>
      <c r="C271">
        <f ca="1">INDIRECT(ADDRESS(ROW(C271),MATCH(公司各渠道指标可视化!$C$4,公司整体!$1:$1,0),3,1,"公司整体"),TRUE)</f>
        <v>0</v>
      </c>
      <c r="T271" t="str">
        <f t="shared" si="22"/>
        <v>广州2014-01</v>
      </c>
      <c r="U271">
        <f t="shared" ca="1" si="23"/>
        <v>0</v>
      </c>
    </row>
    <row r="272" spans="1:21" x14ac:dyDescent="0.15">
      <c r="A272" t="str">
        <f>公司整体!A272</f>
        <v>湖北</v>
      </c>
      <c r="B272" t="str">
        <f>公司整体!B272</f>
        <v>2014-01</v>
      </c>
      <c r="C272">
        <f ca="1">INDIRECT(ADDRESS(ROW(C272),MATCH(公司各渠道指标可视化!$C$4,公司整体!$1:$1,0),3,1,"公司整体"),TRUE)</f>
        <v>0</v>
      </c>
      <c r="T272" t="str">
        <f t="shared" si="22"/>
        <v>湖北2014-01</v>
      </c>
      <c r="U272">
        <f t="shared" ca="1" si="23"/>
        <v>0</v>
      </c>
    </row>
    <row r="273" spans="1:21" x14ac:dyDescent="0.15">
      <c r="A273" t="str">
        <f>公司整体!A273</f>
        <v>机构</v>
      </c>
      <c r="B273" t="str">
        <f>公司整体!B273</f>
        <v>2014-01</v>
      </c>
      <c r="C273">
        <f ca="1">INDIRECT(ADDRESS(ROW(C273),MATCH(公司各渠道指标可视化!$C$4,公司整体!$1:$1,0),3,1,"公司整体"),TRUE)</f>
        <v>0</v>
      </c>
      <c r="T273" t="str">
        <f t="shared" si="22"/>
        <v>机构2014-01</v>
      </c>
      <c r="U273">
        <f t="shared" ca="1" si="23"/>
        <v>0</v>
      </c>
    </row>
    <row r="274" spans="1:21" x14ac:dyDescent="0.15">
      <c r="A274" t="str">
        <f>公司整体!A274</f>
        <v>江苏</v>
      </c>
      <c r="B274" t="str">
        <f>公司整体!B274</f>
        <v>2014-01</v>
      </c>
      <c r="C274">
        <f ca="1">INDIRECT(ADDRESS(ROW(C274),MATCH(公司各渠道指标可视化!$C$4,公司整体!$1:$1,0),3,1,"公司整体"),TRUE)</f>
        <v>0</v>
      </c>
      <c r="T274" t="str">
        <f t="shared" si="22"/>
        <v>江苏2014-01</v>
      </c>
      <c r="U274">
        <f t="shared" ca="1" si="23"/>
        <v>0</v>
      </c>
    </row>
    <row r="275" spans="1:21" x14ac:dyDescent="0.15">
      <c r="A275" t="str">
        <f>公司整体!A275</f>
        <v>山东</v>
      </c>
      <c r="B275" t="str">
        <f>公司整体!B275</f>
        <v>2014-01</v>
      </c>
      <c r="C275">
        <f ca="1">INDIRECT(ADDRESS(ROW(C275),MATCH(公司各渠道指标可视化!$C$4,公司整体!$1:$1,0),3,1,"公司整体"),TRUE)</f>
        <v>0</v>
      </c>
      <c r="T275" t="str">
        <f t="shared" si="22"/>
        <v>山东2014-01</v>
      </c>
      <c r="U275">
        <f t="shared" ca="1" si="23"/>
        <v>0</v>
      </c>
    </row>
    <row r="276" spans="1:21" x14ac:dyDescent="0.15">
      <c r="A276" t="str">
        <f>公司整体!A276</f>
        <v>上海</v>
      </c>
      <c r="B276" t="str">
        <f>公司整体!B276</f>
        <v>2014-01</v>
      </c>
      <c r="C276">
        <f ca="1">INDIRECT(ADDRESS(ROW(C276),MATCH(公司各渠道指标可视化!$C$4,公司整体!$1:$1,0),3,1,"公司整体"),TRUE)</f>
        <v>0</v>
      </c>
      <c r="T276" t="str">
        <f t="shared" si="22"/>
        <v>上海2014-01</v>
      </c>
      <c r="U276">
        <f t="shared" ca="1" si="23"/>
        <v>0</v>
      </c>
    </row>
    <row r="277" spans="1:21" x14ac:dyDescent="0.15">
      <c r="A277" t="str">
        <f>公司整体!A277</f>
        <v>深圳</v>
      </c>
      <c r="B277" t="str">
        <f>公司整体!B277</f>
        <v>2014-01</v>
      </c>
      <c r="C277">
        <f ca="1">INDIRECT(ADDRESS(ROW(C277),MATCH(公司各渠道指标可视化!$C$4,公司整体!$1:$1,0),3,1,"公司整体"),TRUE)</f>
        <v>0</v>
      </c>
      <c r="T277" t="str">
        <f t="shared" si="22"/>
        <v>深圳2014-01</v>
      </c>
      <c r="U277">
        <f t="shared" ca="1" si="23"/>
        <v>0</v>
      </c>
    </row>
    <row r="278" spans="1:21" x14ac:dyDescent="0.15">
      <c r="A278" t="str">
        <f>公司整体!A278</f>
        <v>四川</v>
      </c>
      <c r="B278" t="str">
        <f>公司整体!B278</f>
        <v>2014-01</v>
      </c>
      <c r="C278">
        <f ca="1">INDIRECT(ADDRESS(ROW(C278),MATCH(公司各渠道指标可视化!$C$4,公司整体!$1:$1,0),3,1,"公司整体"),TRUE)</f>
        <v>0</v>
      </c>
      <c r="T278" t="str">
        <f t="shared" si="22"/>
        <v>四川2014-01</v>
      </c>
      <c r="U278">
        <f t="shared" ca="1" si="23"/>
        <v>0</v>
      </c>
    </row>
    <row r="279" spans="1:21" x14ac:dyDescent="0.15">
      <c r="A279" t="str">
        <f>公司整体!A279</f>
        <v>苏州</v>
      </c>
      <c r="B279" t="str">
        <f>公司整体!B279</f>
        <v>2014-01</v>
      </c>
      <c r="C279">
        <f ca="1">INDIRECT(ADDRESS(ROW(C279),MATCH(公司各渠道指标可视化!$C$4,公司整体!$1:$1,0),3,1,"公司整体"),TRUE)</f>
        <v>0</v>
      </c>
      <c r="T279" t="str">
        <f t="shared" ref="T279:T342" si="24">A279&amp;B279</f>
        <v>苏州2014-01</v>
      </c>
      <c r="U279">
        <f t="shared" ref="U279:U342" ca="1" si="25">C279</f>
        <v>0</v>
      </c>
    </row>
    <row r="280" spans="1:21" x14ac:dyDescent="0.15">
      <c r="A280" t="str">
        <f>公司整体!A280</f>
        <v>中山</v>
      </c>
      <c r="B280" t="str">
        <f>公司整体!B280</f>
        <v>2014-01</v>
      </c>
      <c r="C280">
        <f ca="1">INDIRECT(ADDRESS(ROW(C280),MATCH(公司各渠道指标可视化!$C$4,公司整体!$1:$1,0),3,1,"公司整体"),TRUE)</f>
        <v>0</v>
      </c>
      <c r="T280" t="str">
        <f t="shared" si="24"/>
        <v>中山2014-01</v>
      </c>
      <c r="U280">
        <f t="shared" ca="1" si="25"/>
        <v>0</v>
      </c>
    </row>
    <row r="281" spans="1:21" x14ac:dyDescent="0.15">
      <c r="A281" t="str">
        <f>公司整体!A281</f>
        <v>珠海</v>
      </c>
      <c r="B281" t="str">
        <f>公司整体!B281</f>
        <v>2014-01</v>
      </c>
      <c r="C281">
        <f ca="1">INDIRECT(ADDRESS(ROW(C281),MATCH(公司各渠道指标可视化!$C$4,公司整体!$1:$1,0),3,1,"公司整体"),TRUE)</f>
        <v>0</v>
      </c>
      <c r="T281" t="str">
        <f t="shared" si="24"/>
        <v>珠海2014-01</v>
      </c>
      <c r="U281">
        <f t="shared" ca="1" si="25"/>
        <v>0</v>
      </c>
    </row>
    <row r="282" spans="1:21" x14ac:dyDescent="0.15">
      <c r="A282" t="str">
        <f>公司整体!A282</f>
        <v>东莞</v>
      </c>
      <c r="B282" t="str">
        <f>公司整体!B282</f>
        <v>2014-02</v>
      </c>
      <c r="C282">
        <f ca="1">INDIRECT(ADDRESS(ROW(C282),MATCH(公司各渠道指标可视化!$C$4,公司整体!$1:$1,0),3,1,"公司整体"),TRUE)</f>
        <v>0</v>
      </c>
      <c r="T282" t="str">
        <f t="shared" si="24"/>
        <v>东莞2014-02</v>
      </c>
      <c r="U282">
        <f t="shared" ca="1" si="25"/>
        <v>0</v>
      </c>
    </row>
    <row r="283" spans="1:21" x14ac:dyDescent="0.15">
      <c r="A283" t="str">
        <f>公司整体!A283</f>
        <v>佛山</v>
      </c>
      <c r="B283" t="str">
        <f>公司整体!B283</f>
        <v>2014-02</v>
      </c>
      <c r="C283">
        <f ca="1">INDIRECT(ADDRESS(ROW(C283),MATCH(公司各渠道指标可视化!$C$4,公司整体!$1:$1,0),3,1,"公司整体"),TRUE)</f>
        <v>0</v>
      </c>
      <c r="T283" t="str">
        <f t="shared" si="24"/>
        <v>佛山2014-02</v>
      </c>
      <c r="U283">
        <f t="shared" ca="1" si="25"/>
        <v>0</v>
      </c>
    </row>
    <row r="284" spans="1:21" x14ac:dyDescent="0.15">
      <c r="A284" t="str">
        <f>公司整体!A284</f>
        <v>广东</v>
      </c>
      <c r="B284" t="str">
        <f>公司整体!B284</f>
        <v>2014-02</v>
      </c>
      <c r="C284">
        <f ca="1">INDIRECT(ADDRESS(ROW(C284),MATCH(公司各渠道指标可视化!$C$4,公司整体!$1:$1,0),3,1,"公司整体"),TRUE)</f>
        <v>0</v>
      </c>
      <c r="T284" t="str">
        <f t="shared" si="24"/>
        <v>广东2014-02</v>
      </c>
      <c r="U284">
        <f t="shared" ca="1" si="25"/>
        <v>0</v>
      </c>
    </row>
    <row r="285" spans="1:21" x14ac:dyDescent="0.15">
      <c r="A285" t="str">
        <f>公司整体!A285</f>
        <v>广州</v>
      </c>
      <c r="B285" t="str">
        <f>公司整体!B285</f>
        <v>2014-02</v>
      </c>
      <c r="C285">
        <f ca="1">INDIRECT(ADDRESS(ROW(C285),MATCH(公司各渠道指标可视化!$C$4,公司整体!$1:$1,0),3,1,"公司整体"),TRUE)</f>
        <v>0</v>
      </c>
      <c r="T285" t="str">
        <f t="shared" si="24"/>
        <v>广州2014-02</v>
      </c>
      <c r="U285">
        <f t="shared" ca="1" si="25"/>
        <v>0</v>
      </c>
    </row>
    <row r="286" spans="1:21" x14ac:dyDescent="0.15">
      <c r="A286" t="str">
        <f>公司整体!A286</f>
        <v>湖北</v>
      </c>
      <c r="B286" t="str">
        <f>公司整体!B286</f>
        <v>2014-02</v>
      </c>
      <c r="C286">
        <f ca="1">INDIRECT(ADDRESS(ROW(C286),MATCH(公司各渠道指标可视化!$C$4,公司整体!$1:$1,0),3,1,"公司整体"),TRUE)</f>
        <v>0</v>
      </c>
      <c r="T286" t="str">
        <f t="shared" si="24"/>
        <v>湖北2014-02</v>
      </c>
      <c r="U286">
        <f t="shared" ca="1" si="25"/>
        <v>0</v>
      </c>
    </row>
    <row r="287" spans="1:21" x14ac:dyDescent="0.15">
      <c r="A287" t="str">
        <f>公司整体!A287</f>
        <v>机构</v>
      </c>
      <c r="B287" t="str">
        <f>公司整体!B287</f>
        <v>2014-02</v>
      </c>
      <c r="C287">
        <f ca="1">INDIRECT(ADDRESS(ROW(C287),MATCH(公司各渠道指标可视化!$C$4,公司整体!$1:$1,0),3,1,"公司整体"),TRUE)</f>
        <v>0</v>
      </c>
      <c r="T287" t="str">
        <f t="shared" si="24"/>
        <v>机构2014-02</v>
      </c>
      <c r="U287">
        <f t="shared" ca="1" si="25"/>
        <v>0</v>
      </c>
    </row>
    <row r="288" spans="1:21" x14ac:dyDescent="0.15">
      <c r="A288" t="str">
        <f>公司整体!A288</f>
        <v>江苏</v>
      </c>
      <c r="B288" t="str">
        <f>公司整体!B288</f>
        <v>2014-02</v>
      </c>
      <c r="C288">
        <f ca="1">INDIRECT(ADDRESS(ROW(C288),MATCH(公司各渠道指标可视化!$C$4,公司整体!$1:$1,0),3,1,"公司整体"),TRUE)</f>
        <v>0</v>
      </c>
      <c r="T288" t="str">
        <f t="shared" si="24"/>
        <v>江苏2014-02</v>
      </c>
      <c r="U288">
        <f t="shared" ca="1" si="25"/>
        <v>0</v>
      </c>
    </row>
    <row r="289" spans="1:21" x14ac:dyDescent="0.15">
      <c r="A289" t="str">
        <f>公司整体!A289</f>
        <v>山东</v>
      </c>
      <c r="B289" t="str">
        <f>公司整体!B289</f>
        <v>2014-02</v>
      </c>
      <c r="C289">
        <f ca="1">INDIRECT(ADDRESS(ROW(C289),MATCH(公司各渠道指标可视化!$C$4,公司整体!$1:$1,0),3,1,"公司整体"),TRUE)</f>
        <v>0</v>
      </c>
      <c r="T289" t="str">
        <f t="shared" si="24"/>
        <v>山东2014-02</v>
      </c>
      <c r="U289">
        <f t="shared" ca="1" si="25"/>
        <v>0</v>
      </c>
    </row>
    <row r="290" spans="1:21" x14ac:dyDescent="0.15">
      <c r="A290" t="str">
        <f>公司整体!A290</f>
        <v>上海</v>
      </c>
      <c r="B290" t="str">
        <f>公司整体!B290</f>
        <v>2014-02</v>
      </c>
      <c r="C290">
        <f ca="1">INDIRECT(ADDRESS(ROW(C290),MATCH(公司各渠道指标可视化!$C$4,公司整体!$1:$1,0),3,1,"公司整体"),TRUE)</f>
        <v>0</v>
      </c>
      <c r="T290" t="str">
        <f t="shared" si="24"/>
        <v>上海2014-02</v>
      </c>
      <c r="U290">
        <f t="shared" ca="1" si="25"/>
        <v>0</v>
      </c>
    </row>
    <row r="291" spans="1:21" x14ac:dyDescent="0.15">
      <c r="A291" t="str">
        <f>公司整体!A291</f>
        <v>深圳</v>
      </c>
      <c r="B291" t="str">
        <f>公司整体!B291</f>
        <v>2014-02</v>
      </c>
      <c r="C291">
        <f ca="1">INDIRECT(ADDRESS(ROW(C291),MATCH(公司各渠道指标可视化!$C$4,公司整体!$1:$1,0),3,1,"公司整体"),TRUE)</f>
        <v>0</v>
      </c>
      <c r="T291" t="str">
        <f t="shared" si="24"/>
        <v>深圳2014-02</v>
      </c>
      <c r="U291">
        <f t="shared" ca="1" si="25"/>
        <v>0</v>
      </c>
    </row>
    <row r="292" spans="1:21" x14ac:dyDescent="0.15">
      <c r="A292" t="str">
        <f>公司整体!A292</f>
        <v>四川</v>
      </c>
      <c r="B292" t="str">
        <f>公司整体!B292</f>
        <v>2014-02</v>
      </c>
      <c r="C292">
        <f ca="1">INDIRECT(ADDRESS(ROW(C292),MATCH(公司各渠道指标可视化!$C$4,公司整体!$1:$1,0),3,1,"公司整体"),TRUE)</f>
        <v>0</v>
      </c>
      <c r="T292" t="str">
        <f t="shared" si="24"/>
        <v>四川2014-02</v>
      </c>
      <c r="U292">
        <f t="shared" ca="1" si="25"/>
        <v>0</v>
      </c>
    </row>
    <row r="293" spans="1:21" x14ac:dyDescent="0.15">
      <c r="A293" t="str">
        <f>公司整体!A293</f>
        <v>苏州</v>
      </c>
      <c r="B293" t="str">
        <f>公司整体!B293</f>
        <v>2014-02</v>
      </c>
      <c r="C293">
        <f ca="1">INDIRECT(ADDRESS(ROW(C293),MATCH(公司各渠道指标可视化!$C$4,公司整体!$1:$1,0),3,1,"公司整体"),TRUE)</f>
        <v>0</v>
      </c>
      <c r="T293" t="str">
        <f t="shared" si="24"/>
        <v>苏州2014-02</v>
      </c>
      <c r="U293">
        <f t="shared" ca="1" si="25"/>
        <v>0</v>
      </c>
    </row>
    <row r="294" spans="1:21" x14ac:dyDescent="0.15">
      <c r="A294" t="str">
        <f>公司整体!A294</f>
        <v>中山</v>
      </c>
      <c r="B294" t="str">
        <f>公司整体!B294</f>
        <v>2014-02</v>
      </c>
      <c r="C294">
        <f ca="1">INDIRECT(ADDRESS(ROW(C294),MATCH(公司各渠道指标可视化!$C$4,公司整体!$1:$1,0),3,1,"公司整体"),TRUE)</f>
        <v>0</v>
      </c>
      <c r="T294" t="str">
        <f t="shared" si="24"/>
        <v>中山2014-02</v>
      </c>
      <c r="U294">
        <f t="shared" ca="1" si="25"/>
        <v>0</v>
      </c>
    </row>
    <row r="295" spans="1:21" x14ac:dyDescent="0.15">
      <c r="A295" t="str">
        <f>公司整体!A295</f>
        <v>珠海</v>
      </c>
      <c r="B295" t="str">
        <f>公司整体!B295</f>
        <v>2014-02</v>
      </c>
      <c r="C295">
        <f ca="1">INDIRECT(ADDRESS(ROW(C295),MATCH(公司各渠道指标可视化!$C$4,公司整体!$1:$1,0),3,1,"公司整体"),TRUE)</f>
        <v>0</v>
      </c>
      <c r="T295" t="str">
        <f t="shared" si="24"/>
        <v>珠海2014-02</v>
      </c>
      <c r="U295">
        <f t="shared" ca="1" si="25"/>
        <v>0</v>
      </c>
    </row>
    <row r="296" spans="1:21" x14ac:dyDescent="0.15">
      <c r="A296" t="str">
        <f>公司整体!A296</f>
        <v>东莞</v>
      </c>
      <c r="B296" t="str">
        <f>公司整体!B296</f>
        <v>2014-03</v>
      </c>
      <c r="C296">
        <f ca="1">INDIRECT(ADDRESS(ROW(C296),MATCH(公司各渠道指标可视化!$C$4,公司整体!$1:$1,0),3,1,"公司整体"),TRUE)</f>
        <v>0</v>
      </c>
      <c r="T296" t="str">
        <f t="shared" si="24"/>
        <v>东莞2014-03</v>
      </c>
      <c r="U296">
        <f t="shared" ca="1" si="25"/>
        <v>0</v>
      </c>
    </row>
    <row r="297" spans="1:21" x14ac:dyDescent="0.15">
      <c r="A297" t="str">
        <f>公司整体!A297</f>
        <v>佛山</v>
      </c>
      <c r="B297" t="str">
        <f>公司整体!B297</f>
        <v>2014-03</v>
      </c>
      <c r="C297">
        <f ca="1">INDIRECT(ADDRESS(ROW(C297),MATCH(公司各渠道指标可视化!$C$4,公司整体!$1:$1,0),3,1,"公司整体"),TRUE)</f>
        <v>0</v>
      </c>
      <c r="T297" t="str">
        <f t="shared" si="24"/>
        <v>佛山2014-03</v>
      </c>
      <c r="U297">
        <f t="shared" ca="1" si="25"/>
        <v>0</v>
      </c>
    </row>
    <row r="298" spans="1:21" x14ac:dyDescent="0.15">
      <c r="A298" t="str">
        <f>公司整体!A298</f>
        <v>广东</v>
      </c>
      <c r="B298" t="str">
        <f>公司整体!B298</f>
        <v>2014-03</v>
      </c>
      <c r="C298">
        <f ca="1">INDIRECT(ADDRESS(ROW(C298),MATCH(公司各渠道指标可视化!$C$4,公司整体!$1:$1,0),3,1,"公司整体"),TRUE)</f>
        <v>0</v>
      </c>
      <c r="T298" t="str">
        <f t="shared" si="24"/>
        <v>广东2014-03</v>
      </c>
      <c r="U298">
        <f t="shared" ca="1" si="25"/>
        <v>0</v>
      </c>
    </row>
    <row r="299" spans="1:21" x14ac:dyDescent="0.15">
      <c r="A299" t="str">
        <f>公司整体!A299</f>
        <v>广州</v>
      </c>
      <c r="B299" t="str">
        <f>公司整体!B299</f>
        <v>2014-03</v>
      </c>
      <c r="C299">
        <f ca="1">INDIRECT(ADDRESS(ROW(C299),MATCH(公司各渠道指标可视化!$C$4,公司整体!$1:$1,0),3,1,"公司整体"),TRUE)</f>
        <v>0</v>
      </c>
      <c r="T299" t="str">
        <f t="shared" si="24"/>
        <v>广州2014-03</v>
      </c>
      <c r="U299">
        <f t="shared" ca="1" si="25"/>
        <v>0</v>
      </c>
    </row>
    <row r="300" spans="1:21" x14ac:dyDescent="0.15">
      <c r="A300" t="str">
        <f>公司整体!A300</f>
        <v>湖北</v>
      </c>
      <c r="B300" t="str">
        <f>公司整体!B300</f>
        <v>2014-03</v>
      </c>
      <c r="C300">
        <f ca="1">INDIRECT(ADDRESS(ROW(C300),MATCH(公司各渠道指标可视化!$C$4,公司整体!$1:$1,0),3,1,"公司整体"),TRUE)</f>
        <v>0</v>
      </c>
      <c r="T300" t="str">
        <f t="shared" si="24"/>
        <v>湖北2014-03</v>
      </c>
      <c r="U300">
        <f t="shared" ca="1" si="25"/>
        <v>0</v>
      </c>
    </row>
    <row r="301" spans="1:21" x14ac:dyDescent="0.15">
      <c r="A301" t="str">
        <f>公司整体!A301</f>
        <v>机构</v>
      </c>
      <c r="B301" t="str">
        <f>公司整体!B301</f>
        <v>2014-03</v>
      </c>
      <c r="C301">
        <f ca="1">INDIRECT(ADDRESS(ROW(C301),MATCH(公司各渠道指标可视化!$C$4,公司整体!$1:$1,0),3,1,"公司整体"),TRUE)</f>
        <v>0</v>
      </c>
      <c r="T301" t="str">
        <f t="shared" si="24"/>
        <v>机构2014-03</v>
      </c>
      <c r="U301">
        <f t="shared" ca="1" si="25"/>
        <v>0</v>
      </c>
    </row>
    <row r="302" spans="1:21" x14ac:dyDescent="0.15">
      <c r="A302" t="str">
        <f>公司整体!A302</f>
        <v>江苏</v>
      </c>
      <c r="B302" t="str">
        <f>公司整体!B302</f>
        <v>2014-03</v>
      </c>
      <c r="C302">
        <f ca="1">INDIRECT(ADDRESS(ROW(C302),MATCH(公司各渠道指标可视化!$C$4,公司整体!$1:$1,0),3,1,"公司整体"),TRUE)</f>
        <v>0</v>
      </c>
      <c r="T302" t="str">
        <f t="shared" si="24"/>
        <v>江苏2014-03</v>
      </c>
      <c r="U302">
        <f t="shared" ca="1" si="25"/>
        <v>0</v>
      </c>
    </row>
    <row r="303" spans="1:21" x14ac:dyDescent="0.15">
      <c r="A303" t="str">
        <f>公司整体!A303</f>
        <v>山东</v>
      </c>
      <c r="B303" t="str">
        <f>公司整体!B303</f>
        <v>2014-03</v>
      </c>
      <c r="C303">
        <f ca="1">INDIRECT(ADDRESS(ROW(C303),MATCH(公司各渠道指标可视化!$C$4,公司整体!$1:$1,0),3,1,"公司整体"),TRUE)</f>
        <v>0</v>
      </c>
      <c r="T303" t="str">
        <f t="shared" si="24"/>
        <v>山东2014-03</v>
      </c>
      <c r="U303">
        <f t="shared" ca="1" si="25"/>
        <v>0</v>
      </c>
    </row>
    <row r="304" spans="1:21" x14ac:dyDescent="0.15">
      <c r="A304" t="str">
        <f>公司整体!A304</f>
        <v>上海</v>
      </c>
      <c r="B304" t="str">
        <f>公司整体!B304</f>
        <v>2014-03</v>
      </c>
      <c r="C304">
        <f ca="1">INDIRECT(ADDRESS(ROW(C304),MATCH(公司各渠道指标可视化!$C$4,公司整体!$1:$1,0),3,1,"公司整体"),TRUE)</f>
        <v>0</v>
      </c>
      <c r="T304" t="str">
        <f t="shared" si="24"/>
        <v>上海2014-03</v>
      </c>
      <c r="U304">
        <f t="shared" ca="1" si="25"/>
        <v>0</v>
      </c>
    </row>
    <row r="305" spans="1:21" x14ac:dyDescent="0.15">
      <c r="A305" t="str">
        <f>公司整体!A305</f>
        <v>深圳</v>
      </c>
      <c r="B305" t="str">
        <f>公司整体!B305</f>
        <v>2014-03</v>
      </c>
      <c r="C305">
        <f ca="1">INDIRECT(ADDRESS(ROW(C305),MATCH(公司各渠道指标可视化!$C$4,公司整体!$1:$1,0),3,1,"公司整体"),TRUE)</f>
        <v>0</v>
      </c>
      <c r="T305" t="str">
        <f t="shared" si="24"/>
        <v>深圳2014-03</v>
      </c>
      <c r="U305">
        <f t="shared" ca="1" si="25"/>
        <v>0</v>
      </c>
    </row>
    <row r="306" spans="1:21" x14ac:dyDescent="0.15">
      <c r="A306" t="str">
        <f>公司整体!A306</f>
        <v>四川</v>
      </c>
      <c r="B306" t="str">
        <f>公司整体!B306</f>
        <v>2014-03</v>
      </c>
      <c r="C306">
        <f ca="1">INDIRECT(ADDRESS(ROW(C306),MATCH(公司各渠道指标可视化!$C$4,公司整体!$1:$1,0),3,1,"公司整体"),TRUE)</f>
        <v>0</v>
      </c>
      <c r="T306" t="str">
        <f t="shared" si="24"/>
        <v>四川2014-03</v>
      </c>
      <c r="U306">
        <f t="shared" ca="1" si="25"/>
        <v>0</v>
      </c>
    </row>
    <row r="307" spans="1:21" x14ac:dyDescent="0.15">
      <c r="A307" t="str">
        <f>公司整体!A307</f>
        <v>苏州</v>
      </c>
      <c r="B307" t="str">
        <f>公司整体!B307</f>
        <v>2014-03</v>
      </c>
      <c r="C307">
        <f ca="1">INDIRECT(ADDRESS(ROW(C307),MATCH(公司各渠道指标可视化!$C$4,公司整体!$1:$1,0),3,1,"公司整体"),TRUE)</f>
        <v>0</v>
      </c>
      <c r="T307" t="str">
        <f t="shared" si="24"/>
        <v>苏州2014-03</v>
      </c>
      <c r="U307">
        <f t="shared" ca="1" si="25"/>
        <v>0</v>
      </c>
    </row>
    <row r="308" spans="1:21" x14ac:dyDescent="0.15">
      <c r="A308" t="str">
        <f>公司整体!A308</f>
        <v>中山</v>
      </c>
      <c r="B308" t="str">
        <f>公司整体!B308</f>
        <v>2014-03</v>
      </c>
      <c r="C308">
        <f ca="1">INDIRECT(ADDRESS(ROW(C308),MATCH(公司各渠道指标可视化!$C$4,公司整体!$1:$1,0),3,1,"公司整体"),TRUE)</f>
        <v>0</v>
      </c>
      <c r="T308" t="str">
        <f t="shared" si="24"/>
        <v>中山2014-03</v>
      </c>
      <c r="U308">
        <f t="shared" ca="1" si="25"/>
        <v>0</v>
      </c>
    </row>
    <row r="309" spans="1:21" x14ac:dyDescent="0.15">
      <c r="A309" t="str">
        <f>公司整体!A309</f>
        <v>珠海</v>
      </c>
      <c r="B309" t="str">
        <f>公司整体!B309</f>
        <v>2014-03</v>
      </c>
      <c r="C309">
        <f ca="1">INDIRECT(ADDRESS(ROW(C309),MATCH(公司各渠道指标可视化!$C$4,公司整体!$1:$1,0),3,1,"公司整体"),TRUE)</f>
        <v>0</v>
      </c>
      <c r="T309" t="str">
        <f t="shared" si="24"/>
        <v>珠海2014-03</v>
      </c>
      <c r="U309">
        <f t="shared" ca="1" si="25"/>
        <v>0</v>
      </c>
    </row>
    <row r="310" spans="1:21" x14ac:dyDescent="0.15">
      <c r="A310" t="str">
        <f>公司整体!A310</f>
        <v>东莞</v>
      </c>
      <c r="B310" t="str">
        <f>公司整体!B310</f>
        <v>2014-04</v>
      </c>
      <c r="C310">
        <f ca="1">INDIRECT(ADDRESS(ROW(C310),MATCH(公司各渠道指标可视化!$C$4,公司整体!$1:$1,0),3,1,"公司整体"),TRUE)</f>
        <v>0</v>
      </c>
      <c r="T310" t="str">
        <f t="shared" si="24"/>
        <v>东莞2014-04</v>
      </c>
      <c r="U310">
        <f t="shared" ca="1" si="25"/>
        <v>0</v>
      </c>
    </row>
    <row r="311" spans="1:21" x14ac:dyDescent="0.15">
      <c r="A311" t="str">
        <f>公司整体!A311</f>
        <v>佛山</v>
      </c>
      <c r="B311" t="str">
        <f>公司整体!B311</f>
        <v>2014-04</v>
      </c>
      <c r="C311">
        <f ca="1">INDIRECT(ADDRESS(ROW(C311),MATCH(公司各渠道指标可视化!$C$4,公司整体!$1:$1,0),3,1,"公司整体"),TRUE)</f>
        <v>0</v>
      </c>
      <c r="T311" t="str">
        <f t="shared" si="24"/>
        <v>佛山2014-04</v>
      </c>
      <c r="U311">
        <f t="shared" ca="1" si="25"/>
        <v>0</v>
      </c>
    </row>
    <row r="312" spans="1:21" x14ac:dyDescent="0.15">
      <c r="A312" t="str">
        <f>公司整体!A312</f>
        <v>广东</v>
      </c>
      <c r="B312" t="str">
        <f>公司整体!B312</f>
        <v>2014-04</v>
      </c>
      <c r="C312">
        <f ca="1">INDIRECT(ADDRESS(ROW(C312),MATCH(公司各渠道指标可视化!$C$4,公司整体!$1:$1,0),3,1,"公司整体"),TRUE)</f>
        <v>0</v>
      </c>
      <c r="T312" t="str">
        <f t="shared" si="24"/>
        <v>广东2014-04</v>
      </c>
      <c r="U312">
        <f t="shared" ca="1" si="25"/>
        <v>0</v>
      </c>
    </row>
    <row r="313" spans="1:21" x14ac:dyDescent="0.15">
      <c r="A313" t="str">
        <f>公司整体!A313</f>
        <v>广州</v>
      </c>
      <c r="B313" t="str">
        <f>公司整体!B313</f>
        <v>2014-04</v>
      </c>
      <c r="C313">
        <f ca="1">INDIRECT(ADDRESS(ROW(C313),MATCH(公司各渠道指标可视化!$C$4,公司整体!$1:$1,0),3,1,"公司整体"),TRUE)</f>
        <v>0</v>
      </c>
      <c r="T313" t="str">
        <f t="shared" si="24"/>
        <v>广州2014-04</v>
      </c>
      <c r="U313">
        <f t="shared" ca="1" si="25"/>
        <v>0</v>
      </c>
    </row>
    <row r="314" spans="1:21" x14ac:dyDescent="0.15">
      <c r="A314" t="str">
        <f>公司整体!A314</f>
        <v>湖北</v>
      </c>
      <c r="B314" t="str">
        <f>公司整体!B314</f>
        <v>2014-04</v>
      </c>
      <c r="C314">
        <f ca="1">INDIRECT(ADDRESS(ROW(C314),MATCH(公司各渠道指标可视化!$C$4,公司整体!$1:$1,0),3,1,"公司整体"),TRUE)</f>
        <v>0</v>
      </c>
      <c r="T314" t="str">
        <f t="shared" si="24"/>
        <v>湖北2014-04</v>
      </c>
      <c r="U314">
        <f t="shared" ca="1" si="25"/>
        <v>0</v>
      </c>
    </row>
    <row r="315" spans="1:21" x14ac:dyDescent="0.15">
      <c r="A315" t="str">
        <f>公司整体!A315</f>
        <v>机构</v>
      </c>
      <c r="B315" t="str">
        <f>公司整体!B315</f>
        <v>2014-04</v>
      </c>
      <c r="C315">
        <f ca="1">INDIRECT(ADDRESS(ROW(C315),MATCH(公司各渠道指标可视化!$C$4,公司整体!$1:$1,0),3,1,"公司整体"),TRUE)</f>
        <v>0</v>
      </c>
      <c r="T315" t="str">
        <f t="shared" si="24"/>
        <v>机构2014-04</v>
      </c>
      <c r="U315">
        <f t="shared" ca="1" si="25"/>
        <v>0</v>
      </c>
    </row>
    <row r="316" spans="1:21" x14ac:dyDescent="0.15">
      <c r="A316" t="str">
        <f>公司整体!A316</f>
        <v>江苏</v>
      </c>
      <c r="B316" t="str">
        <f>公司整体!B316</f>
        <v>2014-04</v>
      </c>
      <c r="C316">
        <f ca="1">INDIRECT(ADDRESS(ROW(C316),MATCH(公司各渠道指标可视化!$C$4,公司整体!$1:$1,0),3,1,"公司整体"),TRUE)</f>
        <v>0</v>
      </c>
      <c r="T316" t="str">
        <f t="shared" si="24"/>
        <v>江苏2014-04</v>
      </c>
      <c r="U316">
        <f t="shared" ca="1" si="25"/>
        <v>0</v>
      </c>
    </row>
    <row r="317" spans="1:21" x14ac:dyDescent="0.15">
      <c r="A317" t="str">
        <f>公司整体!A317</f>
        <v>山东</v>
      </c>
      <c r="B317" t="str">
        <f>公司整体!B317</f>
        <v>2014-04</v>
      </c>
      <c r="C317">
        <f ca="1">INDIRECT(ADDRESS(ROW(C317),MATCH(公司各渠道指标可视化!$C$4,公司整体!$1:$1,0),3,1,"公司整体"),TRUE)</f>
        <v>0</v>
      </c>
      <c r="T317" t="str">
        <f t="shared" si="24"/>
        <v>山东2014-04</v>
      </c>
      <c r="U317">
        <f t="shared" ca="1" si="25"/>
        <v>0</v>
      </c>
    </row>
    <row r="318" spans="1:21" x14ac:dyDescent="0.15">
      <c r="A318" t="str">
        <f>公司整体!A318</f>
        <v>上海</v>
      </c>
      <c r="B318" t="str">
        <f>公司整体!B318</f>
        <v>2014-04</v>
      </c>
      <c r="C318">
        <f ca="1">INDIRECT(ADDRESS(ROW(C318),MATCH(公司各渠道指标可视化!$C$4,公司整体!$1:$1,0),3,1,"公司整体"),TRUE)</f>
        <v>0</v>
      </c>
      <c r="T318" t="str">
        <f t="shared" si="24"/>
        <v>上海2014-04</v>
      </c>
      <c r="U318">
        <f t="shared" ca="1" si="25"/>
        <v>0</v>
      </c>
    </row>
    <row r="319" spans="1:21" x14ac:dyDescent="0.15">
      <c r="A319" t="str">
        <f>公司整体!A319</f>
        <v>深圳</v>
      </c>
      <c r="B319" t="str">
        <f>公司整体!B319</f>
        <v>2014-04</v>
      </c>
      <c r="C319">
        <f ca="1">INDIRECT(ADDRESS(ROW(C319),MATCH(公司各渠道指标可视化!$C$4,公司整体!$1:$1,0),3,1,"公司整体"),TRUE)</f>
        <v>0</v>
      </c>
      <c r="T319" t="str">
        <f t="shared" si="24"/>
        <v>深圳2014-04</v>
      </c>
      <c r="U319">
        <f t="shared" ca="1" si="25"/>
        <v>0</v>
      </c>
    </row>
    <row r="320" spans="1:21" x14ac:dyDescent="0.15">
      <c r="A320" t="str">
        <f>公司整体!A320</f>
        <v>四川</v>
      </c>
      <c r="B320" t="str">
        <f>公司整体!B320</f>
        <v>2014-04</v>
      </c>
      <c r="C320">
        <f ca="1">INDIRECT(ADDRESS(ROW(C320),MATCH(公司各渠道指标可视化!$C$4,公司整体!$1:$1,0),3,1,"公司整体"),TRUE)</f>
        <v>0</v>
      </c>
      <c r="T320" t="str">
        <f t="shared" si="24"/>
        <v>四川2014-04</v>
      </c>
      <c r="U320">
        <f t="shared" ca="1" si="25"/>
        <v>0</v>
      </c>
    </row>
    <row r="321" spans="1:21" x14ac:dyDescent="0.15">
      <c r="A321" t="str">
        <f>公司整体!A321</f>
        <v>苏州</v>
      </c>
      <c r="B321" t="str">
        <f>公司整体!B321</f>
        <v>2014-04</v>
      </c>
      <c r="C321">
        <f ca="1">INDIRECT(ADDRESS(ROW(C321),MATCH(公司各渠道指标可视化!$C$4,公司整体!$1:$1,0),3,1,"公司整体"),TRUE)</f>
        <v>0</v>
      </c>
      <c r="T321" t="str">
        <f t="shared" si="24"/>
        <v>苏州2014-04</v>
      </c>
      <c r="U321">
        <f t="shared" ca="1" si="25"/>
        <v>0</v>
      </c>
    </row>
    <row r="322" spans="1:21" x14ac:dyDescent="0.15">
      <c r="A322" t="str">
        <f>公司整体!A322</f>
        <v>中山</v>
      </c>
      <c r="B322" t="str">
        <f>公司整体!B322</f>
        <v>2014-04</v>
      </c>
      <c r="C322">
        <f ca="1">INDIRECT(ADDRESS(ROW(C322),MATCH(公司各渠道指标可视化!$C$4,公司整体!$1:$1,0),3,1,"公司整体"),TRUE)</f>
        <v>0</v>
      </c>
      <c r="T322" t="str">
        <f t="shared" si="24"/>
        <v>中山2014-04</v>
      </c>
      <c r="U322">
        <f t="shared" ca="1" si="25"/>
        <v>0</v>
      </c>
    </row>
    <row r="323" spans="1:21" x14ac:dyDescent="0.15">
      <c r="A323" t="str">
        <f>公司整体!A323</f>
        <v>珠海</v>
      </c>
      <c r="B323" t="str">
        <f>公司整体!B323</f>
        <v>2014-04</v>
      </c>
      <c r="C323">
        <f ca="1">INDIRECT(ADDRESS(ROW(C323),MATCH(公司各渠道指标可视化!$C$4,公司整体!$1:$1,0),3,1,"公司整体"),TRUE)</f>
        <v>0</v>
      </c>
      <c r="T323" t="str">
        <f t="shared" si="24"/>
        <v>珠海2014-04</v>
      </c>
      <c r="U323">
        <f t="shared" ca="1" si="25"/>
        <v>0</v>
      </c>
    </row>
    <row r="324" spans="1:21" x14ac:dyDescent="0.15">
      <c r="A324" t="str">
        <f>公司整体!A324</f>
        <v>东莞</v>
      </c>
      <c r="B324" t="str">
        <f>公司整体!B324</f>
        <v>2014-05</v>
      </c>
      <c r="C324">
        <f ca="1">INDIRECT(ADDRESS(ROW(C324),MATCH(公司各渠道指标可视化!$C$4,公司整体!$1:$1,0),3,1,"公司整体"),TRUE)</f>
        <v>0</v>
      </c>
      <c r="T324" t="str">
        <f t="shared" si="24"/>
        <v>东莞2014-05</v>
      </c>
      <c r="U324">
        <f t="shared" ca="1" si="25"/>
        <v>0</v>
      </c>
    </row>
    <row r="325" spans="1:21" x14ac:dyDescent="0.15">
      <c r="A325" t="str">
        <f>公司整体!A325</f>
        <v>佛山</v>
      </c>
      <c r="B325" t="str">
        <f>公司整体!B325</f>
        <v>2014-05</v>
      </c>
      <c r="C325">
        <f ca="1">INDIRECT(ADDRESS(ROW(C325),MATCH(公司各渠道指标可视化!$C$4,公司整体!$1:$1,0),3,1,"公司整体"),TRUE)</f>
        <v>0</v>
      </c>
      <c r="T325" t="str">
        <f t="shared" si="24"/>
        <v>佛山2014-05</v>
      </c>
      <c r="U325">
        <f t="shared" ca="1" si="25"/>
        <v>0</v>
      </c>
    </row>
    <row r="326" spans="1:21" x14ac:dyDescent="0.15">
      <c r="A326" t="str">
        <f>公司整体!A326</f>
        <v>广东</v>
      </c>
      <c r="B326" t="str">
        <f>公司整体!B326</f>
        <v>2014-05</v>
      </c>
      <c r="C326">
        <f ca="1">INDIRECT(ADDRESS(ROW(C326),MATCH(公司各渠道指标可视化!$C$4,公司整体!$1:$1,0),3,1,"公司整体"),TRUE)</f>
        <v>0</v>
      </c>
      <c r="T326" t="str">
        <f t="shared" si="24"/>
        <v>广东2014-05</v>
      </c>
      <c r="U326">
        <f t="shared" ca="1" si="25"/>
        <v>0</v>
      </c>
    </row>
    <row r="327" spans="1:21" x14ac:dyDescent="0.15">
      <c r="A327" t="str">
        <f>公司整体!A327</f>
        <v>广州</v>
      </c>
      <c r="B327" t="str">
        <f>公司整体!B327</f>
        <v>2014-05</v>
      </c>
      <c r="C327">
        <f ca="1">INDIRECT(ADDRESS(ROW(C327),MATCH(公司各渠道指标可视化!$C$4,公司整体!$1:$1,0),3,1,"公司整体"),TRUE)</f>
        <v>0</v>
      </c>
      <c r="T327" t="str">
        <f t="shared" si="24"/>
        <v>广州2014-05</v>
      </c>
      <c r="U327">
        <f t="shared" ca="1" si="25"/>
        <v>0</v>
      </c>
    </row>
    <row r="328" spans="1:21" x14ac:dyDescent="0.15">
      <c r="A328" t="str">
        <f>公司整体!A328</f>
        <v>湖北</v>
      </c>
      <c r="B328" t="str">
        <f>公司整体!B328</f>
        <v>2014-05</v>
      </c>
      <c r="C328">
        <f ca="1">INDIRECT(ADDRESS(ROW(C328),MATCH(公司各渠道指标可视化!$C$4,公司整体!$1:$1,0),3,1,"公司整体"),TRUE)</f>
        <v>0</v>
      </c>
      <c r="T328" t="str">
        <f t="shared" si="24"/>
        <v>湖北2014-05</v>
      </c>
      <c r="U328">
        <f t="shared" ca="1" si="25"/>
        <v>0</v>
      </c>
    </row>
    <row r="329" spans="1:21" x14ac:dyDescent="0.15">
      <c r="A329" t="str">
        <f>公司整体!A329</f>
        <v>机构</v>
      </c>
      <c r="B329" t="str">
        <f>公司整体!B329</f>
        <v>2014-05</v>
      </c>
      <c r="C329">
        <f ca="1">INDIRECT(ADDRESS(ROW(C329),MATCH(公司各渠道指标可视化!$C$4,公司整体!$1:$1,0),3,1,"公司整体"),TRUE)</f>
        <v>0</v>
      </c>
      <c r="T329" t="str">
        <f t="shared" si="24"/>
        <v>机构2014-05</v>
      </c>
      <c r="U329">
        <f t="shared" ca="1" si="25"/>
        <v>0</v>
      </c>
    </row>
    <row r="330" spans="1:21" x14ac:dyDescent="0.15">
      <c r="A330" t="str">
        <f>公司整体!A330</f>
        <v>江苏</v>
      </c>
      <c r="B330" t="str">
        <f>公司整体!B330</f>
        <v>2014-05</v>
      </c>
      <c r="C330">
        <f ca="1">INDIRECT(ADDRESS(ROW(C330),MATCH(公司各渠道指标可视化!$C$4,公司整体!$1:$1,0),3,1,"公司整体"),TRUE)</f>
        <v>0</v>
      </c>
      <c r="T330" t="str">
        <f t="shared" si="24"/>
        <v>江苏2014-05</v>
      </c>
      <c r="U330">
        <f t="shared" ca="1" si="25"/>
        <v>0</v>
      </c>
    </row>
    <row r="331" spans="1:21" x14ac:dyDescent="0.15">
      <c r="A331" t="str">
        <f>公司整体!A331</f>
        <v>山东</v>
      </c>
      <c r="B331" t="str">
        <f>公司整体!B331</f>
        <v>2014-05</v>
      </c>
      <c r="C331">
        <f ca="1">INDIRECT(ADDRESS(ROW(C331),MATCH(公司各渠道指标可视化!$C$4,公司整体!$1:$1,0),3,1,"公司整体"),TRUE)</f>
        <v>0</v>
      </c>
      <c r="T331" t="str">
        <f t="shared" si="24"/>
        <v>山东2014-05</v>
      </c>
      <c r="U331">
        <f t="shared" ca="1" si="25"/>
        <v>0</v>
      </c>
    </row>
    <row r="332" spans="1:21" x14ac:dyDescent="0.15">
      <c r="A332" t="str">
        <f>公司整体!A332</f>
        <v>上海</v>
      </c>
      <c r="B332" t="str">
        <f>公司整体!B332</f>
        <v>2014-05</v>
      </c>
      <c r="C332">
        <f ca="1">INDIRECT(ADDRESS(ROW(C332),MATCH(公司各渠道指标可视化!$C$4,公司整体!$1:$1,0),3,1,"公司整体"),TRUE)</f>
        <v>0</v>
      </c>
      <c r="T332" t="str">
        <f t="shared" si="24"/>
        <v>上海2014-05</v>
      </c>
      <c r="U332">
        <f t="shared" ca="1" si="25"/>
        <v>0</v>
      </c>
    </row>
    <row r="333" spans="1:21" x14ac:dyDescent="0.15">
      <c r="A333" t="str">
        <f>公司整体!A333</f>
        <v>深圳</v>
      </c>
      <c r="B333" t="str">
        <f>公司整体!B333</f>
        <v>2014-05</v>
      </c>
      <c r="C333">
        <f ca="1">INDIRECT(ADDRESS(ROW(C333),MATCH(公司各渠道指标可视化!$C$4,公司整体!$1:$1,0),3,1,"公司整体"),TRUE)</f>
        <v>0</v>
      </c>
      <c r="T333" t="str">
        <f t="shared" si="24"/>
        <v>深圳2014-05</v>
      </c>
      <c r="U333">
        <f t="shared" ca="1" si="25"/>
        <v>0</v>
      </c>
    </row>
    <row r="334" spans="1:21" x14ac:dyDescent="0.15">
      <c r="A334" t="str">
        <f>公司整体!A334</f>
        <v>四川</v>
      </c>
      <c r="B334" t="str">
        <f>公司整体!B334</f>
        <v>2014-05</v>
      </c>
      <c r="C334">
        <f ca="1">INDIRECT(ADDRESS(ROW(C334),MATCH(公司各渠道指标可视化!$C$4,公司整体!$1:$1,0),3,1,"公司整体"),TRUE)</f>
        <v>0</v>
      </c>
      <c r="T334" t="str">
        <f t="shared" si="24"/>
        <v>四川2014-05</v>
      </c>
      <c r="U334">
        <f t="shared" ca="1" si="25"/>
        <v>0</v>
      </c>
    </row>
    <row r="335" spans="1:21" x14ac:dyDescent="0.15">
      <c r="A335" t="str">
        <f>公司整体!A335</f>
        <v>苏州</v>
      </c>
      <c r="B335" t="str">
        <f>公司整体!B335</f>
        <v>2014-05</v>
      </c>
      <c r="C335">
        <f ca="1">INDIRECT(ADDRESS(ROW(C335),MATCH(公司各渠道指标可视化!$C$4,公司整体!$1:$1,0),3,1,"公司整体"),TRUE)</f>
        <v>0</v>
      </c>
      <c r="T335" t="str">
        <f t="shared" si="24"/>
        <v>苏州2014-05</v>
      </c>
      <c r="U335">
        <f t="shared" ca="1" si="25"/>
        <v>0</v>
      </c>
    </row>
    <row r="336" spans="1:21" x14ac:dyDescent="0.15">
      <c r="A336" t="str">
        <f>公司整体!A336</f>
        <v>中山</v>
      </c>
      <c r="B336" t="str">
        <f>公司整体!B336</f>
        <v>2014-05</v>
      </c>
      <c r="C336">
        <f ca="1">INDIRECT(ADDRESS(ROW(C336),MATCH(公司各渠道指标可视化!$C$4,公司整体!$1:$1,0),3,1,"公司整体"),TRUE)</f>
        <v>0</v>
      </c>
      <c r="T336" t="str">
        <f t="shared" si="24"/>
        <v>中山2014-05</v>
      </c>
      <c r="U336">
        <f t="shared" ca="1" si="25"/>
        <v>0</v>
      </c>
    </row>
    <row r="337" spans="1:21" x14ac:dyDescent="0.15">
      <c r="A337" t="str">
        <f>公司整体!A337</f>
        <v>珠海</v>
      </c>
      <c r="B337" t="str">
        <f>公司整体!B337</f>
        <v>2014-05</v>
      </c>
      <c r="C337">
        <f ca="1">INDIRECT(ADDRESS(ROW(C337),MATCH(公司各渠道指标可视化!$C$4,公司整体!$1:$1,0),3,1,"公司整体"),TRUE)</f>
        <v>0</v>
      </c>
      <c r="T337" t="str">
        <f t="shared" si="24"/>
        <v>珠海2014-05</v>
      </c>
      <c r="U337">
        <f t="shared" ca="1" si="25"/>
        <v>0</v>
      </c>
    </row>
    <row r="338" spans="1:21" x14ac:dyDescent="0.15">
      <c r="A338" t="str">
        <f>公司整体!A338</f>
        <v>东莞</v>
      </c>
      <c r="B338" t="str">
        <f>公司整体!B338</f>
        <v>2014-06</v>
      </c>
      <c r="C338">
        <f ca="1">INDIRECT(ADDRESS(ROW(C338),MATCH(公司各渠道指标可视化!$C$4,公司整体!$1:$1,0),3,1,"公司整体"),TRUE)</f>
        <v>0</v>
      </c>
      <c r="T338" t="str">
        <f t="shared" si="24"/>
        <v>东莞2014-06</v>
      </c>
      <c r="U338">
        <f t="shared" ca="1" si="25"/>
        <v>0</v>
      </c>
    </row>
    <row r="339" spans="1:21" x14ac:dyDescent="0.15">
      <c r="A339" t="str">
        <f>公司整体!A339</f>
        <v>佛山</v>
      </c>
      <c r="B339" t="str">
        <f>公司整体!B339</f>
        <v>2014-06</v>
      </c>
      <c r="C339">
        <f ca="1">INDIRECT(ADDRESS(ROW(C339),MATCH(公司各渠道指标可视化!$C$4,公司整体!$1:$1,0),3,1,"公司整体"),TRUE)</f>
        <v>0</v>
      </c>
      <c r="T339" t="str">
        <f t="shared" si="24"/>
        <v>佛山2014-06</v>
      </c>
      <c r="U339">
        <f t="shared" ca="1" si="25"/>
        <v>0</v>
      </c>
    </row>
    <row r="340" spans="1:21" x14ac:dyDescent="0.15">
      <c r="A340" t="str">
        <f>公司整体!A340</f>
        <v>广东</v>
      </c>
      <c r="B340" t="str">
        <f>公司整体!B340</f>
        <v>2014-06</v>
      </c>
      <c r="C340">
        <f ca="1">INDIRECT(ADDRESS(ROW(C340),MATCH(公司各渠道指标可视化!$C$4,公司整体!$1:$1,0),3,1,"公司整体"),TRUE)</f>
        <v>0</v>
      </c>
      <c r="T340" t="str">
        <f t="shared" si="24"/>
        <v>广东2014-06</v>
      </c>
      <c r="U340">
        <f t="shared" ca="1" si="25"/>
        <v>0</v>
      </c>
    </row>
    <row r="341" spans="1:21" x14ac:dyDescent="0.15">
      <c r="A341" t="str">
        <f>公司整体!A341</f>
        <v>广州</v>
      </c>
      <c r="B341" t="str">
        <f>公司整体!B341</f>
        <v>2014-06</v>
      </c>
      <c r="C341">
        <f ca="1">INDIRECT(ADDRESS(ROW(C341),MATCH(公司各渠道指标可视化!$C$4,公司整体!$1:$1,0),3,1,"公司整体"),TRUE)</f>
        <v>0</v>
      </c>
      <c r="T341" t="str">
        <f t="shared" si="24"/>
        <v>广州2014-06</v>
      </c>
      <c r="U341">
        <f t="shared" ca="1" si="25"/>
        <v>0</v>
      </c>
    </row>
    <row r="342" spans="1:21" x14ac:dyDescent="0.15">
      <c r="A342" t="str">
        <f>公司整体!A342</f>
        <v>湖北</v>
      </c>
      <c r="B342" t="str">
        <f>公司整体!B342</f>
        <v>2014-06</v>
      </c>
      <c r="C342">
        <f ca="1">INDIRECT(ADDRESS(ROW(C342),MATCH(公司各渠道指标可视化!$C$4,公司整体!$1:$1,0),3,1,"公司整体"),TRUE)</f>
        <v>0</v>
      </c>
      <c r="T342" t="str">
        <f t="shared" si="24"/>
        <v>湖北2014-06</v>
      </c>
      <c r="U342">
        <f t="shared" ca="1" si="25"/>
        <v>0</v>
      </c>
    </row>
    <row r="343" spans="1:21" x14ac:dyDescent="0.15">
      <c r="A343" t="str">
        <f>公司整体!A343</f>
        <v>机构</v>
      </c>
      <c r="B343" t="str">
        <f>公司整体!B343</f>
        <v>2014-06</v>
      </c>
      <c r="C343">
        <f ca="1">INDIRECT(ADDRESS(ROW(C343),MATCH(公司各渠道指标可视化!$C$4,公司整体!$1:$1,0),3,1,"公司整体"),TRUE)</f>
        <v>0</v>
      </c>
      <c r="T343" t="str">
        <f t="shared" ref="T343:T406" si="26">A343&amp;B343</f>
        <v>机构2014-06</v>
      </c>
      <c r="U343">
        <f t="shared" ref="U343:U406" ca="1" si="27">C343</f>
        <v>0</v>
      </c>
    </row>
    <row r="344" spans="1:21" x14ac:dyDescent="0.15">
      <c r="A344" t="str">
        <f>公司整体!A344</f>
        <v>江苏</v>
      </c>
      <c r="B344" t="str">
        <f>公司整体!B344</f>
        <v>2014-06</v>
      </c>
      <c r="C344">
        <f ca="1">INDIRECT(ADDRESS(ROW(C344),MATCH(公司各渠道指标可视化!$C$4,公司整体!$1:$1,0),3,1,"公司整体"),TRUE)</f>
        <v>0</v>
      </c>
      <c r="T344" t="str">
        <f t="shared" si="26"/>
        <v>江苏2014-06</v>
      </c>
      <c r="U344">
        <f t="shared" ca="1" si="27"/>
        <v>0</v>
      </c>
    </row>
    <row r="345" spans="1:21" x14ac:dyDescent="0.15">
      <c r="A345" t="str">
        <f>公司整体!A345</f>
        <v>山东</v>
      </c>
      <c r="B345" t="str">
        <f>公司整体!B345</f>
        <v>2014-06</v>
      </c>
      <c r="C345">
        <f ca="1">INDIRECT(ADDRESS(ROW(C345),MATCH(公司各渠道指标可视化!$C$4,公司整体!$1:$1,0),3,1,"公司整体"),TRUE)</f>
        <v>0</v>
      </c>
      <c r="T345" t="str">
        <f t="shared" si="26"/>
        <v>山东2014-06</v>
      </c>
      <c r="U345">
        <f t="shared" ca="1" si="27"/>
        <v>0</v>
      </c>
    </row>
    <row r="346" spans="1:21" x14ac:dyDescent="0.15">
      <c r="A346" t="str">
        <f>公司整体!A346</f>
        <v>上海</v>
      </c>
      <c r="B346" t="str">
        <f>公司整体!B346</f>
        <v>2014-06</v>
      </c>
      <c r="C346">
        <f ca="1">INDIRECT(ADDRESS(ROW(C346),MATCH(公司各渠道指标可视化!$C$4,公司整体!$1:$1,0),3,1,"公司整体"),TRUE)</f>
        <v>0</v>
      </c>
      <c r="T346" t="str">
        <f t="shared" si="26"/>
        <v>上海2014-06</v>
      </c>
      <c r="U346">
        <f t="shared" ca="1" si="27"/>
        <v>0</v>
      </c>
    </row>
    <row r="347" spans="1:21" x14ac:dyDescent="0.15">
      <c r="A347" t="str">
        <f>公司整体!A347</f>
        <v>深圳</v>
      </c>
      <c r="B347" t="str">
        <f>公司整体!B347</f>
        <v>2014-06</v>
      </c>
      <c r="C347">
        <f ca="1">INDIRECT(ADDRESS(ROW(C347),MATCH(公司各渠道指标可视化!$C$4,公司整体!$1:$1,0),3,1,"公司整体"),TRUE)</f>
        <v>0</v>
      </c>
      <c r="T347" t="str">
        <f t="shared" si="26"/>
        <v>深圳2014-06</v>
      </c>
      <c r="U347">
        <f t="shared" ca="1" si="27"/>
        <v>0</v>
      </c>
    </row>
    <row r="348" spans="1:21" x14ac:dyDescent="0.15">
      <c r="A348" t="str">
        <f>公司整体!A348</f>
        <v>四川</v>
      </c>
      <c r="B348" t="str">
        <f>公司整体!B348</f>
        <v>2014-06</v>
      </c>
      <c r="C348">
        <f ca="1">INDIRECT(ADDRESS(ROW(C348),MATCH(公司各渠道指标可视化!$C$4,公司整体!$1:$1,0),3,1,"公司整体"),TRUE)</f>
        <v>0</v>
      </c>
      <c r="T348" t="str">
        <f t="shared" si="26"/>
        <v>四川2014-06</v>
      </c>
      <c r="U348">
        <f t="shared" ca="1" si="27"/>
        <v>0</v>
      </c>
    </row>
    <row r="349" spans="1:21" x14ac:dyDescent="0.15">
      <c r="A349" t="str">
        <f>公司整体!A349</f>
        <v>苏州</v>
      </c>
      <c r="B349" t="str">
        <f>公司整体!B349</f>
        <v>2014-06</v>
      </c>
      <c r="C349">
        <f ca="1">INDIRECT(ADDRESS(ROW(C349),MATCH(公司各渠道指标可视化!$C$4,公司整体!$1:$1,0),3,1,"公司整体"),TRUE)</f>
        <v>0</v>
      </c>
      <c r="T349" t="str">
        <f t="shared" si="26"/>
        <v>苏州2014-06</v>
      </c>
      <c r="U349">
        <f t="shared" ca="1" si="27"/>
        <v>0</v>
      </c>
    </row>
    <row r="350" spans="1:21" x14ac:dyDescent="0.15">
      <c r="A350" t="str">
        <f>公司整体!A350</f>
        <v>中山</v>
      </c>
      <c r="B350" t="str">
        <f>公司整体!B350</f>
        <v>2014-06</v>
      </c>
      <c r="C350">
        <f ca="1">INDIRECT(ADDRESS(ROW(C350),MATCH(公司各渠道指标可视化!$C$4,公司整体!$1:$1,0),3,1,"公司整体"),TRUE)</f>
        <v>0</v>
      </c>
      <c r="T350" t="str">
        <f t="shared" si="26"/>
        <v>中山2014-06</v>
      </c>
      <c r="U350">
        <f t="shared" ca="1" si="27"/>
        <v>0</v>
      </c>
    </row>
    <row r="351" spans="1:21" x14ac:dyDescent="0.15">
      <c r="A351" t="str">
        <f>公司整体!A351</f>
        <v>珠海</v>
      </c>
      <c r="B351" t="str">
        <f>公司整体!B351</f>
        <v>2014-06</v>
      </c>
      <c r="C351">
        <f ca="1">INDIRECT(ADDRESS(ROW(C351),MATCH(公司各渠道指标可视化!$C$4,公司整体!$1:$1,0),3,1,"公司整体"),TRUE)</f>
        <v>0</v>
      </c>
      <c r="T351" t="str">
        <f t="shared" si="26"/>
        <v>珠海2014-06</v>
      </c>
      <c r="U351">
        <f t="shared" ca="1" si="27"/>
        <v>0</v>
      </c>
    </row>
    <row r="352" spans="1:21" x14ac:dyDescent="0.15">
      <c r="A352" t="str">
        <f>公司整体!A352</f>
        <v>东莞</v>
      </c>
      <c r="B352" t="str">
        <f>公司整体!B352</f>
        <v>2014-07</v>
      </c>
      <c r="C352">
        <f ca="1">INDIRECT(ADDRESS(ROW(C352),MATCH(公司各渠道指标可视化!$C$4,公司整体!$1:$1,0),3,1,"公司整体"),TRUE)</f>
        <v>0</v>
      </c>
      <c r="T352" t="str">
        <f t="shared" si="26"/>
        <v>东莞2014-07</v>
      </c>
      <c r="U352">
        <f t="shared" ca="1" si="27"/>
        <v>0</v>
      </c>
    </row>
    <row r="353" spans="1:21" x14ac:dyDescent="0.15">
      <c r="A353" t="str">
        <f>公司整体!A353</f>
        <v>佛山</v>
      </c>
      <c r="B353" t="str">
        <f>公司整体!B353</f>
        <v>2014-07</v>
      </c>
      <c r="C353">
        <f ca="1">INDIRECT(ADDRESS(ROW(C353),MATCH(公司各渠道指标可视化!$C$4,公司整体!$1:$1,0),3,1,"公司整体"),TRUE)</f>
        <v>0</v>
      </c>
      <c r="T353" t="str">
        <f t="shared" si="26"/>
        <v>佛山2014-07</v>
      </c>
      <c r="U353">
        <f t="shared" ca="1" si="27"/>
        <v>0</v>
      </c>
    </row>
    <row r="354" spans="1:21" x14ac:dyDescent="0.15">
      <c r="A354" t="str">
        <f>公司整体!A354</f>
        <v>广东</v>
      </c>
      <c r="B354" t="str">
        <f>公司整体!B354</f>
        <v>2014-07</v>
      </c>
      <c r="C354">
        <f ca="1">INDIRECT(ADDRESS(ROW(C354),MATCH(公司各渠道指标可视化!$C$4,公司整体!$1:$1,0),3,1,"公司整体"),TRUE)</f>
        <v>0</v>
      </c>
      <c r="T354" t="str">
        <f t="shared" si="26"/>
        <v>广东2014-07</v>
      </c>
      <c r="U354">
        <f t="shared" ca="1" si="27"/>
        <v>0</v>
      </c>
    </row>
    <row r="355" spans="1:21" x14ac:dyDescent="0.15">
      <c r="A355" t="str">
        <f>公司整体!A355</f>
        <v>广州</v>
      </c>
      <c r="B355" t="str">
        <f>公司整体!B355</f>
        <v>2014-07</v>
      </c>
      <c r="C355">
        <f ca="1">INDIRECT(ADDRESS(ROW(C355),MATCH(公司各渠道指标可视化!$C$4,公司整体!$1:$1,0),3,1,"公司整体"),TRUE)</f>
        <v>0</v>
      </c>
      <c r="T355" t="str">
        <f t="shared" si="26"/>
        <v>广州2014-07</v>
      </c>
      <c r="U355">
        <f t="shared" ca="1" si="27"/>
        <v>0</v>
      </c>
    </row>
    <row r="356" spans="1:21" x14ac:dyDescent="0.15">
      <c r="A356" t="str">
        <f>公司整体!A356</f>
        <v>湖北</v>
      </c>
      <c r="B356" t="str">
        <f>公司整体!B356</f>
        <v>2014-07</v>
      </c>
      <c r="C356">
        <f ca="1">INDIRECT(ADDRESS(ROW(C356),MATCH(公司各渠道指标可视化!$C$4,公司整体!$1:$1,0),3,1,"公司整体"),TRUE)</f>
        <v>0</v>
      </c>
      <c r="T356" t="str">
        <f t="shared" si="26"/>
        <v>湖北2014-07</v>
      </c>
      <c r="U356">
        <f t="shared" ca="1" si="27"/>
        <v>0</v>
      </c>
    </row>
    <row r="357" spans="1:21" x14ac:dyDescent="0.15">
      <c r="A357" t="str">
        <f>公司整体!A357</f>
        <v>机构</v>
      </c>
      <c r="B357" t="str">
        <f>公司整体!B357</f>
        <v>2014-07</v>
      </c>
      <c r="C357">
        <f ca="1">INDIRECT(ADDRESS(ROW(C357),MATCH(公司各渠道指标可视化!$C$4,公司整体!$1:$1,0),3,1,"公司整体"),TRUE)</f>
        <v>0</v>
      </c>
      <c r="T357" t="str">
        <f t="shared" si="26"/>
        <v>机构2014-07</v>
      </c>
      <c r="U357">
        <f t="shared" ca="1" si="27"/>
        <v>0</v>
      </c>
    </row>
    <row r="358" spans="1:21" x14ac:dyDescent="0.15">
      <c r="A358" t="str">
        <f>公司整体!A358</f>
        <v>江苏</v>
      </c>
      <c r="B358" t="str">
        <f>公司整体!B358</f>
        <v>2014-07</v>
      </c>
      <c r="C358">
        <f ca="1">INDIRECT(ADDRESS(ROW(C358),MATCH(公司各渠道指标可视化!$C$4,公司整体!$1:$1,0),3,1,"公司整体"),TRUE)</f>
        <v>0</v>
      </c>
      <c r="T358" t="str">
        <f t="shared" si="26"/>
        <v>江苏2014-07</v>
      </c>
      <c r="U358">
        <f t="shared" ca="1" si="27"/>
        <v>0</v>
      </c>
    </row>
    <row r="359" spans="1:21" x14ac:dyDescent="0.15">
      <c r="A359" t="str">
        <f>公司整体!A359</f>
        <v>山东</v>
      </c>
      <c r="B359" t="str">
        <f>公司整体!B359</f>
        <v>2014-07</v>
      </c>
      <c r="C359">
        <f ca="1">INDIRECT(ADDRESS(ROW(C359),MATCH(公司各渠道指标可视化!$C$4,公司整体!$1:$1,0),3,1,"公司整体"),TRUE)</f>
        <v>0</v>
      </c>
      <c r="T359" t="str">
        <f t="shared" si="26"/>
        <v>山东2014-07</v>
      </c>
      <c r="U359">
        <f t="shared" ca="1" si="27"/>
        <v>0</v>
      </c>
    </row>
    <row r="360" spans="1:21" x14ac:dyDescent="0.15">
      <c r="A360" t="str">
        <f>公司整体!A360</f>
        <v>上海</v>
      </c>
      <c r="B360" t="str">
        <f>公司整体!B360</f>
        <v>2014-07</v>
      </c>
      <c r="C360">
        <f ca="1">INDIRECT(ADDRESS(ROW(C360),MATCH(公司各渠道指标可视化!$C$4,公司整体!$1:$1,0),3,1,"公司整体"),TRUE)</f>
        <v>0</v>
      </c>
      <c r="T360" t="str">
        <f t="shared" si="26"/>
        <v>上海2014-07</v>
      </c>
      <c r="U360">
        <f t="shared" ca="1" si="27"/>
        <v>0</v>
      </c>
    </row>
    <row r="361" spans="1:21" x14ac:dyDescent="0.15">
      <c r="A361" t="str">
        <f>公司整体!A361</f>
        <v>深圳</v>
      </c>
      <c r="B361" t="str">
        <f>公司整体!B361</f>
        <v>2014-07</v>
      </c>
      <c r="C361">
        <f ca="1">INDIRECT(ADDRESS(ROW(C361),MATCH(公司各渠道指标可视化!$C$4,公司整体!$1:$1,0),3,1,"公司整体"),TRUE)</f>
        <v>0</v>
      </c>
      <c r="T361" t="str">
        <f t="shared" si="26"/>
        <v>深圳2014-07</v>
      </c>
      <c r="U361">
        <f t="shared" ca="1" si="27"/>
        <v>0</v>
      </c>
    </row>
    <row r="362" spans="1:21" x14ac:dyDescent="0.15">
      <c r="A362" t="str">
        <f>公司整体!A362</f>
        <v>四川</v>
      </c>
      <c r="B362" t="str">
        <f>公司整体!B362</f>
        <v>2014-07</v>
      </c>
      <c r="C362">
        <f ca="1">INDIRECT(ADDRESS(ROW(C362),MATCH(公司各渠道指标可视化!$C$4,公司整体!$1:$1,0),3,1,"公司整体"),TRUE)</f>
        <v>0</v>
      </c>
      <c r="T362" t="str">
        <f t="shared" si="26"/>
        <v>四川2014-07</v>
      </c>
      <c r="U362">
        <f t="shared" ca="1" si="27"/>
        <v>0</v>
      </c>
    </row>
    <row r="363" spans="1:21" x14ac:dyDescent="0.15">
      <c r="A363" t="str">
        <f>公司整体!A363</f>
        <v>苏州</v>
      </c>
      <c r="B363" t="str">
        <f>公司整体!B363</f>
        <v>2014-07</v>
      </c>
      <c r="C363">
        <f ca="1">INDIRECT(ADDRESS(ROW(C363),MATCH(公司各渠道指标可视化!$C$4,公司整体!$1:$1,0),3,1,"公司整体"),TRUE)</f>
        <v>0</v>
      </c>
      <c r="T363" t="str">
        <f t="shared" si="26"/>
        <v>苏州2014-07</v>
      </c>
      <c r="U363">
        <f t="shared" ca="1" si="27"/>
        <v>0</v>
      </c>
    </row>
    <row r="364" spans="1:21" x14ac:dyDescent="0.15">
      <c r="A364" t="str">
        <f>公司整体!A364</f>
        <v>中山</v>
      </c>
      <c r="B364" t="str">
        <f>公司整体!B364</f>
        <v>2014-07</v>
      </c>
      <c r="C364">
        <f ca="1">INDIRECT(ADDRESS(ROW(C364),MATCH(公司各渠道指标可视化!$C$4,公司整体!$1:$1,0),3,1,"公司整体"),TRUE)</f>
        <v>0</v>
      </c>
      <c r="T364" t="str">
        <f t="shared" si="26"/>
        <v>中山2014-07</v>
      </c>
      <c r="U364">
        <f t="shared" ca="1" si="27"/>
        <v>0</v>
      </c>
    </row>
    <row r="365" spans="1:21" x14ac:dyDescent="0.15">
      <c r="A365" t="str">
        <f>公司整体!A365</f>
        <v>珠海</v>
      </c>
      <c r="B365" t="str">
        <f>公司整体!B365</f>
        <v>2014-07</v>
      </c>
      <c r="C365">
        <f ca="1">INDIRECT(ADDRESS(ROW(C365),MATCH(公司各渠道指标可视化!$C$4,公司整体!$1:$1,0),3,1,"公司整体"),TRUE)</f>
        <v>0</v>
      </c>
      <c r="T365" t="str">
        <f t="shared" si="26"/>
        <v>珠海2014-07</v>
      </c>
      <c r="U365">
        <f t="shared" ca="1" si="27"/>
        <v>0</v>
      </c>
    </row>
    <row r="366" spans="1:21" x14ac:dyDescent="0.15">
      <c r="A366" t="str">
        <f>公司整体!A366</f>
        <v>东莞</v>
      </c>
      <c r="B366" t="str">
        <f>公司整体!B366</f>
        <v>2014-08</v>
      </c>
      <c r="C366">
        <f ca="1">INDIRECT(ADDRESS(ROW(C366),MATCH(公司各渠道指标可视化!$C$4,公司整体!$1:$1,0),3,1,"公司整体"),TRUE)</f>
        <v>0</v>
      </c>
      <c r="T366" t="str">
        <f t="shared" si="26"/>
        <v>东莞2014-08</v>
      </c>
      <c r="U366">
        <f t="shared" ca="1" si="27"/>
        <v>0</v>
      </c>
    </row>
    <row r="367" spans="1:21" x14ac:dyDescent="0.15">
      <c r="A367" t="str">
        <f>公司整体!A367</f>
        <v>佛山</v>
      </c>
      <c r="B367" t="str">
        <f>公司整体!B367</f>
        <v>2014-08</v>
      </c>
      <c r="C367">
        <f ca="1">INDIRECT(ADDRESS(ROW(C367),MATCH(公司各渠道指标可视化!$C$4,公司整体!$1:$1,0),3,1,"公司整体"),TRUE)</f>
        <v>0</v>
      </c>
      <c r="T367" t="str">
        <f t="shared" si="26"/>
        <v>佛山2014-08</v>
      </c>
      <c r="U367">
        <f t="shared" ca="1" si="27"/>
        <v>0</v>
      </c>
    </row>
    <row r="368" spans="1:21" x14ac:dyDescent="0.15">
      <c r="A368" t="str">
        <f>公司整体!A368</f>
        <v>广东</v>
      </c>
      <c r="B368" t="str">
        <f>公司整体!B368</f>
        <v>2014-08</v>
      </c>
      <c r="C368">
        <f ca="1">INDIRECT(ADDRESS(ROW(C368),MATCH(公司各渠道指标可视化!$C$4,公司整体!$1:$1,0),3,1,"公司整体"),TRUE)</f>
        <v>0</v>
      </c>
      <c r="T368" t="str">
        <f t="shared" si="26"/>
        <v>广东2014-08</v>
      </c>
      <c r="U368">
        <f t="shared" ca="1" si="27"/>
        <v>0</v>
      </c>
    </row>
    <row r="369" spans="1:21" x14ac:dyDescent="0.15">
      <c r="A369" t="str">
        <f>公司整体!A369</f>
        <v>广州</v>
      </c>
      <c r="B369" t="str">
        <f>公司整体!B369</f>
        <v>2014-08</v>
      </c>
      <c r="C369">
        <f ca="1">INDIRECT(ADDRESS(ROW(C369),MATCH(公司各渠道指标可视化!$C$4,公司整体!$1:$1,0),3,1,"公司整体"),TRUE)</f>
        <v>0</v>
      </c>
      <c r="T369" t="str">
        <f t="shared" si="26"/>
        <v>广州2014-08</v>
      </c>
      <c r="U369">
        <f t="shared" ca="1" si="27"/>
        <v>0</v>
      </c>
    </row>
    <row r="370" spans="1:21" x14ac:dyDescent="0.15">
      <c r="A370" t="str">
        <f>公司整体!A370</f>
        <v>湖北</v>
      </c>
      <c r="B370" t="str">
        <f>公司整体!B370</f>
        <v>2014-08</v>
      </c>
      <c r="C370">
        <f ca="1">INDIRECT(ADDRESS(ROW(C370),MATCH(公司各渠道指标可视化!$C$4,公司整体!$1:$1,0),3,1,"公司整体"),TRUE)</f>
        <v>0</v>
      </c>
      <c r="T370" t="str">
        <f t="shared" si="26"/>
        <v>湖北2014-08</v>
      </c>
      <c r="U370">
        <f t="shared" ca="1" si="27"/>
        <v>0</v>
      </c>
    </row>
    <row r="371" spans="1:21" x14ac:dyDescent="0.15">
      <c r="A371" t="str">
        <f>公司整体!A371</f>
        <v>机构</v>
      </c>
      <c r="B371" t="str">
        <f>公司整体!B371</f>
        <v>2014-08</v>
      </c>
      <c r="C371">
        <f ca="1">INDIRECT(ADDRESS(ROW(C371),MATCH(公司各渠道指标可视化!$C$4,公司整体!$1:$1,0),3,1,"公司整体"),TRUE)</f>
        <v>0</v>
      </c>
      <c r="T371" t="str">
        <f t="shared" si="26"/>
        <v>机构2014-08</v>
      </c>
      <c r="U371">
        <f t="shared" ca="1" si="27"/>
        <v>0</v>
      </c>
    </row>
    <row r="372" spans="1:21" x14ac:dyDescent="0.15">
      <c r="A372" t="str">
        <f>公司整体!A372</f>
        <v>江苏</v>
      </c>
      <c r="B372" t="str">
        <f>公司整体!B372</f>
        <v>2014-08</v>
      </c>
      <c r="C372">
        <f ca="1">INDIRECT(ADDRESS(ROW(C372),MATCH(公司各渠道指标可视化!$C$4,公司整体!$1:$1,0),3,1,"公司整体"),TRUE)</f>
        <v>0</v>
      </c>
      <c r="T372" t="str">
        <f t="shared" si="26"/>
        <v>江苏2014-08</v>
      </c>
      <c r="U372">
        <f t="shared" ca="1" si="27"/>
        <v>0</v>
      </c>
    </row>
    <row r="373" spans="1:21" x14ac:dyDescent="0.15">
      <c r="A373" t="str">
        <f>公司整体!A373</f>
        <v>山东</v>
      </c>
      <c r="B373" t="str">
        <f>公司整体!B373</f>
        <v>2014-08</v>
      </c>
      <c r="C373">
        <f ca="1">INDIRECT(ADDRESS(ROW(C373),MATCH(公司各渠道指标可视化!$C$4,公司整体!$1:$1,0),3,1,"公司整体"),TRUE)</f>
        <v>0</v>
      </c>
      <c r="T373" t="str">
        <f t="shared" si="26"/>
        <v>山东2014-08</v>
      </c>
      <c r="U373">
        <f t="shared" ca="1" si="27"/>
        <v>0</v>
      </c>
    </row>
    <row r="374" spans="1:21" x14ac:dyDescent="0.15">
      <c r="A374" t="str">
        <f>公司整体!A374</f>
        <v>上海</v>
      </c>
      <c r="B374" t="str">
        <f>公司整体!B374</f>
        <v>2014-08</v>
      </c>
      <c r="C374">
        <f ca="1">INDIRECT(ADDRESS(ROW(C374),MATCH(公司各渠道指标可视化!$C$4,公司整体!$1:$1,0),3,1,"公司整体"),TRUE)</f>
        <v>0</v>
      </c>
      <c r="T374" t="str">
        <f t="shared" si="26"/>
        <v>上海2014-08</v>
      </c>
      <c r="U374">
        <f t="shared" ca="1" si="27"/>
        <v>0</v>
      </c>
    </row>
    <row r="375" spans="1:21" x14ac:dyDescent="0.15">
      <c r="A375" t="str">
        <f>公司整体!A375</f>
        <v>深圳</v>
      </c>
      <c r="B375" t="str">
        <f>公司整体!B375</f>
        <v>2014-08</v>
      </c>
      <c r="C375">
        <f ca="1">INDIRECT(ADDRESS(ROW(C375),MATCH(公司各渠道指标可视化!$C$4,公司整体!$1:$1,0),3,1,"公司整体"),TRUE)</f>
        <v>0</v>
      </c>
      <c r="T375" t="str">
        <f t="shared" si="26"/>
        <v>深圳2014-08</v>
      </c>
      <c r="U375">
        <f t="shared" ca="1" si="27"/>
        <v>0</v>
      </c>
    </row>
    <row r="376" spans="1:21" x14ac:dyDescent="0.15">
      <c r="A376" t="str">
        <f>公司整体!A376</f>
        <v>四川</v>
      </c>
      <c r="B376" t="str">
        <f>公司整体!B376</f>
        <v>2014-08</v>
      </c>
      <c r="C376">
        <f ca="1">INDIRECT(ADDRESS(ROW(C376),MATCH(公司各渠道指标可视化!$C$4,公司整体!$1:$1,0),3,1,"公司整体"),TRUE)</f>
        <v>0</v>
      </c>
      <c r="T376" t="str">
        <f t="shared" si="26"/>
        <v>四川2014-08</v>
      </c>
      <c r="U376">
        <f t="shared" ca="1" si="27"/>
        <v>0</v>
      </c>
    </row>
    <row r="377" spans="1:21" x14ac:dyDescent="0.15">
      <c r="A377" t="str">
        <f>公司整体!A377</f>
        <v>苏州</v>
      </c>
      <c r="B377" t="str">
        <f>公司整体!B377</f>
        <v>2014-08</v>
      </c>
      <c r="C377">
        <f ca="1">INDIRECT(ADDRESS(ROW(C377),MATCH(公司各渠道指标可视化!$C$4,公司整体!$1:$1,0),3,1,"公司整体"),TRUE)</f>
        <v>0</v>
      </c>
      <c r="T377" t="str">
        <f t="shared" si="26"/>
        <v>苏州2014-08</v>
      </c>
      <c r="U377">
        <f t="shared" ca="1" si="27"/>
        <v>0</v>
      </c>
    </row>
    <row r="378" spans="1:21" x14ac:dyDescent="0.15">
      <c r="A378" t="str">
        <f>公司整体!A378</f>
        <v>中山</v>
      </c>
      <c r="B378" t="str">
        <f>公司整体!B378</f>
        <v>2014-08</v>
      </c>
      <c r="C378">
        <f ca="1">INDIRECT(ADDRESS(ROW(C378),MATCH(公司各渠道指标可视化!$C$4,公司整体!$1:$1,0),3,1,"公司整体"),TRUE)</f>
        <v>0</v>
      </c>
      <c r="T378" t="str">
        <f t="shared" si="26"/>
        <v>中山2014-08</v>
      </c>
      <c r="U378">
        <f t="shared" ca="1" si="27"/>
        <v>0</v>
      </c>
    </row>
    <row r="379" spans="1:21" x14ac:dyDescent="0.15">
      <c r="A379" t="str">
        <f>公司整体!A379</f>
        <v>珠海</v>
      </c>
      <c r="B379" t="str">
        <f>公司整体!B379</f>
        <v>2014-08</v>
      </c>
      <c r="C379">
        <f ca="1">INDIRECT(ADDRESS(ROW(C379),MATCH(公司各渠道指标可视化!$C$4,公司整体!$1:$1,0),3,1,"公司整体"),TRUE)</f>
        <v>0</v>
      </c>
      <c r="T379" t="str">
        <f t="shared" si="26"/>
        <v>珠海2014-08</v>
      </c>
      <c r="U379">
        <f t="shared" ca="1" si="27"/>
        <v>0</v>
      </c>
    </row>
    <row r="380" spans="1:21" x14ac:dyDescent="0.15">
      <c r="A380" t="str">
        <f>公司整体!A380</f>
        <v>东莞</v>
      </c>
      <c r="B380" t="str">
        <f>公司整体!B380</f>
        <v>2014-09</v>
      </c>
      <c r="C380">
        <f ca="1">INDIRECT(ADDRESS(ROW(C380),MATCH(公司各渠道指标可视化!$C$4,公司整体!$1:$1,0),3,1,"公司整体"),TRUE)</f>
        <v>0</v>
      </c>
      <c r="T380" t="str">
        <f t="shared" si="26"/>
        <v>东莞2014-09</v>
      </c>
      <c r="U380">
        <f t="shared" ca="1" si="27"/>
        <v>0</v>
      </c>
    </row>
    <row r="381" spans="1:21" x14ac:dyDescent="0.15">
      <c r="A381" t="str">
        <f>公司整体!A381</f>
        <v>佛山</v>
      </c>
      <c r="B381" t="str">
        <f>公司整体!B381</f>
        <v>2014-09</v>
      </c>
      <c r="C381">
        <f ca="1">INDIRECT(ADDRESS(ROW(C381),MATCH(公司各渠道指标可视化!$C$4,公司整体!$1:$1,0),3,1,"公司整体"),TRUE)</f>
        <v>0</v>
      </c>
      <c r="T381" t="str">
        <f t="shared" si="26"/>
        <v>佛山2014-09</v>
      </c>
      <c r="U381">
        <f t="shared" ca="1" si="27"/>
        <v>0</v>
      </c>
    </row>
    <row r="382" spans="1:21" x14ac:dyDescent="0.15">
      <c r="A382" t="str">
        <f>公司整体!A382</f>
        <v>广东</v>
      </c>
      <c r="B382" t="str">
        <f>公司整体!B382</f>
        <v>2014-09</v>
      </c>
      <c r="C382">
        <f ca="1">INDIRECT(ADDRESS(ROW(C382),MATCH(公司各渠道指标可视化!$C$4,公司整体!$1:$1,0),3,1,"公司整体"),TRUE)</f>
        <v>0</v>
      </c>
      <c r="T382" t="str">
        <f t="shared" si="26"/>
        <v>广东2014-09</v>
      </c>
      <c r="U382">
        <f t="shared" ca="1" si="27"/>
        <v>0</v>
      </c>
    </row>
    <row r="383" spans="1:21" x14ac:dyDescent="0.15">
      <c r="A383" t="str">
        <f>公司整体!A383</f>
        <v>广州</v>
      </c>
      <c r="B383" t="str">
        <f>公司整体!B383</f>
        <v>2014-09</v>
      </c>
      <c r="C383">
        <f ca="1">INDIRECT(ADDRESS(ROW(C383),MATCH(公司各渠道指标可视化!$C$4,公司整体!$1:$1,0),3,1,"公司整体"),TRUE)</f>
        <v>0</v>
      </c>
      <c r="T383" t="str">
        <f t="shared" si="26"/>
        <v>广州2014-09</v>
      </c>
      <c r="U383">
        <f t="shared" ca="1" si="27"/>
        <v>0</v>
      </c>
    </row>
    <row r="384" spans="1:21" x14ac:dyDescent="0.15">
      <c r="A384" t="str">
        <f>公司整体!A384</f>
        <v>湖北</v>
      </c>
      <c r="B384" t="str">
        <f>公司整体!B384</f>
        <v>2014-09</v>
      </c>
      <c r="C384">
        <f ca="1">INDIRECT(ADDRESS(ROW(C384),MATCH(公司各渠道指标可视化!$C$4,公司整体!$1:$1,0),3,1,"公司整体"),TRUE)</f>
        <v>0</v>
      </c>
      <c r="T384" t="str">
        <f t="shared" si="26"/>
        <v>湖北2014-09</v>
      </c>
      <c r="U384">
        <f t="shared" ca="1" si="27"/>
        <v>0</v>
      </c>
    </row>
    <row r="385" spans="1:21" x14ac:dyDescent="0.15">
      <c r="A385" t="str">
        <f>公司整体!A385</f>
        <v>机构</v>
      </c>
      <c r="B385" t="str">
        <f>公司整体!B385</f>
        <v>2014-09</v>
      </c>
      <c r="C385">
        <f ca="1">INDIRECT(ADDRESS(ROW(C385),MATCH(公司各渠道指标可视化!$C$4,公司整体!$1:$1,0),3,1,"公司整体"),TRUE)</f>
        <v>0</v>
      </c>
      <c r="T385" t="str">
        <f t="shared" si="26"/>
        <v>机构2014-09</v>
      </c>
      <c r="U385">
        <f t="shared" ca="1" si="27"/>
        <v>0</v>
      </c>
    </row>
    <row r="386" spans="1:21" x14ac:dyDescent="0.15">
      <c r="A386" t="str">
        <f>公司整体!A386</f>
        <v>江苏</v>
      </c>
      <c r="B386" t="str">
        <f>公司整体!B386</f>
        <v>2014-09</v>
      </c>
      <c r="C386">
        <f ca="1">INDIRECT(ADDRESS(ROW(C386),MATCH(公司各渠道指标可视化!$C$4,公司整体!$1:$1,0),3,1,"公司整体"),TRUE)</f>
        <v>0</v>
      </c>
      <c r="T386" t="str">
        <f t="shared" si="26"/>
        <v>江苏2014-09</v>
      </c>
      <c r="U386">
        <f t="shared" ca="1" si="27"/>
        <v>0</v>
      </c>
    </row>
    <row r="387" spans="1:21" x14ac:dyDescent="0.15">
      <c r="A387" t="str">
        <f>公司整体!A387</f>
        <v>山东</v>
      </c>
      <c r="B387" t="str">
        <f>公司整体!B387</f>
        <v>2014-09</v>
      </c>
      <c r="C387">
        <f ca="1">INDIRECT(ADDRESS(ROW(C387),MATCH(公司各渠道指标可视化!$C$4,公司整体!$1:$1,0),3,1,"公司整体"),TRUE)</f>
        <v>0</v>
      </c>
      <c r="T387" t="str">
        <f t="shared" si="26"/>
        <v>山东2014-09</v>
      </c>
      <c r="U387">
        <f t="shared" ca="1" si="27"/>
        <v>0</v>
      </c>
    </row>
    <row r="388" spans="1:21" x14ac:dyDescent="0.15">
      <c r="A388" t="str">
        <f>公司整体!A388</f>
        <v>上海</v>
      </c>
      <c r="B388" t="str">
        <f>公司整体!B388</f>
        <v>2014-09</v>
      </c>
      <c r="C388">
        <f ca="1">INDIRECT(ADDRESS(ROW(C388),MATCH(公司各渠道指标可视化!$C$4,公司整体!$1:$1,0),3,1,"公司整体"),TRUE)</f>
        <v>0</v>
      </c>
      <c r="T388" t="str">
        <f t="shared" si="26"/>
        <v>上海2014-09</v>
      </c>
      <c r="U388">
        <f t="shared" ca="1" si="27"/>
        <v>0</v>
      </c>
    </row>
    <row r="389" spans="1:21" x14ac:dyDescent="0.15">
      <c r="A389" t="str">
        <f>公司整体!A389</f>
        <v>深圳</v>
      </c>
      <c r="B389" t="str">
        <f>公司整体!B389</f>
        <v>2014-09</v>
      </c>
      <c r="C389">
        <f ca="1">INDIRECT(ADDRESS(ROW(C389),MATCH(公司各渠道指标可视化!$C$4,公司整体!$1:$1,0),3,1,"公司整体"),TRUE)</f>
        <v>0</v>
      </c>
      <c r="T389" t="str">
        <f t="shared" si="26"/>
        <v>深圳2014-09</v>
      </c>
      <c r="U389">
        <f t="shared" ca="1" si="27"/>
        <v>0</v>
      </c>
    </row>
    <row r="390" spans="1:21" x14ac:dyDescent="0.15">
      <c r="A390" t="str">
        <f>公司整体!A390</f>
        <v>四川</v>
      </c>
      <c r="B390" t="str">
        <f>公司整体!B390</f>
        <v>2014-09</v>
      </c>
      <c r="C390">
        <f ca="1">INDIRECT(ADDRESS(ROW(C390),MATCH(公司各渠道指标可视化!$C$4,公司整体!$1:$1,0),3,1,"公司整体"),TRUE)</f>
        <v>0</v>
      </c>
      <c r="T390" t="str">
        <f t="shared" si="26"/>
        <v>四川2014-09</v>
      </c>
      <c r="U390">
        <f t="shared" ca="1" si="27"/>
        <v>0</v>
      </c>
    </row>
    <row r="391" spans="1:21" x14ac:dyDescent="0.15">
      <c r="A391" t="str">
        <f>公司整体!A391</f>
        <v>苏州</v>
      </c>
      <c r="B391" t="str">
        <f>公司整体!B391</f>
        <v>2014-09</v>
      </c>
      <c r="C391">
        <f ca="1">INDIRECT(ADDRESS(ROW(C391),MATCH(公司各渠道指标可视化!$C$4,公司整体!$1:$1,0),3,1,"公司整体"),TRUE)</f>
        <v>0</v>
      </c>
      <c r="T391" t="str">
        <f t="shared" si="26"/>
        <v>苏州2014-09</v>
      </c>
      <c r="U391">
        <f t="shared" ca="1" si="27"/>
        <v>0</v>
      </c>
    </row>
    <row r="392" spans="1:21" x14ac:dyDescent="0.15">
      <c r="A392" t="str">
        <f>公司整体!A392</f>
        <v>中山</v>
      </c>
      <c r="B392" t="str">
        <f>公司整体!B392</f>
        <v>2014-09</v>
      </c>
      <c r="C392">
        <f ca="1">INDIRECT(ADDRESS(ROW(C392),MATCH(公司各渠道指标可视化!$C$4,公司整体!$1:$1,0),3,1,"公司整体"),TRUE)</f>
        <v>0</v>
      </c>
      <c r="T392" t="str">
        <f t="shared" si="26"/>
        <v>中山2014-09</v>
      </c>
      <c r="U392">
        <f t="shared" ca="1" si="27"/>
        <v>0</v>
      </c>
    </row>
    <row r="393" spans="1:21" x14ac:dyDescent="0.15">
      <c r="A393" t="str">
        <f>公司整体!A393</f>
        <v>珠海</v>
      </c>
      <c r="B393" t="str">
        <f>公司整体!B393</f>
        <v>2014-09</v>
      </c>
      <c r="C393">
        <f ca="1">INDIRECT(ADDRESS(ROW(C393),MATCH(公司各渠道指标可视化!$C$4,公司整体!$1:$1,0),3,1,"公司整体"),TRUE)</f>
        <v>0</v>
      </c>
      <c r="T393" t="str">
        <f t="shared" si="26"/>
        <v>珠海2014-09</v>
      </c>
      <c r="U393">
        <f t="shared" ca="1" si="27"/>
        <v>0</v>
      </c>
    </row>
    <row r="394" spans="1:21" x14ac:dyDescent="0.15">
      <c r="A394" t="str">
        <f>公司整体!A394</f>
        <v>东莞</v>
      </c>
      <c r="B394" t="str">
        <f>公司整体!B394</f>
        <v>2014-10</v>
      </c>
      <c r="C394">
        <f ca="1">INDIRECT(ADDRESS(ROW(C394),MATCH(公司各渠道指标可视化!$C$4,公司整体!$1:$1,0),3,1,"公司整体"),TRUE)</f>
        <v>0</v>
      </c>
      <c r="T394" t="str">
        <f t="shared" si="26"/>
        <v>东莞2014-10</v>
      </c>
      <c r="U394">
        <f t="shared" ca="1" si="27"/>
        <v>0</v>
      </c>
    </row>
    <row r="395" spans="1:21" x14ac:dyDescent="0.15">
      <c r="A395" t="str">
        <f>公司整体!A395</f>
        <v>佛山</v>
      </c>
      <c r="B395" t="str">
        <f>公司整体!B395</f>
        <v>2014-10</v>
      </c>
      <c r="C395">
        <f ca="1">INDIRECT(ADDRESS(ROW(C395),MATCH(公司各渠道指标可视化!$C$4,公司整体!$1:$1,0),3,1,"公司整体"),TRUE)</f>
        <v>0</v>
      </c>
      <c r="T395" t="str">
        <f t="shared" si="26"/>
        <v>佛山2014-10</v>
      </c>
      <c r="U395">
        <f t="shared" ca="1" si="27"/>
        <v>0</v>
      </c>
    </row>
    <row r="396" spans="1:21" x14ac:dyDescent="0.15">
      <c r="A396" t="str">
        <f>公司整体!A396</f>
        <v>广东</v>
      </c>
      <c r="B396" t="str">
        <f>公司整体!B396</f>
        <v>2014-10</v>
      </c>
      <c r="C396">
        <f ca="1">INDIRECT(ADDRESS(ROW(C396),MATCH(公司各渠道指标可视化!$C$4,公司整体!$1:$1,0),3,1,"公司整体"),TRUE)</f>
        <v>0</v>
      </c>
      <c r="T396" t="str">
        <f t="shared" si="26"/>
        <v>广东2014-10</v>
      </c>
      <c r="U396">
        <f t="shared" ca="1" si="27"/>
        <v>0</v>
      </c>
    </row>
    <row r="397" spans="1:21" x14ac:dyDescent="0.15">
      <c r="A397" t="str">
        <f>公司整体!A397</f>
        <v>广州</v>
      </c>
      <c r="B397" t="str">
        <f>公司整体!B397</f>
        <v>2014-10</v>
      </c>
      <c r="C397">
        <f ca="1">INDIRECT(ADDRESS(ROW(C397),MATCH(公司各渠道指标可视化!$C$4,公司整体!$1:$1,0),3,1,"公司整体"),TRUE)</f>
        <v>0</v>
      </c>
      <c r="T397" t="str">
        <f t="shared" si="26"/>
        <v>广州2014-10</v>
      </c>
      <c r="U397">
        <f t="shared" ca="1" si="27"/>
        <v>0</v>
      </c>
    </row>
    <row r="398" spans="1:21" x14ac:dyDescent="0.15">
      <c r="A398" t="str">
        <f>公司整体!A398</f>
        <v>湖北</v>
      </c>
      <c r="B398" t="str">
        <f>公司整体!B398</f>
        <v>2014-10</v>
      </c>
      <c r="C398">
        <f ca="1">INDIRECT(ADDRESS(ROW(C398),MATCH(公司各渠道指标可视化!$C$4,公司整体!$1:$1,0),3,1,"公司整体"),TRUE)</f>
        <v>0</v>
      </c>
      <c r="T398" t="str">
        <f t="shared" si="26"/>
        <v>湖北2014-10</v>
      </c>
      <c r="U398">
        <f t="shared" ca="1" si="27"/>
        <v>0</v>
      </c>
    </row>
    <row r="399" spans="1:21" x14ac:dyDescent="0.15">
      <c r="A399" t="str">
        <f>公司整体!A399</f>
        <v>机构</v>
      </c>
      <c r="B399" t="str">
        <f>公司整体!B399</f>
        <v>2014-10</v>
      </c>
      <c r="C399">
        <f ca="1">INDIRECT(ADDRESS(ROW(C399),MATCH(公司各渠道指标可视化!$C$4,公司整体!$1:$1,0),3,1,"公司整体"),TRUE)</f>
        <v>0</v>
      </c>
      <c r="T399" t="str">
        <f t="shared" si="26"/>
        <v>机构2014-10</v>
      </c>
      <c r="U399">
        <f t="shared" ca="1" si="27"/>
        <v>0</v>
      </c>
    </row>
    <row r="400" spans="1:21" x14ac:dyDescent="0.15">
      <c r="A400" t="str">
        <f>公司整体!A400</f>
        <v>江苏</v>
      </c>
      <c r="B400" t="str">
        <f>公司整体!B400</f>
        <v>2014-10</v>
      </c>
      <c r="C400">
        <f ca="1">INDIRECT(ADDRESS(ROW(C400),MATCH(公司各渠道指标可视化!$C$4,公司整体!$1:$1,0),3,1,"公司整体"),TRUE)</f>
        <v>0</v>
      </c>
      <c r="T400" t="str">
        <f t="shared" si="26"/>
        <v>江苏2014-10</v>
      </c>
      <c r="U400">
        <f t="shared" ca="1" si="27"/>
        <v>0</v>
      </c>
    </row>
    <row r="401" spans="1:21" x14ac:dyDescent="0.15">
      <c r="A401" t="str">
        <f>公司整体!A401</f>
        <v>山东</v>
      </c>
      <c r="B401" t="str">
        <f>公司整体!B401</f>
        <v>2014-10</v>
      </c>
      <c r="C401">
        <f ca="1">INDIRECT(ADDRESS(ROW(C401),MATCH(公司各渠道指标可视化!$C$4,公司整体!$1:$1,0),3,1,"公司整体"),TRUE)</f>
        <v>0</v>
      </c>
      <c r="T401" t="str">
        <f t="shared" si="26"/>
        <v>山东2014-10</v>
      </c>
      <c r="U401">
        <f t="shared" ca="1" si="27"/>
        <v>0</v>
      </c>
    </row>
    <row r="402" spans="1:21" x14ac:dyDescent="0.15">
      <c r="A402" t="str">
        <f>公司整体!A402</f>
        <v>上海</v>
      </c>
      <c r="B402" t="str">
        <f>公司整体!B402</f>
        <v>2014-10</v>
      </c>
      <c r="C402">
        <f ca="1">INDIRECT(ADDRESS(ROW(C402),MATCH(公司各渠道指标可视化!$C$4,公司整体!$1:$1,0),3,1,"公司整体"),TRUE)</f>
        <v>0</v>
      </c>
      <c r="T402" t="str">
        <f t="shared" si="26"/>
        <v>上海2014-10</v>
      </c>
      <c r="U402">
        <f t="shared" ca="1" si="27"/>
        <v>0</v>
      </c>
    </row>
    <row r="403" spans="1:21" x14ac:dyDescent="0.15">
      <c r="A403" t="str">
        <f>公司整体!A403</f>
        <v>深圳</v>
      </c>
      <c r="B403" t="str">
        <f>公司整体!B403</f>
        <v>2014-10</v>
      </c>
      <c r="C403">
        <f ca="1">INDIRECT(ADDRESS(ROW(C403),MATCH(公司各渠道指标可视化!$C$4,公司整体!$1:$1,0),3,1,"公司整体"),TRUE)</f>
        <v>0</v>
      </c>
      <c r="T403" t="str">
        <f t="shared" si="26"/>
        <v>深圳2014-10</v>
      </c>
      <c r="U403">
        <f t="shared" ca="1" si="27"/>
        <v>0</v>
      </c>
    </row>
    <row r="404" spans="1:21" x14ac:dyDescent="0.15">
      <c r="A404" t="str">
        <f>公司整体!A404</f>
        <v>四川</v>
      </c>
      <c r="B404" t="str">
        <f>公司整体!B404</f>
        <v>2014-10</v>
      </c>
      <c r="C404">
        <f ca="1">INDIRECT(ADDRESS(ROW(C404),MATCH(公司各渠道指标可视化!$C$4,公司整体!$1:$1,0),3,1,"公司整体"),TRUE)</f>
        <v>0</v>
      </c>
      <c r="T404" t="str">
        <f t="shared" si="26"/>
        <v>四川2014-10</v>
      </c>
      <c r="U404">
        <f t="shared" ca="1" si="27"/>
        <v>0</v>
      </c>
    </row>
    <row r="405" spans="1:21" x14ac:dyDescent="0.15">
      <c r="A405" t="str">
        <f>公司整体!A405</f>
        <v>苏州</v>
      </c>
      <c r="B405" t="str">
        <f>公司整体!B405</f>
        <v>2014-10</v>
      </c>
      <c r="C405">
        <f ca="1">INDIRECT(ADDRESS(ROW(C405),MATCH(公司各渠道指标可视化!$C$4,公司整体!$1:$1,0),3,1,"公司整体"),TRUE)</f>
        <v>0</v>
      </c>
      <c r="T405" t="str">
        <f t="shared" si="26"/>
        <v>苏州2014-10</v>
      </c>
      <c r="U405">
        <f t="shared" ca="1" si="27"/>
        <v>0</v>
      </c>
    </row>
    <row r="406" spans="1:21" x14ac:dyDescent="0.15">
      <c r="A406" t="str">
        <f>公司整体!A406</f>
        <v>中山</v>
      </c>
      <c r="B406" t="str">
        <f>公司整体!B406</f>
        <v>2014-10</v>
      </c>
      <c r="C406">
        <f ca="1">INDIRECT(ADDRESS(ROW(C406),MATCH(公司各渠道指标可视化!$C$4,公司整体!$1:$1,0),3,1,"公司整体"),TRUE)</f>
        <v>0</v>
      </c>
      <c r="T406" t="str">
        <f t="shared" si="26"/>
        <v>中山2014-10</v>
      </c>
      <c r="U406">
        <f t="shared" ca="1" si="27"/>
        <v>0</v>
      </c>
    </row>
    <row r="407" spans="1:21" x14ac:dyDescent="0.15">
      <c r="A407" t="str">
        <f>公司整体!A407</f>
        <v>珠海</v>
      </c>
      <c r="B407" t="str">
        <f>公司整体!B407</f>
        <v>2014-10</v>
      </c>
      <c r="C407">
        <f ca="1">INDIRECT(ADDRESS(ROW(C407),MATCH(公司各渠道指标可视化!$C$4,公司整体!$1:$1,0),3,1,"公司整体"),TRUE)</f>
        <v>0</v>
      </c>
      <c r="T407" t="str">
        <f t="shared" ref="T407:T470" si="28">A407&amp;B407</f>
        <v>珠海2014-10</v>
      </c>
      <c r="U407">
        <f t="shared" ref="U407:U470" ca="1" si="29">C407</f>
        <v>0</v>
      </c>
    </row>
    <row r="408" spans="1:21" x14ac:dyDescent="0.15">
      <c r="A408" t="str">
        <f>公司整体!A408</f>
        <v>东莞</v>
      </c>
      <c r="B408" t="str">
        <f>公司整体!B408</f>
        <v>2014-11</v>
      </c>
      <c r="C408">
        <f ca="1">INDIRECT(ADDRESS(ROW(C408),MATCH(公司各渠道指标可视化!$C$4,公司整体!$1:$1,0),3,1,"公司整体"),TRUE)</f>
        <v>0</v>
      </c>
      <c r="T408" t="str">
        <f t="shared" si="28"/>
        <v>东莞2014-11</v>
      </c>
      <c r="U408">
        <f t="shared" ca="1" si="29"/>
        <v>0</v>
      </c>
    </row>
    <row r="409" spans="1:21" x14ac:dyDescent="0.15">
      <c r="A409" t="str">
        <f>公司整体!A409</f>
        <v>佛山</v>
      </c>
      <c r="B409" t="str">
        <f>公司整体!B409</f>
        <v>2014-11</v>
      </c>
      <c r="C409">
        <f ca="1">INDIRECT(ADDRESS(ROW(C409),MATCH(公司各渠道指标可视化!$C$4,公司整体!$1:$1,0),3,1,"公司整体"),TRUE)</f>
        <v>0</v>
      </c>
      <c r="T409" t="str">
        <f t="shared" si="28"/>
        <v>佛山2014-11</v>
      </c>
      <c r="U409">
        <f t="shared" ca="1" si="29"/>
        <v>0</v>
      </c>
    </row>
    <row r="410" spans="1:21" x14ac:dyDescent="0.15">
      <c r="A410" t="str">
        <f>公司整体!A410</f>
        <v>广东</v>
      </c>
      <c r="B410" t="str">
        <f>公司整体!B410</f>
        <v>2014-11</v>
      </c>
      <c r="C410">
        <f ca="1">INDIRECT(ADDRESS(ROW(C410),MATCH(公司各渠道指标可视化!$C$4,公司整体!$1:$1,0),3,1,"公司整体"),TRUE)</f>
        <v>0</v>
      </c>
      <c r="T410" t="str">
        <f t="shared" si="28"/>
        <v>广东2014-11</v>
      </c>
      <c r="U410">
        <f t="shared" ca="1" si="29"/>
        <v>0</v>
      </c>
    </row>
    <row r="411" spans="1:21" x14ac:dyDescent="0.15">
      <c r="A411" t="str">
        <f>公司整体!A411</f>
        <v>广州</v>
      </c>
      <c r="B411" t="str">
        <f>公司整体!B411</f>
        <v>2014-11</v>
      </c>
      <c r="C411">
        <f ca="1">INDIRECT(ADDRESS(ROW(C411),MATCH(公司各渠道指标可视化!$C$4,公司整体!$1:$1,0),3,1,"公司整体"),TRUE)</f>
        <v>0</v>
      </c>
      <c r="T411" t="str">
        <f t="shared" si="28"/>
        <v>广州2014-11</v>
      </c>
      <c r="U411">
        <f t="shared" ca="1" si="29"/>
        <v>0</v>
      </c>
    </row>
    <row r="412" spans="1:21" x14ac:dyDescent="0.15">
      <c r="A412" t="str">
        <f>公司整体!A412</f>
        <v>湖北</v>
      </c>
      <c r="B412" t="str">
        <f>公司整体!B412</f>
        <v>2014-11</v>
      </c>
      <c r="C412">
        <f ca="1">INDIRECT(ADDRESS(ROW(C412),MATCH(公司各渠道指标可视化!$C$4,公司整体!$1:$1,0),3,1,"公司整体"),TRUE)</f>
        <v>0</v>
      </c>
      <c r="T412" t="str">
        <f t="shared" si="28"/>
        <v>湖北2014-11</v>
      </c>
      <c r="U412">
        <f t="shared" ca="1" si="29"/>
        <v>0</v>
      </c>
    </row>
    <row r="413" spans="1:21" x14ac:dyDescent="0.15">
      <c r="A413" t="str">
        <f>公司整体!A413</f>
        <v>机构</v>
      </c>
      <c r="B413" t="str">
        <f>公司整体!B413</f>
        <v>2014-11</v>
      </c>
      <c r="C413">
        <f ca="1">INDIRECT(ADDRESS(ROW(C413),MATCH(公司各渠道指标可视化!$C$4,公司整体!$1:$1,0),3,1,"公司整体"),TRUE)</f>
        <v>0</v>
      </c>
      <c r="T413" t="str">
        <f t="shared" si="28"/>
        <v>机构2014-11</v>
      </c>
      <c r="U413">
        <f t="shared" ca="1" si="29"/>
        <v>0</v>
      </c>
    </row>
    <row r="414" spans="1:21" x14ac:dyDescent="0.15">
      <c r="A414" t="str">
        <f>公司整体!A414</f>
        <v>江苏</v>
      </c>
      <c r="B414" t="str">
        <f>公司整体!B414</f>
        <v>2014-11</v>
      </c>
      <c r="C414">
        <f ca="1">INDIRECT(ADDRESS(ROW(C414),MATCH(公司各渠道指标可视化!$C$4,公司整体!$1:$1,0),3,1,"公司整体"),TRUE)</f>
        <v>0</v>
      </c>
      <c r="T414" t="str">
        <f t="shared" si="28"/>
        <v>江苏2014-11</v>
      </c>
      <c r="U414">
        <f t="shared" ca="1" si="29"/>
        <v>0</v>
      </c>
    </row>
    <row r="415" spans="1:21" x14ac:dyDescent="0.15">
      <c r="A415" t="str">
        <f>公司整体!A415</f>
        <v>山东</v>
      </c>
      <c r="B415" t="str">
        <f>公司整体!B415</f>
        <v>2014-11</v>
      </c>
      <c r="C415">
        <f ca="1">INDIRECT(ADDRESS(ROW(C415),MATCH(公司各渠道指标可视化!$C$4,公司整体!$1:$1,0),3,1,"公司整体"),TRUE)</f>
        <v>0</v>
      </c>
      <c r="T415" t="str">
        <f t="shared" si="28"/>
        <v>山东2014-11</v>
      </c>
      <c r="U415">
        <f t="shared" ca="1" si="29"/>
        <v>0</v>
      </c>
    </row>
    <row r="416" spans="1:21" x14ac:dyDescent="0.15">
      <c r="A416" t="str">
        <f>公司整体!A416</f>
        <v>上海</v>
      </c>
      <c r="B416" t="str">
        <f>公司整体!B416</f>
        <v>2014-11</v>
      </c>
      <c r="C416">
        <f ca="1">INDIRECT(ADDRESS(ROW(C416),MATCH(公司各渠道指标可视化!$C$4,公司整体!$1:$1,0),3,1,"公司整体"),TRUE)</f>
        <v>0</v>
      </c>
      <c r="T416" t="str">
        <f t="shared" si="28"/>
        <v>上海2014-11</v>
      </c>
      <c r="U416">
        <f t="shared" ca="1" si="29"/>
        <v>0</v>
      </c>
    </row>
    <row r="417" spans="1:21" x14ac:dyDescent="0.15">
      <c r="A417" t="str">
        <f>公司整体!A417</f>
        <v>深圳</v>
      </c>
      <c r="B417" t="str">
        <f>公司整体!B417</f>
        <v>2014-11</v>
      </c>
      <c r="C417">
        <f ca="1">INDIRECT(ADDRESS(ROW(C417),MATCH(公司各渠道指标可视化!$C$4,公司整体!$1:$1,0),3,1,"公司整体"),TRUE)</f>
        <v>0</v>
      </c>
      <c r="T417" t="str">
        <f t="shared" si="28"/>
        <v>深圳2014-11</v>
      </c>
      <c r="U417">
        <f t="shared" ca="1" si="29"/>
        <v>0</v>
      </c>
    </row>
    <row r="418" spans="1:21" x14ac:dyDescent="0.15">
      <c r="A418" t="str">
        <f>公司整体!A418</f>
        <v>四川</v>
      </c>
      <c r="B418" t="str">
        <f>公司整体!B418</f>
        <v>2014-11</v>
      </c>
      <c r="C418">
        <f ca="1">INDIRECT(ADDRESS(ROW(C418),MATCH(公司各渠道指标可视化!$C$4,公司整体!$1:$1,0),3,1,"公司整体"),TRUE)</f>
        <v>0</v>
      </c>
      <c r="T418" t="str">
        <f t="shared" si="28"/>
        <v>四川2014-11</v>
      </c>
      <c r="U418">
        <f t="shared" ca="1" si="29"/>
        <v>0</v>
      </c>
    </row>
    <row r="419" spans="1:21" x14ac:dyDescent="0.15">
      <c r="A419" t="str">
        <f>公司整体!A419</f>
        <v>苏州</v>
      </c>
      <c r="B419" t="str">
        <f>公司整体!B419</f>
        <v>2014-11</v>
      </c>
      <c r="C419">
        <f ca="1">INDIRECT(ADDRESS(ROW(C419),MATCH(公司各渠道指标可视化!$C$4,公司整体!$1:$1,0),3,1,"公司整体"),TRUE)</f>
        <v>0</v>
      </c>
      <c r="T419" t="str">
        <f t="shared" si="28"/>
        <v>苏州2014-11</v>
      </c>
      <c r="U419">
        <f t="shared" ca="1" si="29"/>
        <v>0</v>
      </c>
    </row>
    <row r="420" spans="1:21" x14ac:dyDescent="0.15">
      <c r="A420" t="str">
        <f>公司整体!A420</f>
        <v>中山</v>
      </c>
      <c r="B420" t="str">
        <f>公司整体!B420</f>
        <v>2014-11</v>
      </c>
      <c r="C420">
        <f ca="1">INDIRECT(ADDRESS(ROW(C420),MATCH(公司各渠道指标可视化!$C$4,公司整体!$1:$1,0),3,1,"公司整体"),TRUE)</f>
        <v>0</v>
      </c>
      <c r="T420" t="str">
        <f t="shared" si="28"/>
        <v>中山2014-11</v>
      </c>
      <c r="U420">
        <f t="shared" ca="1" si="29"/>
        <v>0</v>
      </c>
    </row>
    <row r="421" spans="1:21" x14ac:dyDescent="0.15">
      <c r="A421" t="str">
        <f>公司整体!A421</f>
        <v>珠海</v>
      </c>
      <c r="B421" t="str">
        <f>公司整体!B421</f>
        <v>2014-11</v>
      </c>
      <c r="C421">
        <f ca="1">INDIRECT(ADDRESS(ROW(C421),MATCH(公司各渠道指标可视化!$C$4,公司整体!$1:$1,0),3,1,"公司整体"),TRUE)</f>
        <v>0</v>
      </c>
      <c r="T421" t="str">
        <f t="shared" si="28"/>
        <v>珠海2014-11</v>
      </c>
      <c r="U421">
        <f t="shared" ca="1" si="29"/>
        <v>0</v>
      </c>
    </row>
    <row r="422" spans="1:21" x14ac:dyDescent="0.15">
      <c r="A422" t="str">
        <f>公司整体!A422</f>
        <v>东莞</v>
      </c>
      <c r="B422" t="str">
        <f>公司整体!B422</f>
        <v>2014-12</v>
      </c>
      <c r="C422">
        <f ca="1">INDIRECT(ADDRESS(ROW(C422),MATCH(公司各渠道指标可视化!$C$4,公司整体!$1:$1,0),3,1,"公司整体"),TRUE)</f>
        <v>0</v>
      </c>
      <c r="T422" t="str">
        <f t="shared" si="28"/>
        <v>东莞2014-12</v>
      </c>
      <c r="U422">
        <f t="shared" ca="1" si="29"/>
        <v>0</v>
      </c>
    </row>
    <row r="423" spans="1:21" x14ac:dyDescent="0.15">
      <c r="A423" t="str">
        <f>公司整体!A423</f>
        <v>佛山</v>
      </c>
      <c r="B423" t="str">
        <f>公司整体!B423</f>
        <v>2014-12</v>
      </c>
      <c r="C423">
        <f ca="1">INDIRECT(ADDRESS(ROW(C423),MATCH(公司各渠道指标可视化!$C$4,公司整体!$1:$1,0),3,1,"公司整体"),TRUE)</f>
        <v>0</v>
      </c>
      <c r="T423" t="str">
        <f t="shared" si="28"/>
        <v>佛山2014-12</v>
      </c>
      <c r="U423">
        <f t="shared" ca="1" si="29"/>
        <v>0</v>
      </c>
    </row>
    <row r="424" spans="1:21" x14ac:dyDescent="0.15">
      <c r="A424" t="str">
        <f>公司整体!A424</f>
        <v>广东</v>
      </c>
      <c r="B424" t="str">
        <f>公司整体!B424</f>
        <v>2014-12</v>
      </c>
      <c r="C424">
        <f ca="1">INDIRECT(ADDRESS(ROW(C424),MATCH(公司各渠道指标可视化!$C$4,公司整体!$1:$1,0),3,1,"公司整体"),TRUE)</f>
        <v>2</v>
      </c>
      <c r="T424" t="str">
        <f t="shared" si="28"/>
        <v>广东2014-12</v>
      </c>
      <c r="U424">
        <f t="shared" ca="1" si="29"/>
        <v>2</v>
      </c>
    </row>
    <row r="425" spans="1:21" x14ac:dyDescent="0.15">
      <c r="A425" t="str">
        <f>公司整体!A425</f>
        <v>广州</v>
      </c>
      <c r="B425" t="str">
        <f>公司整体!B425</f>
        <v>2014-12</v>
      </c>
      <c r="C425">
        <f ca="1">INDIRECT(ADDRESS(ROW(C425),MATCH(公司各渠道指标可视化!$C$4,公司整体!$1:$1,0),3,1,"公司整体"),TRUE)</f>
        <v>0</v>
      </c>
      <c r="T425" t="str">
        <f t="shared" si="28"/>
        <v>广州2014-12</v>
      </c>
      <c r="U425">
        <f t="shared" ca="1" si="29"/>
        <v>0</v>
      </c>
    </row>
    <row r="426" spans="1:21" x14ac:dyDescent="0.15">
      <c r="A426" t="str">
        <f>公司整体!A426</f>
        <v>湖北</v>
      </c>
      <c r="B426" t="str">
        <f>公司整体!B426</f>
        <v>2014-12</v>
      </c>
      <c r="C426">
        <f ca="1">INDIRECT(ADDRESS(ROW(C426),MATCH(公司各渠道指标可视化!$C$4,公司整体!$1:$1,0),3,1,"公司整体"),TRUE)</f>
        <v>0</v>
      </c>
      <c r="T426" t="str">
        <f t="shared" si="28"/>
        <v>湖北2014-12</v>
      </c>
      <c r="U426">
        <f t="shared" ca="1" si="29"/>
        <v>0</v>
      </c>
    </row>
    <row r="427" spans="1:21" x14ac:dyDescent="0.15">
      <c r="A427" t="str">
        <f>公司整体!A427</f>
        <v>机构</v>
      </c>
      <c r="B427" t="str">
        <f>公司整体!B427</f>
        <v>2014-12</v>
      </c>
      <c r="C427">
        <f ca="1">INDIRECT(ADDRESS(ROW(C427),MATCH(公司各渠道指标可视化!$C$4,公司整体!$1:$1,0),3,1,"公司整体"),TRUE)</f>
        <v>2</v>
      </c>
      <c r="T427" t="str">
        <f t="shared" si="28"/>
        <v>机构2014-12</v>
      </c>
      <c r="U427">
        <f t="shared" ca="1" si="29"/>
        <v>2</v>
      </c>
    </row>
    <row r="428" spans="1:21" x14ac:dyDescent="0.15">
      <c r="A428" t="str">
        <f>公司整体!A428</f>
        <v>江苏</v>
      </c>
      <c r="B428" t="str">
        <f>公司整体!B428</f>
        <v>2014-12</v>
      </c>
      <c r="C428">
        <f ca="1">INDIRECT(ADDRESS(ROW(C428),MATCH(公司各渠道指标可视化!$C$4,公司整体!$1:$1,0),3,1,"公司整体"),TRUE)</f>
        <v>0</v>
      </c>
      <c r="T428" t="str">
        <f t="shared" si="28"/>
        <v>江苏2014-12</v>
      </c>
      <c r="U428">
        <f t="shared" ca="1" si="29"/>
        <v>0</v>
      </c>
    </row>
    <row r="429" spans="1:21" x14ac:dyDescent="0.15">
      <c r="A429" t="str">
        <f>公司整体!A429</f>
        <v>山东</v>
      </c>
      <c r="B429" t="str">
        <f>公司整体!B429</f>
        <v>2014-12</v>
      </c>
      <c r="C429">
        <f ca="1">INDIRECT(ADDRESS(ROW(C429),MATCH(公司各渠道指标可视化!$C$4,公司整体!$1:$1,0),3,1,"公司整体"),TRUE)</f>
        <v>0</v>
      </c>
      <c r="T429" t="str">
        <f t="shared" si="28"/>
        <v>山东2014-12</v>
      </c>
      <c r="U429">
        <f t="shared" ca="1" si="29"/>
        <v>0</v>
      </c>
    </row>
    <row r="430" spans="1:21" x14ac:dyDescent="0.15">
      <c r="A430" t="str">
        <f>公司整体!A430</f>
        <v>上海</v>
      </c>
      <c r="B430" t="str">
        <f>公司整体!B430</f>
        <v>2014-12</v>
      </c>
      <c r="C430">
        <f ca="1">INDIRECT(ADDRESS(ROW(C430),MATCH(公司各渠道指标可视化!$C$4,公司整体!$1:$1,0),3,1,"公司整体"),TRUE)</f>
        <v>0</v>
      </c>
      <c r="T430" t="str">
        <f t="shared" si="28"/>
        <v>上海2014-12</v>
      </c>
      <c r="U430">
        <f t="shared" ca="1" si="29"/>
        <v>0</v>
      </c>
    </row>
    <row r="431" spans="1:21" x14ac:dyDescent="0.15">
      <c r="A431" t="str">
        <f>公司整体!A431</f>
        <v>深圳</v>
      </c>
      <c r="B431" t="str">
        <f>公司整体!B431</f>
        <v>2014-12</v>
      </c>
      <c r="C431">
        <f ca="1">INDIRECT(ADDRESS(ROW(C431),MATCH(公司各渠道指标可视化!$C$4,公司整体!$1:$1,0),3,1,"公司整体"),TRUE)</f>
        <v>0</v>
      </c>
      <c r="T431" t="str">
        <f t="shared" si="28"/>
        <v>深圳2014-12</v>
      </c>
      <c r="U431">
        <f t="shared" ca="1" si="29"/>
        <v>0</v>
      </c>
    </row>
    <row r="432" spans="1:21" x14ac:dyDescent="0.15">
      <c r="A432" t="str">
        <f>公司整体!A432</f>
        <v>四川</v>
      </c>
      <c r="B432" t="str">
        <f>公司整体!B432</f>
        <v>2014-12</v>
      </c>
      <c r="C432">
        <f ca="1">INDIRECT(ADDRESS(ROW(C432),MATCH(公司各渠道指标可视化!$C$4,公司整体!$1:$1,0),3,1,"公司整体"),TRUE)</f>
        <v>0</v>
      </c>
      <c r="T432" t="str">
        <f t="shared" si="28"/>
        <v>四川2014-12</v>
      </c>
      <c r="U432">
        <f t="shared" ca="1" si="29"/>
        <v>0</v>
      </c>
    </row>
    <row r="433" spans="1:21" x14ac:dyDescent="0.15">
      <c r="A433" t="str">
        <f>公司整体!A433</f>
        <v>苏州</v>
      </c>
      <c r="B433" t="str">
        <f>公司整体!B433</f>
        <v>2014-12</v>
      </c>
      <c r="C433">
        <f ca="1">INDIRECT(ADDRESS(ROW(C433),MATCH(公司各渠道指标可视化!$C$4,公司整体!$1:$1,0),3,1,"公司整体"),TRUE)</f>
        <v>0</v>
      </c>
      <c r="T433" t="str">
        <f t="shared" si="28"/>
        <v>苏州2014-12</v>
      </c>
      <c r="U433">
        <f t="shared" ca="1" si="29"/>
        <v>0</v>
      </c>
    </row>
    <row r="434" spans="1:21" x14ac:dyDescent="0.15">
      <c r="A434" t="str">
        <f>公司整体!A434</f>
        <v>中山</v>
      </c>
      <c r="B434" t="str">
        <f>公司整体!B434</f>
        <v>2014-12</v>
      </c>
      <c r="C434">
        <f ca="1">INDIRECT(ADDRESS(ROW(C434),MATCH(公司各渠道指标可视化!$C$4,公司整体!$1:$1,0),3,1,"公司整体"),TRUE)</f>
        <v>0</v>
      </c>
      <c r="T434" t="str">
        <f t="shared" si="28"/>
        <v>中山2014-12</v>
      </c>
      <c r="U434">
        <f t="shared" ca="1" si="29"/>
        <v>0</v>
      </c>
    </row>
    <row r="435" spans="1:21" x14ac:dyDescent="0.15">
      <c r="A435" t="str">
        <f>公司整体!A435</f>
        <v>珠海</v>
      </c>
      <c r="B435" t="str">
        <f>公司整体!B435</f>
        <v>2014-12</v>
      </c>
      <c r="C435">
        <f ca="1">INDIRECT(ADDRESS(ROW(C435),MATCH(公司各渠道指标可视化!$C$4,公司整体!$1:$1,0),3,1,"公司整体"),TRUE)</f>
        <v>0</v>
      </c>
      <c r="T435" t="str">
        <f t="shared" si="28"/>
        <v>珠海2014-12</v>
      </c>
      <c r="U435">
        <f t="shared" ca="1" si="29"/>
        <v>0</v>
      </c>
    </row>
    <row r="436" spans="1:21" x14ac:dyDescent="0.15">
      <c r="A436" t="str">
        <f>公司整体!A436</f>
        <v>东莞</v>
      </c>
      <c r="B436" t="str">
        <f>公司整体!B436</f>
        <v>2015-01</v>
      </c>
      <c r="C436">
        <f ca="1">INDIRECT(ADDRESS(ROW(C436),MATCH(公司各渠道指标可视化!$C$4,公司整体!$1:$1,0),3,1,"公司整体"),TRUE)</f>
        <v>0</v>
      </c>
      <c r="T436" t="str">
        <f t="shared" si="28"/>
        <v>东莞2015-01</v>
      </c>
      <c r="U436">
        <f t="shared" ca="1" si="29"/>
        <v>0</v>
      </c>
    </row>
    <row r="437" spans="1:21" x14ac:dyDescent="0.15">
      <c r="A437" t="str">
        <f>公司整体!A437</f>
        <v>佛山</v>
      </c>
      <c r="B437" t="str">
        <f>公司整体!B437</f>
        <v>2015-01</v>
      </c>
      <c r="C437">
        <f ca="1">INDIRECT(ADDRESS(ROW(C437),MATCH(公司各渠道指标可视化!$C$4,公司整体!$1:$1,0),3,1,"公司整体"),TRUE)</f>
        <v>0</v>
      </c>
      <c r="T437" t="str">
        <f t="shared" si="28"/>
        <v>佛山2015-01</v>
      </c>
      <c r="U437">
        <f t="shared" ca="1" si="29"/>
        <v>0</v>
      </c>
    </row>
    <row r="438" spans="1:21" x14ac:dyDescent="0.15">
      <c r="A438" t="str">
        <f>公司整体!A438</f>
        <v>广东</v>
      </c>
      <c r="B438" t="str">
        <f>公司整体!B438</f>
        <v>2015-01</v>
      </c>
      <c r="C438">
        <f ca="1">INDIRECT(ADDRESS(ROW(C438),MATCH(公司各渠道指标可视化!$C$4,公司整体!$1:$1,0),3,1,"公司整体"),TRUE)</f>
        <v>-2</v>
      </c>
      <c r="T438" t="str">
        <f t="shared" si="28"/>
        <v>广东2015-01</v>
      </c>
      <c r="U438">
        <f t="shared" ca="1" si="29"/>
        <v>-2</v>
      </c>
    </row>
    <row r="439" spans="1:21" x14ac:dyDescent="0.15">
      <c r="A439" t="str">
        <f>公司整体!A439</f>
        <v>广州</v>
      </c>
      <c r="B439" t="str">
        <f>公司整体!B439</f>
        <v>2015-01</v>
      </c>
      <c r="C439">
        <f ca="1">INDIRECT(ADDRESS(ROW(C439),MATCH(公司各渠道指标可视化!$C$4,公司整体!$1:$1,0),3,1,"公司整体"),TRUE)</f>
        <v>0</v>
      </c>
      <c r="T439" t="str">
        <f t="shared" si="28"/>
        <v>广州2015-01</v>
      </c>
      <c r="U439">
        <f t="shared" ca="1" si="29"/>
        <v>0</v>
      </c>
    </row>
    <row r="440" spans="1:21" x14ac:dyDescent="0.15">
      <c r="A440" t="str">
        <f>公司整体!A440</f>
        <v>湖北</v>
      </c>
      <c r="B440" t="str">
        <f>公司整体!B440</f>
        <v>2015-01</v>
      </c>
      <c r="C440">
        <f ca="1">INDIRECT(ADDRESS(ROW(C440),MATCH(公司各渠道指标可视化!$C$4,公司整体!$1:$1,0),3,1,"公司整体"),TRUE)</f>
        <v>0</v>
      </c>
      <c r="T440" t="str">
        <f t="shared" si="28"/>
        <v>湖北2015-01</v>
      </c>
      <c r="U440">
        <f t="shared" ca="1" si="29"/>
        <v>0</v>
      </c>
    </row>
    <row r="441" spans="1:21" x14ac:dyDescent="0.15">
      <c r="A441" t="str">
        <f>公司整体!A441</f>
        <v>机构</v>
      </c>
      <c r="B441" t="str">
        <f>公司整体!B441</f>
        <v>2015-01</v>
      </c>
      <c r="C441">
        <f ca="1">INDIRECT(ADDRESS(ROW(C441),MATCH(公司各渠道指标可视化!$C$4,公司整体!$1:$1,0),3,1,"公司整体"),TRUE)</f>
        <v>-2</v>
      </c>
      <c r="T441" t="str">
        <f t="shared" si="28"/>
        <v>机构2015-01</v>
      </c>
      <c r="U441">
        <f t="shared" ca="1" si="29"/>
        <v>-2</v>
      </c>
    </row>
    <row r="442" spans="1:21" x14ac:dyDescent="0.15">
      <c r="A442" t="str">
        <f>公司整体!A442</f>
        <v>江苏</v>
      </c>
      <c r="B442" t="str">
        <f>公司整体!B442</f>
        <v>2015-01</v>
      </c>
      <c r="C442">
        <f ca="1">INDIRECT(ADDRESS(ROW(C442),MATCH(公司各渠道指标可视化!$C$4,公司整体!$1:$1,0),3,1,"公司整体"),TRUE)</f>
        <v>0</v>
      </c>
      <c r="T442" t="str">
        <f t="shared" si="28"/>
        <v>江苏2015-01</v>
      </c>
      <c r="U442">
        <f t="shared" ca="1" si="29"/>
        <v>0</v>
      </c>
    </row>
    <row r="443" spans="1:21" x14ac:dyDescent="0.15">
      <c r="A443" t="str">
        <f>公司整体!A443</f>
        <v>山东</v>
      </c>
      <c r="B443" t="str">
        <f>公司整体!B443</f>
        <v>2015-01</v>
      </c>
      <c r="C443">
        <f ca="1">INDIRECT(ADDRESS(ROW(C443),MATCH(公司各渠道指标可视化!$C$4,公司整体!$1:$1,0),3,1,"公司整体"),TRUE)</f>
        <v>0</v>
      </c>
      <c r="T443" t="str">
        <f t="shared" si="28"/>
        <v>山东2015-01</v>
      </c>
      <c r="U443">
        <f t="shared" ca="1" si="29"/>
        <v>0</v>
      </c>
    </row>
    <row r="444" spans="1:21" x14ac:dyDescent="0.15">
      <c r="A444" t="str">
        <f>公司整体!A444</f>
        <v>上海</v>
      </c>
      <c r="B444" t="str">
        <f>公司整体!B444</f>
        <v>2015-01</v>
      </c>
      <c r="C444">
        <f ca="1">INDIRECT(ADDRESS(ROW(C444),MATCH(公司各渠道指标可视化!$C$4,公司整体!$1:$1,0),3,1,"公司整体"),TRUE)</f>
        <v>0</v>
      </c>
      <c r="T444" t="str">
        <f t="shared" si="28"/>
        <v>上海2015-01</v>
      </c>
      <c r="U444">
        <f t="shared" ca="1" si="29"/>
        <v>0</v>
      </c>
    </row>
    <row r="445" spans="1:21" x14ac:dyDescent="0.15">
      <c r="A445" t="str">
        <f>公司整体!A445</f>
        <v>深圳</v>
      </c>
      <c r="B445" t="str">
        <f>公司整体!B445</f>
        <v>2015-01</v>
      </c>
      <c r="C445">
        <f ca="1">INDIRECT(ADDRESS(ROW(C445),MATCH(公司各渠道指标可视化!$C$4,公司整体!$1:$1,0),3,1,"公司整体"),TRUE)</f>
        <v>0</v>
      </c>
      <c r="T445" t="str">
        <f t="shared" si="28"/>
        <v>深圳2015-01</v>
      </c>
      <c r="U445">
        <f t="shared" ca="1" si="29"/>
        <v>0</v>
      </c>
    </row>
    <row r="446" spans="1:21" x14ac:dyDescent="0.15">
      <c r="A446" t="str">
        <f>公司整体!A446</f>
        <v>四川</v>
      </c>
      <c r="B446" t="str">
        <f>公司整体!B446</f>
        <v>2015-01</v>
      </c>
      <c r="C446">
        <f ca="1">INDIRECT(ADDRESS(ROW(C446),MATCH(公司各渠道指标可视化!$C$4,公司整体!$1:$1,0),3,1,"公司整体"),TRUE)</f>
        <v>0</v>
      </c>
      <c r="T446" t="str">
        <f t="shared" si="28"/>
        <v>四川2015-01</v>
      </c>
      <c r="U446">
        <f t="shared" ca="1" si="29"/>
        <v>0</v>
      </c>
    </row>
    <row r="447" spans="1:21" x14ac:dyDescent="0.15">
      <c r="A447" t="str">
        <f>公司整体!A447</f>
        <v>苏州</v>
      </c>
      <c r="B447" t="str">
        <f>公司整体!B447</f>
        <v>2015-01</v>
      </c>
      <c r="C447">
        <f ca="1">INDIRECT(ADDRESS(ROW(C447),MATCH(公司各渠道指标可视化!$C$4,公司整体!$1:$1,0),3,1,"公司整体"),TRUE)</f>
        <v>0</v>
      </c>
      <c r="T447" t="str">
        <f t="shared" si="28"/>
        <v>苏州2015-01</v>
      </c>
      <c r="U447">
        <f t="shared" ca="1" si="29"/>
        <v>0</v>
      </c>
    </row>
    <row r="448" spans="1:21" x14ac:dyDescent="0.15">
      <c r="A448" t="str">
        <f>公司整体!A448</f>
        <v>中山</v>
      </c>
      <c r="B448" t="str">
        <f>公司整体!B448</f>
        <v>2015-01</v>
      </c>
      <c r="C448">
        <f ca="1">INDIRECT(ADDRESS(ROW(C448),MATCH(公司各渠道指标可视化!$C$4,公司整体!$1:$1,0),3,1,"公司整体"),TRUE)</f>
        <v>0</v>
      </c>
      <c r="T448" t="str">
        <f t="shared" si="28"/>
        <v>中山2015-01</v>
      </c>
      <c r="U448">
        <f t="shared" ca="1" si="29"/>
        <v>0</v>
      </c>
    </row>
    <row r="449" spans="1:21" x14ac:dyDescent="0.15">
      <c r="A449" t="str">
        <f>公司整体!A449</f>
        <v>珠海</v>
      </c>
      <c r="B449" t="str">
        <f>公司整体!B449</f>
        <v>2015-01</v>
      </c>
      <c r="C449">
        <f ca="1">INDIRECT(ADDRESS(ROW(C449),MATCH(公司各渠道指标可视化!$C$4,公司整体!$1:$1,0),3,1,"公司整体"),TRUE)</f>
        <v>0</v>
      </c>
      <c r="T449" t="str">
        <f t="shared" si="28"/>
        <v>珠海2015-01</v>
      </c>
      <c r="U449">
        <f t="shared" ca="1" si="29"/>
        <v>0</v>
      </c>
    </row>
    <row r="450" spans="1:21" x14ac:dyDescent="0.15">
      <c r="A450" t="str">
        <f>公司整体!A450</f>
        <v>东莞</v>
      </c>
      <c r="B450" t="str">
        <f>公司整体!B450</f>
        <v>2015-02</v>
      </c>
      <c r="C450">
        <f ca="1">INDIRECT(ADDRESS(ROW(C450),MATCH(公司各渠道指标可视化!$C$4,公司整体!$1:$1,0),3,1,"公司整体"),TRUE)</f>
        <v>0</v>
      </c>
      <c r="T450" t="str">
        <f t="shared" si="28"/>
        <v>东莞2015-02</v>
      </c>
      <c r="U450">
        <f t="shared" ca="1" si="29"/>
        <v>0</v>
      </c>
    </row>
    <row r="451" spans="1:21" x14ac:dyDescent="0.15">
      <c r="A451" t="str">
        <f>公司整体!A451</f>
        <v>佛山</v>
      </c>
      <c r="B451" t="str">
        <f>公司整体!B451</f>
        <v>2015-02</v>
      </c>
      <c r="C451">
        <f ca="1">INDIRECT(ADDRESS(ROW(C451),MATCH(公司各渠道指标可视化!$C$4,公司整体!$1:$1,0),3,1,"公司整体"),TRUE)</f>
        <v>0</v>
      </c>
      <c r="T451" t="str">
        <f t="shared" si="28"/>
        <v>佛山2015-02</v>
      </c>
      <c r="U451">
        <f t="shared" ca="1" si="29"/>
        <v>0</v>
      </c>
    </row>
    <row r="452" spans="1:21" x14ac:dyDescent="0.15">
      <c r="A452" t="str">
        <f>公司整体!A452</f>
        <v>广东</v>
      </c>
      <c r="B452" t="str">
        <f>公司整体!B452</f>
        <v>2015-02</v>
      </c>
      <c r="C452">
        <f ca="1">INDIRECT(ADDRESS(ROW(C452),MATCH(公司各渠道指标可视化!$C$4,公司整体!$1:$1,0),3,1,"公司整体"),TRUE)</f>
        <v>0</v>
      </c>
      <c r="T452" t="str">
        <f t="shared" si="28"/>
        <v>广东2015-02</v>
      </c>
      <c r="U452">
        <f t="shared" ca="1" si="29"/>
        <v>0</v>
      </c>
    </row>
    <row r="453" spans="1:21" x14ac:dyDescent="0.15">
      <c r="A453" t="str">
        <f>公司整体!A453</f>
        <v>广州</v>
      </c>
      <c r="B453" t="str">
        <f>公司整体!B453</f>
        <v>2015-02</v>
      </c>
      <c r="C453">
        <f ca="1">INDIRECT(ADDRESS(ROW(C453),MATCH(公司各渠道指标可视化!$C$4,公司整体!$1:$1,0),3,1,"公司整体"),TRUE)</f>
        <v>0</v>
      </c>
      <c r="T453" t="str">
        <f t="shared" si="28"/>
        <v>广州2015-02</v>
      </c>
      <c r="U453">
        <f t="shared" ca="1" si="29"/>
        <v>0</v>
      </c>
    </row>
    <row r="454" spans="1:21" x14ac:dyDescent="0.15">
      <c r="A454" t="str">
        <f>公司整体!A454</f>
        <v>湖北</v>
      </c>
      <c r="B454" t="str">
        <f>公司整体!B454</f>
        <v>2015-02</v>
      </c>
      <c r="C454">
        <f ca="1">INDIRECT(ADDRESS(ROW(C454),MATCH(公司各渠道指标可视化!$C$4,公司整体!$1:$1,0),3,1,"公司整体"),TRUE)</f>
        <v>0</v>
      </c>
      <c r="T454" t="str">
        <f t="shared" si="28"/>
        <v>湖北2015-02</v>
      </c>
      <c r="U454">
        <f t="shared" ca="1" si="29"/>
        <v>0</v>
      </c>
    </row>
    <row r="455" spans="1:21" x14ac:dyDescent="0.15">
      <c r="A455" t="str">
        <f>公司整体!A455</f>
        <v>机构</v>
      </c>
      <c r="B455" t="str">
        <f>公司整体!B455</f>
        <v>2015-02</v>
      </c>
      <c r="C455">
        <f ca="1">INDIRECT(ADDRESS(ROW(C455),MATCH(公司各渠道指标可视化!$C$4,公司整体!$1:$1,0),3,1,"公司整体"),TRUE)</f>
        <v>0</v>
      </c>
      <c r="T455" t="str">
        <f t="shared" si="28"/>
        <v>机构2015-02</v>
      </c>
      <c r="U455">
        <f t="shared" ca="1" si="29"/>
        <v>0</v>
      </c>
    </row>
    <row r="456" spans="1:21" x14ac:dyDescent="0.15">
      <c r="A456" t="str">
        <f>公司整体!A456</f>
        <v>江苏</v>
      </c>
      <c r="B456" t="str">
        <f>公司整体!B456</f>
        <v>2015-02</v>
      </c>
      <c r="C456">
        <f ca="1">INDIRECT(ADDRESS(ROW(C456),MATCH(公司各渠道指标可视化!$C$4,公司整体!$1:$1,0),3,1,"公司整体"),TRUE)</f>
        <v>0</v>
      </c>
      <c r="T456" t="str">
        <f t="shared" si="28"/>
        <v>江苏2015-02</v>
      </c>
      <c r="U456">
        <f t="shared" ca="1" si="29"/>
        <v>0</v>
      </c>
    </row>
    <row r="457" spans="1:21" x14ac:dyDescent="0.15">
      <c r="A457" t="str">
        <f>公司整体!A457</f>
        <v>山东</v>
      </c>
      <c r="B457" t="str">
        <f>公司整体!B457</f>
        <v>2015-02</v>
      </c>
      <c r="C457">
        <f ca="1">INDIRECT(ADDRESS(ROW(C457),MATCH(公司各渠道指标可视化!$C$4,公司整体!$1:$1,0),3,1,"公司整体"),TRUE)</f>
        <v>0</v>
      </c>
      <c r="T457" t="str">
        <f t="shared" si="28"/>
        <v>山东2015-02</v>
      </c>
      <c r="U457">
        <f t="shared" ca="1" si="29"/>
        <v>0</v>
      </c>
    </row>
    <row r="458" spans="1:21" x14ac:dyDescent="0.15">
      <c r="A458" t="str">
        <f>公司整体!A458</f>
        <v>上海</v>
      </c>
      <c r="B458" t="str">
        <f>公司整体!B458</f>
        <v>2015-02</v>
      </c>
      <c r="C458">
        <f ca="1">INDIRECT(ADDRESS(ROW(C458),MATCH(公司各渠道指标可视化!$C$4,公司整体!$1:$1,0),3,1,"公司整体"),TRUE)</f>
        <v>0</v>
      </c>
      <c r="T458" t="str">
        <f t="shared" si="28"/>
        <v>上海2015-02</v>
      </c>
      <c r="U458">
        <f t="shared" ca="1" si="29"/>
        <v>0</v>
      </c>
    </row>
    <row r="459" spans="1:21" x14ac:dyDescent="0.15">
      <c r="A459" t="str">
        <f>公司整体!A459</f>
        <v>深圳</v>
      </c>
      <c r="B459" t="str">
        <f>公司整体!B459</f>
        <v>2015-02</v>
      </c>
      <c r="C459">
        <f ca="1">INDIRECT(ADDRESS(ROW(C459),MATCH(公司各渠道指标可视化!$C$4,公司整体!$1:$1,0),3,1,"公司整体"),TRUE)</f>
        <v>0</v>
      </c>
      <c r="T459" t="str">
        <f t="shared" si="28"/>
        <v>深圳2015-02</v>
      </c>
      <c r="U459">
        <f t="shared" ca="1" si="29"/>
        <v>0</v>
      </c>
    </row>
    <row r="460" spans="1:21" x14ac:dyDescent="0.15">
      <c r="A460" t="str">
        <f>公司整体!A460</f>
        <v>四川</v>
      </c>
      <c r="B460" t="str">
        <f>公司整体!B460</f>
        <v>2015-02</v>
      </c>
      <c r="C460">
        <f ca="1">INDIRECT(ADDRESS(ROW(C460),MATCH(公司各渠道指标可视化!$C$4,公司整体!$1:$1,0),3,1,"公司整体"),TRUE)</f>
        <v>0</v>
      </c>
      <c r="T460" t="str">
        <f t="shared" si="28"/>
        <v>四川2015-02</v>
      </c>
      <c r="U460">
        <f t="shared" ca="1" si="29"/>
        <v>0</v>
      </c>
    </row>
    <row r="461" spans="1:21" x14ac:dyDescent="0.15">
      <c r="A461" t="str">
        <f>公司整体!A461</f>
        <v>苏州</v>
      </c>
      <c r="B461" t="str">
        <f>公司整体!B461</f>
        <v>2015-02</v>
      </c>
      <c r="C461">
        <f ca="1">INDIRECT(ADDRESS(ROW(C461),MATCH(公司各渠道指标可视化!$C$4,公司整体!$1:$1,0),3,1,"公司整体"),TRUE)</f>
        <v>0</v>
      </c>
      <c r="T461" t="str">
        <f t="shared" si="28"/>
        <v>苏州2015-02</v>
      </c>
      <c r="U461">
        <f t="shared" ca="1" si="29"/>
        <v>0</v>
      </c>
    </row>
    <row r="462" spans="1:21" x14ac:dyDescent="0.15">
      <c r="A462" t="str">
        <f>公司整体!A462</f>
        <v>中山</v>
      </c>
      <c r="B462" t="str">
        <f>公司整体!B462</f>
        <v>2015-02</v>
      </c>
      <c r="C462">
        <f ca="1">INDIRECT(ADDRESS(ROW(C462),MATCH(公司各渠道指标可视化!$C$4,公司整体!$1:$1,0),3,1,"公司整体"),TRUE)</f>
        <v>0</v>
      </c>
      <c r="T462" t="str">
        <f t="shared" si="28"/>
        <v>中山2015-02</v>
      </c>
      <c r="U462">
        <f t="shared" ca="1" si="29"/>
        <v>0</v>
      </c>
    </row>
    <row r="463" spans="1:21" x14ac:dyDescent="0.15">
      <c r="A463" t="str">
        <f>公司整体!A463</f>
        <v>珠海</v>
      </c>
      <c r="B463" t="str">
        <f>公司整体!B463</f>
        <v>2015-02</v>
      </c>
      <c r="C463">
        <f ca="1">INDIRECT(ADDRESS(ROW(C463),MATCH(公司各渠道指标可视化!$C$4,公司整体!$1:$1,0),3,1,"公司整体"),TRUE)</f>
        <v>0</v>
      </c>
      <c r="T463" t="str">
        <f t="shared" si="28"/>
        <v>珠海2015-02</v>
      </c>
      <c r="U463">
        <f t="shared" ca="1" si="29"/>
        <v>0</v>
      </c>
    </row>
    <row r="464" spans="1:21" x14ac:dyDescent="0.15">
      <c r="A464" t="str">
        <f>公司整体!A464</f>
        <v>东莞</v>
      </c>
      <c r="B464" t="str">
        <f>公司整体!B464</f>
        <v>2015-03</v>
      </c>
      <c r="C464">
        <f ca="1">INDIRECT(ADDRESS(ROW(C464),MATCH(公司各渠道指标可视化!$C$4,公司整体!$1:$1,0),3,1,"公司整体"),TRUE)</f>
        <v>0</v>
      </c>
      <c r="T464" t="str">
        <f t="shared" si="28"/>
        <v>东莞2015-03</v>
      </c>
      <c r="U464">
        <f t="shared" ca="1" si="29"/>
        <v>0</v>
      </c>
    </row>
    <row r="465" spans="1:21" x14ac:dyDescent="0.15">
      <c r="A465" t="str">
        <f>公司整体!A465</f>
        <v>佛山</v>
      </c>
      <c r="B465" t="str">
        <f>公司整体!B465</f>
        <v>2015-03</v>
      </c>
      <c r="C465">
        <f ca="1">INDIRECT(ADDRESS(ROW(C465),MATCH(公司各渠道指标可视化!$C$4,公司整体!$1:$1,0),3,1,"公司整体"),TRUE)</f>
        <v>0</v>
      </c>
      <c r="T465" t="str">
        <f t="shared" si="28"/>
        <v>佛山2015-03</v>
      </c>
      <c r="U465">
        <f t="shared" ca="1" si="29"/>
        <v>0</v>
      </c>
    </row>
    <row r="466" spans="1:21" x14ac:dyDescent="0.15">
      <c r="A466" t="str">
        <f>公司整体!A466</f>
        <v>广东</v>
      </c>
      <c r="B466" t="str">
        <f>公司整体!B466</f>
        <v>2015-03</v>
      </c>
      <c r="C466">
        <f ca="1">INDIRECT(ADDRESS(ROW(C466),MATCH(公司各渠道指标可视化!$C$4,公司整体!$1:$1,0),3,1,"公司整体"),TRUE)</f>
        <v>0</v>
      </c>
      <c r="T466" t="str">
        <f t="shared" si="28"/>
        <v>广东2015-03</v>
      </c>
      <c r="U466">
        <f t="shared" ca="1" si="29"/>
        <v>0</v>
      </c>
    </row>
    <row r="467" spans="1:21" x14ac:dyDescent="0.15">
      <c r="A467" t="str">
        <f>公司整体!A467</f>
        <v>广州</v>
      </c>
      <c r="B467" t="str">
        <f>公司整体!B467</f>
        <v>2015-03</v>
      </c>
      <c r="C467">
        <f ca="1">INDIRECT(ADDRESS(ROW(C467),MATCH(公司各渠道指标可视化!$C$4,公司整体!$1:$1,0),3,1,"公司整体"),TRUE)</f>
        <v>0</v>
      </c>
      <c r="T467" t="str">
        <f t="shared" si="28"/>
        <v>广州2015-03</v>
      </c>
      <c r="U467">
        <f t="shared" ca="1" si="29"/>
        <v>0</v>
      </c>
    </row>
    <row r="468" spans="1:21" x14ac:dyDescent="0.15">
      <c r="A468" t="str">
        <f>公司整体!A468</f>
        <v>湖北</v>
      </c>
      <c r="B468" t="str">
        <f>公司整体!B468</f>
        <v>2015-03</v>
      </c>
      <c r="C468">
        <f ca="1">INDIRECT(ADDRESS(ROW(C468),MATCH(公司各渠道指标可视化!$C$4,公司整体!$1:$1,0),3,1,"公司整体"),TRUE)</f>
        <v>0</v>
      </c>
      <c r="T468" t="str">
        <f t="shared" si="28"/>
        <v>湖北2015-03</v>
      </c>
      <c r="U468">
        <f t="shared" ca="1" si="29"/>
        <v>0</v>
      </c>
    </row>
    <row r="469" spans="1:21" x14ac:dyDescent="0.15">
      <c r="A469" t="str">
        <f>公司整体!A469</f>
        <v>机构</v>
      </c>
      <c r="B469" t="str">
        <f>公司整体!B469</f>
        <v>2015-03</v>
      </c>
      <c r="C469">
        <f ca="1">INDIRECT(ADDRESS(ROW(C469),MATCH(公司各渠道指标可视化!$C$4,公司整体!$1:$1,0),3,1,"公司整体"),TRUE)</f>
        <v>0</v>
      </c>
      <c r="T469" t="str">
        <f t="shared" si="28"/>
        <v>机构2015-03</v>
      </c>
      <c r="U469">
        <f t="shared" ca="1" si="29"/>
        <v>0</v>
      </c>
    </row>
    <row r="470" spans="1:21" x14ac:dyDescent="0.15">
      <c r="A470" t="str">
        <f>公司整体!A470</f>
        <v>江苏</v>
      </c>
      <c r="B470" t="str">
        <f>公司整体!B470</f>
        <v>2015-03</v>
      </c>
      <c r="C470">
        <f ca="1">INDIRECT(ADDRESS(ROW(C470),MATCH(公司各渠道指标可视化!$C$4,公司整体!$1:$1,0),3,1,"公司整体"),TRUE)</f>
        <v>0</v>
      </c>
      <c r="T470" t="str">
        <f t="shared" si="28"/>
        <v>江苏2015-03</v>
      </c>
      <c r="U470">
        <f t="shared" ca="1" si="29"/>
        <v>0</v>
      </c>
    </row>
    <row r="471" spans="1:21" x14ac:dyDescent="0.15">
      <c r="A471" t="str">
        <f>公司整体!A471</f>
        <v>山东</v>
      </c>
      <c r="B471" t="str">
        <f>公司整体!B471</f>
        <v>2015-03</v>
      </c>
      <c r="C471">
        <f ca="1">INDIRECT(ADDRESS(ROW(C471),MATCH(公司各渠道指标可视化!$C$4,公司整体!$1:$1,0),3,1,"公司整体"),TRUE)</f>
        <v>0</v>
      </c>
      <c r="T471" t="str">
        <f t="shared" ref="T471:T534" si="30">A471&amp;B471</f>
        <v>山东2015-03</v>
      </c>
      <c r="U471">
        <f t="shared" ref="U471:U534" ca="1" si="31">C471</f>
        <v>0</v>
      </c>
    </row>
    <row r="472" spans="1:21" x14ac:dyDescent="0.15">
      <c r="A472" t="str">
        <f>公司整体!A472</f>
        <v>上海</v>
      </c>
      <c r="B472" t="str">
        <f>公司整体!B472</f>
        <v>2015-03</v>
      </c>
      <c r="C472">
        <f ca="1">INDIRECT(ADDRESS(ROW(C472),MATCH(公司各渠道指标可视化!$C$4,公司整体!$1:$1,0),3,1,"公司整体"),TRUE)</f>
        <v>0</v>
      </c>
      <c r="T472" t="str">
        <f t="shared" si="30"/>
        <v>上海2015-03</v>
      </c>
      <c r="U472">
        <f t="shared" ca="1" si="31"/>
        <v>0</v>
      </c>
    </row>
    <row r="473" spans="1:21" x14ac:dyDescent="0.15">
      <c r="A473" t="str">
        <f>公司整体!A473</f>
        <v>深圳</v>
      </c>
      <c r="B473" t="str">
        <f>公司整体!B473</f>
        <v>2015-03</v>
      </c>
      <c r="C473">
        <f ca="1">INDIRECT(ADDRESS(ROW(C473),MATCH(公司各渠道指标可视化!$C$4,公司整体!$1:$1,0),3,1,"公司整体"),TRUE)</f>
        <v>0</v>
      </c>
      <c r="T473" t="str">
        <f t="shared" si="30"/>
        <v>深圳2015-03</v>
      </c>
      <c r="U473">
        <f t="shared" ca="1" si="31"/>
        <v>0</v>
      </c>
    </row>
    <row r="474" spans="1:21" x14ac:dyDescent="0.15">
      <c r="A474" t="str">
        <f>公司整体!A474</f>
        <v>四川</v>
      </c>
      <c r="B474" t="str">
        <f>公司整体!B474</f>
        <v>2015-03</v>
      </c>
      <c r="C474">
        <f ca="1">INDIRECT(ADDRESS(ROW(C474),MATCH(公司各渠道指标可视化!$C$4,公司整体!$1:$1,0),3,1,"公司整体"),TRUE)</f>
        <v>0</v>
      </c>
      <c r="T474" t="str">
        <f t="shared" si="30"/>
        <v>四川2015-03</v>
      </c>
      <c r="U474">
        <f t="shared" ca="1" si="31"/>
        <v>0</v>
      </c>
    </row>
    <row r="475" spans="1:21" x14ac:dyDescent="0.15">
      <c r="A475" t="str">
        <f>公司整体!A475</f>
        <v>苏州</v>
      </c>
      <c r="B475" t="str">
        <f>公司整体!B475</f>
        <v>2015-03</v>
      </c>
      <c r="C475">
        <f ca="1">INDIRECT(ADDRESS(ROW(C475),MATCH(公司各渠道指标可视化!$C$4,公司整体!$1:$1,0),3,1,"公司整体"),TRUE)</f>
        <v>0</v>
      </c>
      <c r="T475" t="str">
        <f t="shared" si="30"/>
        <v>苏州2015-03</v>
      </c>
      <c r="U475">
        <f t="shared" ca="1" si="31"/>
        <v>0</v>
      </c>
    </row>
    <row r="476" spans="1:21" x14ac:dyDescent="0.15">
      <c r="A476" t="str">
        <f>公司整体!A476</f>
        <v>中山</v>
      </c>
      <c r="B476" t="str">
        <f>公司整体!B476</f>
        <v>2015-03</v>
      </c>
      <c r="C476">
        <f ca="1">INDIRECT(ADDRESS(ROW(C476),MATCH(公司各渠道指标可视化!$C$4,公司整体!$1:$1,0),3,1,"公司整体"),TRUE)</f>
        <v>0</v>
      </c>
      <c r="T476" t="str">
        <f t="shared" si="30"/>
        <v>中山2015-03</v>
      </c>
      <c r="U476">
        <f t="shared" ca="1" si="31"/>
        <v>0</v>
      </c>
    </row>
    <row r="477" spans="1:21" x14ac:dyDescent="0.15">
      <c r="A477" t="str">
        <f>公司整体!A477</f>
        <v>珠海</v>
      </c>
      <c r="B477" t="str">
        <f>公司整体!B477</f>
        <v>2015-03</v>
      </c>
      <c r="C477">
        <f ca="1">INDIRECT(ADDRESS(ROW(C477),MATCH(公司各渠道指标可视化!$C$4,公司整体!$1:$1,0),3,1,"公司整体"),TRUE)</f>
        <v>0</v>
      </c>
      <c r="T477" t="str">
        <f t="shared" si="30"/>
        <v>珠海2015-03</v>
      </c>
      <c r="U477">
        <f t="shared" ca="1" si="31"/>
        <v>0</v>
      </c>
    </row>
    <row r="478" spans="1:21" x14ac:dyDescent="0.15">
      <c r="A478" t="str">
        <f>公司整体!A478</f>
        <v>东莞</v>
      </c>
      <c r="B478" t="str">
        <f>公司整体!B478</f>
        <v>2015-04</v>
      </c>
      <c r="C478">
        <f ca="1">INDIRECT(ADDRESS(ROW(C478),MATCH(公司各渠道指标可视化!$C$4,公司整体!$1:$1,0),3,1,"公司整体"),TRUE)</f>
        <v>0</v>
      </c>
      <c r="T478" t="str">
        <f t="shared" si="30"/>
        <v>东莞2015-04</v>
      </c>
      <c r="U478">
        <f t="shared" ca="1" si="31"/>
        <v>0</v>
      </c>
    </row>
    <row r="479" spans="1:21" x14ac:dyDescent="0.15">
      <c r="A479" t="str">
        <f>公司整体!A479</f>
        <v>佛山</v>
      </c>
      <c r="B479" t="str">
        <f>公司整体!B479</f>
        <v>2015-04</v>
      </c>
      <c r="C479">
        <f ca="1">INDIRECT(ADDRESS(ROW(C479),MATCH(公司各渠道指标可视化!$C$4,公司整体!$1:$1,0),3,1,"公司整体"),TRUE)</f>
        <v>0</v>
      </c>
      <c r="T479" t="str">
        <f t="shared" si="30"/>
        <v>佛山2015-04</v>
      </c>
      <c r="U479">
        <f t="shared" ca="1" si="31"/>
        <v>0</v>
      </c>
    </row>
    <row r="480" spans="1:21" x14ac:dyDescent="0.15">
      <c r="A480" t="str">
        <f>公司整体!A480</f>
        <v>广东</v>
      </c>
      <c r="B480" t="str">
        <f>公司整体!B480</f>
        <v>2015-04</v>
      </c>
      <c r="C480">
        <f ca="1">INDIRECT(ADDRESS(ROW(C480),MATCH(公司各渠道指标可视化!$C$4,公司整体!$1:$1,0),3,1,"公司整体"),TRUE)</f>
        <v>0</v>
      </c>
      <c r="T480" t="str">
        <f t="shared" si="30"/>
        <v>广东2015-04</v>
      </c>
      <c r="U480">
        <f t="shared" ca="1" si="31"/>
        <v>0</v>
      </c>
    </row>
    <row r="481" spans="1:21" x14ac:dyDescent="0.15">
      <c r="A481" t="str">
        <f>公司整体!A481</f>
        <v>广州</v>
      </c>
      <c r="B481" t="str">
        <f>公司整体!B481</f>
        <v>2015-04</v>
      </c>
      <c r="C481">
        <f ca="1">INDIRECT(ADDRESS(ROW(C481),MATCH(公司各渠道指标可视化!$C$4,公司整体!$1:$1,0),3,1,"公司整体"),TRUE)</f>
        <v>0</v>
      </c>
      <c r="T481" t="str">
        <f t="shared" si="30"/>
        <v>广州2015-04</v>
      </c>
      <c r="U481">
        <f t="shared" ca="1" si="31"/>
        <v>0</v>
      </c>
    </row>
    <row r="482" spans="1:21" x14ac:dyDescent="0.15">
      <c r="A482" t="str">
        <f>公司整体!A482</f>
        <v>湖北</v>
      </c>
      <c r="B482" t="str">
        <f>公司整体!B482</f>
        <v>2015-04</v>
      </c>
      <c r="C482">
        <f ca="1">INDIRECT(ADDRESS(ROW(C482),MATCH(公司各渠道指标可视化!$C$4,公司整体!$1:$1,0),3,1,"公司整体"),TRUE)</f>
        <v>0</v>
      </c>
      <c r="T482" t="str">
        <f t="shared" si="30"/>
        <v>湖北2015-04</v>
      </c>
      <c r="U482">
        <f t="shared" ca="1" si="31"/>
        <v>0</v>
      </c>
    </row>
    <row r="483" spans="1:21" x14ac:dyDescent="0.15">
      <c r="A483" t="str">
        <f>公司整体!A483</f>
        <v>机构</v>
      </c>
      <c r="B483" t="str">
        <f>公司整体!B483</f>
        <v>2015-04</v>
      </c>
      <c r="C483">
        <f ca="1">INDIRECT(ADDRESS(ROW(C483),MATCH(公司各渠道指标可视化!$C$4,公司整体!$1:$1,0),3,1,"公司整体"),TRUE)</f>
        <v>0</v>
      </c>
      <c r="T483" t="str">
        <f t="shared" si="30"/>
        <v>机构2015-04</v>
      </c>
      <c r="U483">
        <f t="shared" ca="1" si="31"/>
        <v>0</v>
      </c>
    </row>
    <row r="484" spans="1:21" x14ac:dyDescent="0.15">
      <c r="A484" t="str">
        <f>公司整体!A484</f>
        <v>江苏</v>
      </c>
      <c r="B484" t="str">
        <f>公司整体!B484</f>
        <v>2015-04</v>
      </c>
      <c r="C484">
        <f ca="1">INDIRECT(ADDRESS(ROW(C484),MATCH(公司各渠道指标可视化!$C$4,公司整体!$1:$1,0),3,1,"公司整体"),TRUE)</f>
        <v>0</v>
      </c>
      <c r="T484" t="str">
        <f t="shared" si="30"/>
        <v>江苏2015-04</v>
      </c>
      <c r="U484">
        <f t="shared" ca="1" si="31"/>
        <v>0</v>
      </c>
    </row>
    <row r="485" spans="1:21" x14ac:dyDescent="0.15">
      <c r="A485" t="str">
        <f>公司整体!A485</f>
        <v>山东</v>
      </c>
      <c r="B485" t="str">
        <f>公司整体!B485</f>
        <v>2015-04</v>
      </c>
      <c r="C485">
        <f ca="1">INDIRECT(ADDRESS(ROW(C485),MATCH(公司各渠道指标可视化!$C$4,公司整体!$1:$1,0),3,1,"公司整体"),TRUE)</f>
        <v>0</v>
      </c>
      <c r="T485" t="str">
        <f t="shared" si="30"/>
        <v>山东2015-04</v>
      </c>
      <c r="U485">
        <f t="shared" ca="1" si="31"/>
        <v>0</v>
      </c>
    </row>
    <row r="486" spans="1:21" x14ac:dyDescent="0.15">
      <c r="A486" t="str">
        <f>公司整体!A486</f>
        <v>上海</v>
      </c>
      <c r="B486" t="str">
        <f>公司整体!B486</f>
        <v>2015-04</v>
      </c>
      <c r="C486">
        <f ca="1">INDIRECT(ADDRESS(ROW(C486),MATCH(公司各渠道指标可视化!$C$4,公司整体!$1:$1,0),3,1,"公司整体"),TRUE)</f>
        <v>0</v>
      </c>
      <c r="T486" t="str">
        <f t="shared" si="30"/>
        <v>上海2015-04</v>
      </c>
      <c r="U486">
        <f t="shared" ca="1" si="31"/>
        <v>0</v>
      </c>
    </row>
    <row r="487" spans="1:21" x14ac:dyDescent="0.15">
      <c r="A487" t="str">
        <f>公司整体!A487</f>
        <v>深圳</v>
      </c>
      <c r="B487" t="str">
        <f>公司整体!B487</f>
        <v>2015-04</v>
      </c>
      <c r="C487">
        <f ca="1">INDIRECT(ADDRESS(ROW(C487),MATCH(公司各渠道指标可视化!$C$4,公司整体!$1:$1,0),3,1,"公司整体"),TRUE)</f>
        <v>0</v>
      </c>
      <c r="T487" t="str">
        <f t="shared" si="30"/>
        <v>深圳2015-04</v>
      </c>
      <c r="U487">
        <f t="shared" ca="1" si="31"/>
        <v>0</v>
      </c>
    </row>
    <row r="488" spans="1:21" x14ac:dyDescent="0.15">
      <c r="A488" t="str">
        <f>公司整体!A488</f>
        <v>四川</v>
      </c>
      <c r="B488" t="str">
        <f>公司整体!B488</f>
        <v>2015-04</v>
      </c>
      <c r="C488">
        <f ca="1">INDIRECT(ADDRESS(ROW(C488),MATCH(公司各渠道指标可视化!$C$4,公司整体!$1:$1,0),3,1,"公司整体"),TRUE)</f>
        <v>0</v>
      </c>
      <c r="T488" t="str">
        <f t="shared" si="30"/>
        <v>四川2015-04</v>
      </c>
      <c r="U488">
        <f t="shared" ca="1" si="31"/>
        <v>0</v>
      </c>
    </row>
    <row r="489" spans="1:21" x14ac:dyDescent="0.15">
      <c r="A489" t="str">
        <f>公司整体!A489</f>
        <v>苏州</v>
      </c>
      <c r="B489" t="str">
        <f>公司整体!B489</f>
        <v>2015-04</v>
      </c>
      <c r="C489">
        <f ca="1">INDIRECT(ADDRESS(ROW(C489),MATCH(公司各渠道指标可视化!$C$4,公司整体!$1:$1,0),3,1,"公司整体"),TRUE)</f>
        <v>0</v>
      </c>
      <c r="T489" t="str">
        <f t="shared" si="30"/>
        <v>苏州2015-04</v>
      </c>
      <c r="U489">
        <f t="shared" ca="1" si="31"/>
        <v>0</v>
      </c>
    </row>
    <row r="490" spans="1:21" x14ac:dyDescent="0.15">
      <c r="A490" t="str">
        <f>公司整体!A490</f>
        <v>中山</v>
      </c>
      <c r="B490" t="str">
        <f>公司整体!B490</f>
        <v>2015-04</v>
      </c>
      <c r="C490">
        <f ca="1">INDIRECT(ADDRESS(ROW(C490),MATCH(公司各渠道指标可视化!$C$4,公司整体!$1:$1,0),3,1,"公司整体"),TRUE)</f>
        <v>0</v>
      </c>
      <c r="T490" t="str">
        <f t="shared" si="30"/>
        <v>中山2015-04</v>
      </c>
      <c r="U490">
        <f t="shared" ca="1" si="31"/>
        <v>0</v>
      </c>
    </row>
    <row r="491" spans="1:21" x14ac:dyDescent="0.15">
      <c r="A491" t="str">
        <f>公司整体!A491</f>
        <v>珠海</v>
      </c>
      <c r="B491" t="str">
        <f>公司整体!B491</f>
        <v>2015-04</v>
      </c>
      <c r="C491">
        <f ca="1">INDIRECT(ADDRESS(ROW(C491),MATCH(公司各渠道指标可视化!$C$4,公司整体!$1:$1,0),3,1,"公司整体"),TRUE)</f>
        <v>0</v>
      </c>
      <c r="T491" t="str">
        <f t="shared" si="30"/>
        <v>珠海2015-04</v>
      </c>
      <c r="U491">
        <f t="shared" ca="1" si="31"/>
        <v>0</v>
      </c>
    </row>
    <row r="492" spans="1:21" x14ac:dyDescent="0.15">
      <c r="A492" t="str">
        <f>公司整体!A492</f>
        <v>东莞</v>
      </c>
      <c r="B492" t="str">
        <f>公司整体!B492</f>
        <v>2015-05</v>
      </c>
      <c r="C492">
        <f ca="1">INDIRECT(ADDRESS(ROW(C492),MATCH(公司各渠道指标可视化!$C$4,公司整体!$1:$1,0),3,1,"公司整体"),TRUE)</f>
        <v>0</v>
      </c>
      <c r="T492" t="str">
        <f t="shared" si="30"/>
        <v>东莞2015-05</v>
      </c>
      <c r="U492">
        <f t="shared" ca="1" si="31"/>
        <v>0</v>
      </c>
    </row>
    <row r="493" spans="1:21" x14ac:dyDescent="0.15">
      <c r="A493" t="str">
        <f>公司整体!A493</f>
        <v>佛山</v>
      </c>
      <c r="B493" t="str">
        <f>公司整体!B493</f>
        <v>2015-05</v>
      </c>
      <c r="C493">
        <f ca="1">INDIRECT(ADDRESS(ROW(C493),MATCH(公司各渠道指标可视化!$C$4,公司整体!$1:$1,0),3,1,"公司整体"),TRUE)</f>
        <v>0</v>
      </c>
      <c r="T493" t="str">
        <f t="shared" si="30"/>
        <v>佛山2015-05</v>
      </c>
      <c r="U493">
        <f t="shared" ca="1" si="31"/>
        <v>0</v>
      </c>
    </row>
    <row r="494" spans="1:21" x14ac:dyDescent="0.15">
      <c r="A494" t="str">
        <f>公司整体!A494</f>
        <v>广东</v>
      </c>
      <c r="B494" t="str">
        <f>公司整体!B494</f>
        <v>2015-05</v>
      </c>
      <c r="C494">
        <f ca="1">INDIRECT(ADDRESS(ROW(C494),MATCH(公司各渠道指标可视化!$C$4,公司整体!$1:$1,0),3,1,"公司整体"),TRUE)</f>
        <v>0</v>
      </c>
      <c r="T494" t="str">
        <f t="shared" si="30"/>
        <v>广东2015-05</v>
      </c>
      <c r="U494">
        <f t="shared" ca="1" si="31"/>
        <v>0</v>
      </c>
    </row>
    <row r="495" spans="1:21" x14ac:dyDescent="0.15">
      <c r="A495" t="str">
        <f>公司整体!A495</f>
        <v>广州</v>
      </c>
      <c r="B495" t="str">
        <f>公司整体!B495</f>
        <v>2015-05</v>
      </c>
      <c r="C495">
        <f ca="1">INDIRECT(ADDRESS(ROW(C495),MATCH(公司各渠道指标可视化!$C$4,公司整体!$1:$1,0),3,1,"公司整体"),TRUE)</f>
        <v>0</v>
      </c>
      <c r="T495" t="str">
        <f t="shared" si="30"/>
        <v>广州2015-05</v>
      </c>
      <c r="U495">
        <f t="shared" ca="1" si="31"/>
        <v>0</v>
      </c>
    </row>
    <row r="496" spans="1:21" x14ac:dyDescent="0.15">
      <c r="A496" t="str">
        <f>公司整体!A496</f>
        <v>湖北</v>
      </c>
      <c r="B496" t="str">
        <f>公司整体!B496</f>
        <v>2015-05</v>
      </c>
      <c r="C496">
        <f ca="1">INDIRECT(ADDRESS(ROW(C496),MATCH(公司各渠道指标可视化!$C$4,公司整体!$1:$1,0),3,1,"公司整体"),TRUE)</f>
        <v>0</v>
      </c>
      <c r="T496" t="str">
        <f t="shared" si="30"/>
        <v>湖北2015-05</v>
      </c>
      <c r="U496">
        <f t="shared" ca="1" si="31"/>
        <v>0</v>
      </c>
    </row>
    <row r="497" spans="1:21" x14ac:dyDescent="0.15">
      <c r="A497" t="str">
        <f>公司整体!A497</f>
        <v>机构</v>
      </c>
      <c r="B497" t="str">
        <f>公司整体!B497</f>
        <v>2015-05</v>
      </c>
      <c r="C497">
        <f ca="1">INDIRECT(ADDRESS(ROW(C497),MATCH(公司各渠道指标可视化!$C$4,公司整体!$1:$1,0),3,1,"公司整体"),TRUE)</f>
        <v>0</v>
      </c>
      <c r="T497" t="str">
        <f t="shared" si="30"/>
        <v>机构2015-05</v>
      </c>
      <c r="U497">
        <f t="shared" ca="1" si="31"/>
        <v>0</v>
      </c>
    </row>
    <row r="498" spans="1:21" x14ac:dyDescent="0.15">
      <c r="A498" t="str">
        <f>公司整体!A498</f>
        <v>江苏</v>
      </c>
      <c r="B498" t="str">
        <f>公司整体!B498</f>
        <v>2015-05</v>
      </c>
      <c r="C498">
        <f ca="1">INDIRECT(ADDRESS(ROW(C498),MATCH(公司各渠道指标可视化!$C$4,公司整体!$1:$1,0),3,1,"公司整体"),TRUE)</f>
        <v>0</v>
      </c>
      <c r="T498" t="str">
        <f t="shared" si="30"/>
        <v>江苏2015-05</v>
      </c>
      <c r="U498">
        <f t="shared" ca="1" si="31"/>
        <v>0</v>
      </c>
    </row>
    <row r="499" spans="1:21" x14ac:dyDescent="0.15">
      <c r="A499" t="str">
        <f>公司整体!A499</f>
        <v>山东</v>
      </c>
      <c r="B499" t="str">
        <f>公司整体!B499</f>
        <v>2015-05</v>
      </c>
      <c r="C499">
        <f ca="1">INDIRECT(ADDRESS(ROW(C499),MATCH(公司各渠道指标可视化!$C$4,公司整体!$1:$1,0),3,1,"公司整体"),TRUE)</f>
        <v>0</v>
      </c>
      <c r="T499" t="str">
        <f t="shared" si="30"/>
        <v>山东2015-05</v>
      </c>
      <c r="U499">
        <f t="shared" ca="1" si="31"/>
        <v>0</v>
      </c>
    </row>
    <row r="500" spans="1:21" x14ac:dyDescent="0.15">
      <c r="A500" t="str">
        <f>公司整体!A500</f>
        <v>上海</v>
      </c>
      <c r="B500" t="str">
        <f>公司整体!B500</f>
        <v>2015-05</v>
      </c>
      <c r="C500">
        <f ca="1">INDIRECT(ADDRESS(ROW(C500),MATCH(公司各渠道指标可视化!$C$4,公司整体!$1:$1,0),3,1,"公司整体"),TRUE)</f>
        <v>0</v>
      </c>
      <c r="T500" t="str">
        <f t="shared" si="30"/>
        <v>上海2015-05</v>
      </c>
      <c r="U500">
        <f t="shared" ca="1" si="31"/>
        <v>0</v>
      </c>
    </row>
    <row r="501" spans="1:21" x14ac:dyDescent="0.15">
      <c r="A501" t="str">
        <f>公司整体!A501</f>
        <v>深圳</v>
      </c>
      <c r="B501" t="str">
        <f>公司整体!B501</f>
        <v>2015-05</v>
      </c>
      <c r="C501">
        <f ca="1">INDIRECT(ADDRESS(ROW(C501),MATCH(公司各渠道指标可视化!$C$4,公司整体!$1:$1,0),3,1,"公司整体"),TRUE)</f>
        <v>0</v>
      </c>
      <c r="T501" t="str">
        <f t="shared" si="30"/>
        <v>深圳2015-05</v>
      </c>
      <c r="U501">
        <f t="shared" ca="1" si="31"/>
        <v>0</v>
      </c>
    </row>
    <row r="502" spans="1:21" x14ac:dyDescent="0.15">
      <c r="A502" t="str">
        <f>公司整体!A502</f>
        <v>四川</v>
      </c>
      <c r="B502" t="str">
        <f>公司整体!B502</f>
        <v>2015-05</v>
      </c>
      <c r="C502">
        <f ca="1">INDIRECT(ADDRESS(ROW(C502),MATCH(公司各渠道指标可视化!$C$4,公司整体!$1:$1,0),3,1,"公司整体"),TRUE)</f>
        <v>0</v>
      </c>
      <c r="T502" t="str">
        <f t="shared" si="30"/>
        <v>四川2015-05</v>
      </c>
      <c r="U502">
        <f t="shared" ca="1" si="31"/>
        <v>0</v>
      </c>
    </row>
    <row r="503" spans="1:21" x14ac:dyDescent="0.15">
      <c r="A503" t="str">
        <f>公司整体!A503</f>
        <v>苏州</v>
      </c>
      <c r="B503" t="str">
        <f>公司整体!B503</f>
        <v>2015-05</v>
      </c>
      <c r="C503">
        <f ca="1">INDIRECT(ADDRESS(ROW(C503),MATCH(公司各渠道指标可视化!$C$4,公司整体!$1:$1,0),3,1,"公司整体"),TRUE)</f>
        <v>0</v>
      </c>
      <c r="T503" t="str">
        <f t="shared" si="30"/>
        <v>苏州2015-05</v>
      </c>
      <c r="U503">
        <f t="shared" ca="1" si="31"/>
        <v>0</v>
      </c>
    </row>
    <row r="504" spans="1:21" x14ac:dyDescent="0.15">
      <c r="A504" t="str">
        <f>公司整体!A504</f>
        <v>中山</v>
      </c>
      <c r="B504" t="str">
        <f>公司整体!B504</f>
        <v>2015-05</v>
      </c>
      <c r="C504">
        <f ca="1">INDIRECT(ADDRESS(ROW(C504),MATCH(公司各渠道指标可视化!$C$4,公司整体!$1:$1,0),3,1,"公司整体"),TRUE)</f>
        <v>0</v>
      </c>
      <c r="T504" t="str">
        <f t="shared" si="30"/>
        <v>中山2015-05</v>
      </c>
      <c r="U504">
        <f t="shared" ca="1" si="31"/>
        <v>0</v>
      </c>
    </row>
    <row r="505" spans="1:21" x14ac:dyDescent="0.15">
      <c r="A505" t="str">
        <f>公司整体!A505</f>
        <v>珠海</v>
      </c>
      <c r="B505" t="str">
        <f>公司整体!B505</f>
        <v>2015-05</v>
      </c>
      <c r="C505">
        <f ca="1">INDIRECT(ADDRESS(ROW(C505),MATCH(公司各渠道指标可视化!$C$4,公司整体!$1:$1,0),3,1,"公司整体"),TRUE)</f>
        <v>0</v>
      </c>
      <c r="T505" t="str">
        <f t="shared" si="30"/>
        <v>珠海2015-05</v>
      </c>
      <c r="U505">
        <f t="shared" ca="1" si="31"/>
        <v>0</v>
      </c>
    </row>
    <row r="506" spans="1:21" x14ac:dyDescent="0.15">
      <c r="A506" t="str">
        <f>公司整体!A506</f>
        <v>东莞</v>
      </c>
      <c r="B506" t="str">
        <f>公司整体!B506</f>
        <v>2015-06</v>
      </c>
      <c r="C506">
        <f ca="1">INDIRECT(ADDRESS(ROW(C506),MATCH(公司各渠道指标可视化!$C$4,公司整体!$1:$1,0),3,1,"公司整体"),TRUE)</f>
        <v>0</v>
      </c>
      <c r="T506" t="str">
        <f t="shared" si="30"/>
        <v>东莞2015-06</v>
      </c>
      <c r="U506">
        <f t="shared" ca="1" si="31"/>
        <v>0</v>
      </c>
    </row>
    <row r="507" spans="1:21" x14ac:dyDescent="0.15">
      <c r="A507" t="str">
        <f>公司整体!A507</f>
        <v>佛山</v>
      </c>
      <c r="B507" t="str">
        <f>公司整体!B507</f>
        <v>2015-06</v>
      </c>
      <c r="C507">
        <f ca="1">INDIRECT(ADDRESS(ROW(C507),MATCH(公司各渠道指标可视化!$C$4,公司整体!$1:$1,0),3,1,"公司整体"),TRUE)</f>
        <v>0</v>
      </c>
      <c r="T507" t="str">
        <f t="shared" si="30"/>
        <v>佛山2015-06</v>
      </c>
      <c r="U507">
        <f t="shared" ca="1" si="31"/>
        <v>0</v>
      </c>
    </row>
    <row r="508" spans="1:21" x14ac:dyDescent="0.15">
      <c r="A508" t="str">
        <f>公司整体!A508</f>
        <v>广东</v>
      </c>
      <c r="B508" t="str">
        <f>公司整体!B508</f>
        <v>2015-06</v>
      </c>
      <c r="C508">
        <f ca="1">INDIRECT(ADDRESS(ROW(C508),MATCH(公司各渠道指标可视化!$C$4,公司整体!$1:$1,0),3,1,"公司整体"),TRUE)</f>
        <v>0</v>
      </c>
      <c r="T508" t="str">
        <f t="shared" si="30"/>
        <v>广东2015-06</v>
      </c>
      <c r="U508">
        <f t="shared" ca="1" si="31"/>
        <v>0</v>
      </c>
    </row>
    <row r="509" spans="1:21" x14ac:dyDescent="0.15">
      <c r="A509" t="str">
        <f>公司整体!A509</f>
        <v>广州</v>
      </c>
      <c r="B509" t="str">
        <f>公司整体!B509</f>
        <v>2015-06</v>
      </c>
      <c r="C509">
        <f ca="1">INDIRECT(ADDRESS(ROW(C509),MATCH(公司各渠道指标可视化!$C$4,公司整体!$1:$1,0),3,1,"公司整体"),TRUE)</f>
        <v>0</v>
      </c>
      <c r="T509" t="str">
        <f t="shared" si="30"/>
        <v>广州2015-06</v>
      </c>
      <c r="U509">
        <f t="shared" ca="1" si="31"/>
        <v>0</v>
      </c>
    </row>
    <row r="510" spans="1:21" x14ac:dyDescent="0.15">
      <c r="A510" t="str">
        <f>公司整体!A510</f>
        <v>湖北</v>
      </c>
      <c r="B510" t="str">
        <f>公司整体!B510</f>
        <v>2015-06</v>
      </c>
      <c r="C510">
        <f ca="1">INDIRECT(ADDRESS(ROW(C510),MATCH(公司各渠道指标可视化!$C$4,公司整体!$1:$1,0),3,1,"公司整体"),TRUE)</f>
        <v>0</v>
      </c>
      <c r="T510" t="str">
        <f t="shared" si="30"/>
        <v>湖北2015-06</v>
      </c>
      <c r="U510">
        <f t="shared" ca="1" si="31"/>
        <v>0</v>
      </c>
    </row>
    <row r="511" spans="1:21" x14ac:dyDescent="0.15">
      <c r="A511" t="str">
        <f>公司整体!A511</f>
        <v>机构</v>
      </c>
      <c r="B511" t="str">
        <f>公司整体!B511</f>
        <v>2015-06</v>
      </c>
      <c r="C511">
        <f ca="1">INDIRECT(ADDRESS(ROW(C511),MATCH(公司各渠道指标可视化!$C$4,公司整体!$1:$1,0),3,1,"公司整体"),TRUE)</f>
        <v>0</v>
      </c>
      <c r="T511" t="str">
        <f t="shared" si="30"/>
        <v>机构2015-06</v>
      </c>
      <c r="U511">
        <f t="shared" ca="1" si="31"/>
        <v>0</v>
      </c>
    </row>
    <row r="512" spans="1:21" x14ac:dyDescent="0.15">
      <c r="A512" t="str">
        <f>公司整体!A512</f>
        <v>江苏</v>
      </c>
      <c r="B512" t="str">
        <f>公司整体!B512</f>
        <v>2015-06</v>
      </c>
      <c r="C512">
        <f ca="1">INDIRECT(ADDRESS(ROW(C512),MATCH(公司各渠道指标可视化!$C$4,公司整体!$1:$1,0),3,1,"公司整体"),TRUE)</f>
        <v>0</v>
      </c>
      <c r="T512" t="str">
        <f t="shared" si="30"/>
        <v>江苏2015-06</v>
      </c>
      <c r="U512">
        <f t="shared" ca="1" si="31"/>
        <v>0</v>
      </c>
    </row>
    <row r="513" spans="1:21" x14ac:dyDescent="0.15">
      <c r="A513" t="str">
        <f>公司整体!A513</f>
        <v>山东</v>
      </c>
      <c r="B513" t="str">
        <f>公司整体!B513</f>
        <v>2015-06</v>
      </c>
      <c r="C513">
        <f ca="1">INDIRECT(ADDRESS(ROW(C513),MATCH(公司各渠道指标可视化!$C$4,公司整体!$1:$1,0),3,1,"公司整体"),TRUE)</f>
        <v>0</v>
      </c>
      <c r="T513" t="str">
        <f t="shared" si="30"/>
        <v>山东2015-06</v>
      </c>
      <c r="U513">
        <f t="shared" ca="1" si="31"/>
        <v>0</v>
      </c>
    </row>
    <row r="514" spans="1:21" x14ac:dyDescent="0.15">
      <c r="A514" t="str">
        <f>公司整体!A514</f>
        <v>上海</v>
      </c>
      <c r="B514" t="str">
        <f>公司整体!B514</f>
        <v>2015-06</v>
      </c>
      <c r="C514">
        <f ca="1">INDIRECT(ADDRESS(ROW(C514),MATCH(公司各渠道指标可视化!$C$4,公司整体!$1:$1,0),3,1,"公司整体"),TRUE)</f>
        <v>0</v>
      </c>
      <c r="T514" t="str">
        <f t="shared" si="30"/>
        <v>上海2015-06</v>
      </c>
      <c r="U514">
        <f t="shared" ca="1" si="31"/>
        <v>0</v>
      </c>
    </row>
    <row r="515" spans="1:21" x14ac:dyDescent="0.15">
      <c r="A515" t="str">
        <f>公司整体!A515</f>
        <v>深圳</v>
      </c>
      <c r="B515" t="str">
        <f>公司整体!B515</f>
        <v>2015-06</v>
      </c>
      <c r="C515">
        <f ca="1">INDIRECT(ADDRESS(ROW(C515),MATCH(公司各渠道指标可视化!$C$4,公司整体!$1:$1,0),3,1,"公司整体"),TRUE)</f>
        <v>0</v>
      </c>
      <c r="T515" t="str">
        <f t="shared" si="30"/>
        <v>深圳2015-06</v>
      </c>
      <c r="U515">
        <f t="shared" ca="1" si="31"/>
        <v>0</v>
      </c>
    </row>
    <row r="516" spans="1:21" x14ac:dyDescent="0.15">
      <c r="A516" t="str">
        <f>公司整体!A516</f>
        <v>四川</v>
      </c>
      <c r="B516" t="str">
        <f>公司整体!B516</f>
        <v>2015-06</v>
      </c>
      <c r="C516">
        <f ca="1">INDIRECT(ADDRESS(ROW(C516),MATCH(公司各渠道指标可视化!$C$4,公司整体!$1:$1,0),3,1,"公司整体"),TRUE)</f>
        <v>0</v>
      </c>
      <c r="T516" t="str">
        <f t="shared" si="30"/>
        <v>四川2015-06</v>
      </c>
      <c r="U516">
        <f t="shared" ca="1" si="31"/>
        <v>0</v>
      </c>
    </row>
    <row r="517" spans="1:21" x14ac:dyDescent="0.15">
      <c r="A517" t="str">
        <f>公司整体!A517</f>
        <v>苏州</v>
      </c>
      <c r="B517" t="str">
        <f>公司整体!B517</f>
        <v>2015-06</v>
      </c>
      <c r="C517">
        <f ca="1">INDIRECT(ADDRESS(ROW(C517),MATCH(公司各渠道指标可视化!$C$4,公司整体!$1:$1,0),3,1,"公司整体"),TRUE)</f>
        <v>0</v>
      </c>
      <c r="T517" t="str">
        <f t="shared" si="30"/>
        <v>苏州2015-06</v>
      </c>
      <c r="U517">
        <f t="shared" ca="1" si="31"/>
        <v>0</v>
      </c>
    </row>
    <row r="518" spans="1:21" x14ac:dyDescent="0.15">
      <c r="A518" t="str">
        <f>公司整体!A518</f>
        <v>中山</v>
      </c>
      <c r="B518" t="str">
        <f>公司整体!B518</f>
        <v>2015-06</v>
      </c>
      <c r="C518">
        <f ca="1">INDIRECT(ADDRESS(ROW(C518),MATCH(公司各渠道指标可视化!$C$4,公司整体!$1:$1,0),3,1,"公司整体"),TRUE)</f>
        <v>0</v>
      </c>
      <c r="T518" t="str">
        <f t="shared" si="30"/>
        <v>中山2015-06</v>
      </c>
      <c r="U518">
        <f t="shared" ca="1" si="31"/>
        <v>0</v>
      </c>
    </row>
    <row r="519" spans="1:21" x14ac:dyDescent="0.15">
      <c r="A519" t="str">
        <f>公司整体!A519</f>
        <v>珠海</v>
      </c>
      <c r="B519" t="str">
        <f>公司整体!B519</f>
        <v>2015-06</v>
      </c>
      <c r="C519">
        <f ca="1">INDIRECT(ADDRESS(ROW(C519),MATCH(公司各渠道指标可视化!$C$4,公司整体!$1:$1,0),3,1,"公司整体"),TRUE)</f>
        <v>0</v>
      </c>
      <c r="T519" t="str">
        <f t="shared" si="30"/>
        <v>珠海2015-06</v>
      </c>
      <c r="U519">
        <f t="shared" ca="1" si="31"/>
        <v>0</v>
      </c>
    </row>
    <row r="520" spans="1:21" x14ac:dyDescent="0.15">
      <c r="A520" t="str">
        <f>公司整体!A520</f>
        <v>东莞</v>
      </c>
      <c r="B520" t="str">
        <f>公司整体!B520</f>
        <v>2015-07</v>
      </c>
      <c r="C520">
        <f ca="1">INDIRECT(ADDRESS(ROW(C520),MATCH(公司各渠道指标可视化!$C$4,公司整体!$1:$1,0),3,1,"公司整体"),TRUE)</f>
        <v>0</v>
      </c>
      <c r="T520" t="str">
        <f t="shared" si="30"/>
        <v>东莞2015-07</v>
      </c>
      <c r="U520">
        <f t="shared" ca="1" si="31"/>
        <v>0</v>
      </c>
    </row>
    <row r="521" spans="1:21" x14ac:dyDescent="0.15">
      <c r="A521" t="str">
        <f>公司整体!A521</f>
        <v>佛山</v>
      </c>
      <c r="B521" t="str">
        <f>公司整体!B521</f>
        <v>2015-07</v>
      </c>
      <c r="C521">
        <f ca="1">INDIRECT(ADDRESS(ROW(C521),MATCH(公司各渠道指标可视化!$C$4,公司整体!$1:$1,0),3,1,"公司整体"),TRUE)</f>
        <v>0</v>
      </c>
      <c r="T521" t="str">
        <f t="shared" si="30"/>
        <v>佛山2015-07</v>
      </c>
      <c r="U521">
        <f t="shared" ca="1" si="31"/>
        <v>0</v>
      </c>
    </row>
    <row r="522" spans="1:21" x14ac:dyDescent="0.15">
      <c r="A522" t="str">
        <f>公司整体!A522</f>
        <v>广东</v>
      </c>
      <c r="B522" t="str">
        <f>公司整体!B522</f>
        <v>2015-07</v>
      </c>
      <c r="C522">
        <f ca="1">INDIRECT(ADDRESS(ROW(C522),MATCH(公司各渠道指标可视化!$C$4,公司整体!$1:$1,0),3,1,"公司整体"),TRUE)</f>
        <v>0</v>
      </c>
      <c r="T522" t="str">
        <f t="shared" si="30"/>
        <v>广东2015-07</v>
      </c>
      <c r="U522">
        <f t="shared" ca="1" si="31"/>
        <v>0</v>
      </c>
    </row>
    <row r="523" spans="1:21" x14ac:dyDescent="0.15">
      <c r="A523" t="str">
        <f>公司整体!A523</f>
        <v>广州</v>
      </c>
      <c r="B523" t="str">
        <f>公司整体!B523</f>
        <v>2015-07</v>
      </c>
      <c r="C523">
        <f ca="1">INDIRECT(ADDRESS(ROW(C523),MATCH(公司各渠道指标可视化!$C$4,公司整体!$1:$1,0),3,1,"公司整体"),TRUE)</f>
        <v>0</v>
      </c>
      <c r="T523" t="str">
        <f t="shared" si="30"/>
        <v>广州2015-07</v>
      </c>
      <c r="U523">
        <f t="shared" ca="1" si="31"/>
        <v>0</v>
      </c>
    </row>
    <row r="524" spans="1:21" x14ac:dyDescent="0.15">
      <c r="A524" t="str">
        <f>公司整体!A524</f>
        <v>湖北</v>
      </c>
      <c r="B524" t="str">
        <f>公司整体!B524</f>
        <v>2015-07</v>
      </c>
      <c r="C524">
        <f ca="1">INDIRECT(ADDRESS(ROW(C524),MATCH(公司各渠道指标可视化!$C$4,公司整体!$1:$1,0),3,1,"公司整体"),TRUE)</f>
        <v>0</v>
      </c>
      <c r="T524" t="str">
        <f t="shared" si="30"/>
        <v>湖北2015-07</v>
      </c>
      <c r="U524">
        <f t="shared" ca="1" si="31"/>
        <v>0</v>
      </c>
    </row>
    <row r="525" spans="1:21" x14ac:dyDescent="0.15">
      <c r="A525" t="str">
        <f>公司整体!A525</f>
        <v>机构</v>
      </c>
      <c r="B525" t="str">
        <f>公司整体!B525</f>
        <v>2015-07</v>
      </c>
      <c r="C525">
        <f ca="1">INDIRECT(ADDRESS(ROW(C525),MATCH(公司各渠道指标可视化!$C$4,公司整体!$1:$1,0),3,1,"公司整体"),TRUE)</f>
        <v>0</v>
      </c>
      <c r="T525" t="str">
        <f t="shared" si="30"/>
        <v>机构2015-07</v>
      </c>
      <c r="U525">
        <f t="shared" ca="1" si="31"/>
        <v>0</v>
      </c>
    </row>
    <row r="526" spans="1:21" x14ac:dyDescent="0.15">
      <c r="A526" t="str">
        <f>公司整体!A526</f>
        <v>江苏</v>
      </c>
      <c r="B526" t="str">
        <f>公司整体!B526</f>
        <v>2015-07</v>
      </c>
      <c r="C526">
        <f ca="1">INDIRECT(ADDRESS(ROW(C526),MATCH(公司各渠道指标可视化!$C$4,公司整体!$1:$1,0),3,1,"公司整体"),TRUE)</f>
        <v>0</v>
      </c>
      <c r="T526" t="str">
        <f t="shared" si="30"/>
        <v>江苏2015-07</v>
      </c>
      <c r="U526">
        <f t="shared" ca="1" si="31"/>
        <v>0</v>
      </c>
    </row>
    <row r="527" spans="1:21" x14ac:dyDescent="0.15">
      <c r="A527" t="str">
        <f>公司整体!A527</f>
        <v>山东</v>
      </c>
      <c r="B527" t="str">
        <f>公司整体!B527</f>
        <v>2015-07</v>
      </c>
      <c r="C527">
        <f ca="1">INDIRECT(ADDRESS(ROW(C527),MATCH(公司各渠道指标可视化!$C$4,公司整体!$1:$1,0),3,1,"公司整体"),TRUE)</f>
        <v>0</v>
      </c>
      <c r="T527" t="str">
        <f t="shared" si="30"/>
        <v>山东2015-07</v>
      </c>
      <c r="U527">
        <f t="shared" ca="1" si="31"/>
        <v>0</v>
      </c>
    </row>
    <row r="528" spans="1:21" x14ac:dyDescent="0.15">
      <c r="A528" t="str">
        <f>公司整体!A528</f>
        <v>上海</v>
      </c>
      <c r="B528" t="str">
        <f>公司整体!B528</f>
        <v>2015-07</v>
      </c>
      <c r="C528">
        <f ca="1">INDIRECT(ADDRESS(ROW(C528),MATCH(公司各渠道指标可视化!$C$4,公司整体!$1:$1,0),3,1,"公司整体"),TRUE)</f>
        <v>0</v>
      </c>
      <c r="T528" t="str">
        <f t="shared" si="30"/>
        <v>上海2015-07</v>
      </c>
      <c r="U528">
        <f t="shared" ca="1" si="31"/>
        <v>0</v>
      </c>
    </row>
    <row r="529" spans="1:21" x14ac:dyDescent="0.15">
      <c r="A529" t="str">
        <f>公司整体!A529</f>
        <v>深圳</v>
      </c>
      <c r="B529" t="str">
        <f>公司整体!B529</f>
        <v>2015-07</v>
      </c>
      <c r="C529">
        <f ca="1">INDIRECT(ADDRESS(ROW(C529),MATCH(公司各渠道指标可视化!$C$4,公司整体!$1:$1,0),3,1,"公司整体"),TRUE)</f>
        <v>0</v>
      </c>
      <c r="T529" t="str">
        <f t="shared" si="30"/>
        <v>深圳2015-07</v>
      </c>
      <c r="U529">
        <f t="shared" ca="1" si="31"/>
        <v>0</v>
      </c>
    </row>
    <row r="530" spans="1:21" x14ac:dyDescent="0.15">
      <c r="A530" t="str">
        <f>公司整体!A530</f>
        <v>四川</v>
      </c>
      <c r="B530" t="str">
        <f>公司整体!B530</f>
        <v>2015-07</v>
      </c>
      <c r="C530">
        <f ca="1">INDIRECT(ADDRESS(ROW(C530),MATCH(公司各渠道指标可视化!$C$4,公司整体!$1:$1,0),3,1,"公司整体"),TRUE)</f>
        <v>0</v>
      </c>
      <c r="T530" t="str">
        <f t="shared" si="30"/>
        <v>四川2015-07</v>
      </c>
      <c r="U530">
        <f t="shared" ca="1" si="31"/>
        <v>0</v>
      </c>
    </row>
    <row r="531" spans="1:21" x14ac:dyDescent="0.15">
      <c r="A531" t="str">
        <f>公司整体!A531</f>
        <v>苏州</v>
      </c>
      <c r="B531" t="str">
        <f>公司整体!B531</f>
        <v>2015-07</v>
      </c>
      <c r="C531">
        <f ca="1">INDIRECT(ADDRESS(ROW(C531),MATCH(公司各渠道指标可视化!$C$4,公司整体!$1:$1,0),3,1,"公司整体"),TRUE)</f>
        <v>0</v>
      </c>
      <c r="T531" t="str">
        <f t="shared" si="30"/>
        <v>苏州2015-07</v>
      </c>
      <c r="U531">
        <f t="shared" ca="1" si="31"/>
        <v>0</v>
      </c>
    </row>
    <row r="532" spans="1:21" x14ac:dyDescent="0.15">
      <c r="A532" t="str">
        <f>公司整体!A532</f>
        <v>中山</v>
      </c>
      <c r="B532" t="str">
        <f>公司整体!B532</f>
        <v>2015-07</v>
      </c>
      <c r="C532">
        <f ca="1">INDIRECT(ADDRESS(ROW(C532),MATCH(公司各渠道指标可视化!$C$4,公司整体!$1:$1,0),3,1,"公司整体"),TRUE)</f>
        <v>0</v>
      </c>
      <c r="T532" t="str">
        <f t="shared" si="30"/>
        <v>中山2015-07</v>
      </c>
      <c r="U532">
        <f t="shared" ca="1" si="31"/>
        <v>0</v>
      </c>
    </row>
    <row r="533" spans="1:21" x14ac:dyDescent="0.15">
      <c r="A533" t="str">
        <f>公司整体!A533</f>
        <v>珠海</v>
      </c>
      <c r="B533" t="str">
        <f>公司整体!B533</f>
        <v>2015-07</v>
      </c>
      <c r="C533">
        <f ca="1">INDIRECT(ADDRESS(ROW(C533),MATCH(公司各渠道指标可视化!$C$4,公司整体!$1:$1,0),3,1,"公司整体"),TRUE)</f>
        <v>0</v>
      </c>
      <c r="T533" t="str">
        <f t="shared" si="30"/>
        <v>珠海2015-07</v>
      </c>
      <c r="U533">
        <f t="shared" ca="1" si="31"/>
        <v>0</v>
      </c>
    </row>
    <row r="534" spans="1:21" x14ac:dyDescent="0.15">
      <c r="A534" t="str">
        <f>公司整体!A534</f>
        <v>东莞</v>
      </c>
      <c r="B534" t="str">
        <f>公司整体!B534</f>
        <v>2015-08</v>
      </c>
      <c r="C534">
        <f ca="1">INDIRECT(ADDRESS(ROW(C534),MATCH(公司各渠道指标可视化!$C$4,公司整体!$1:$1,0),3,1,"公司整体"),TRUE)</f>
        <v>0</v>
      </c>
      <c r="T534" t="str">
        <f t="shared" si="30"/>
        <v>东莞2015-08</v>
      </c>
      <c r="U534">
        <f t="shared" ca="1" si="31"/>
        <v>0</v>
      </c>
    </row>
    <row r="535" spans="1:21" x14ac:dyDescent="0.15">
      <c r="A535" t="str">
        <f>公司整体!A535</f>
        <v>佛山</v>
      </c>
      <c r="B535" t="str">
        <f>公司整体!B535</f>
        <v>2015-08</v>
      </c>
      <c r="C535">
        <f ca="1">INDIRECT(ADDRESS(ROW(C535),MATCH(公司各渠道指标可视化!$C$4,公司整体!$1:$1,0),3,1,"公司整体"),TRUE)</f>
        <v>0</v>
      </c>
      <c r="T535" t="str">
        <f t="shared" ref="T535:T598" si="32">A535&amp;B535</f>
        <v>佛山2015-08</v>
      </c>
      <c r="U535">
        <f t="shared" ref="U535:U598" ca="1" si="33">C535</f>
        <v>0</v>
      </c>
    </row>
    <row r="536" spans="1:21" x14ac:dyDescent="0.15">
      <c r="A536" t="str">
        <f>公司整体!A536</f>
        <v>广东</v>
      </c>
      <c r="B536" t="str">
        <f>公司整体!B536</f>
        <v>2015-08</v>
      </c>
      <c r="C536">
        <f ca="1">INDIRECT(ADDRESS(ROW(C536),MATCH(公司各渠道指标可视化!$C$4,公司整体!$1:$1,0),3,1,"公司整体"),TRUE)</f>
        <v>0</v>
      </c>
      <c r="T536" t="str">
        <f t="shared" si="32"/>
        <v>广东2015-08</v>
      </c>
      <c r="U536">
        <f t="shared" ca="1" si="33"/>
        <v>0</v>
      </c>
    </row>
    <row r="537" spans="1:21" x14ac:dyDescent="0.15">
      <c r="A537" t="str">
        <f>公司整体!A537</f>
        <v>广州</v>
      </c>
      <c r="B537" t="str">
        <f>公司整体!B537</f>
        <v>2015-08</v>
      </c>
      <c r="C537">
        <f ca="1">INDIRECT(ADDRESS(ROW(C537),MATCH(公司各渠道指标可视化!$C$4,公司整体!$1:$1,0),3,1,"公司整体"),TRUE)</f>
        <v>0</v>
      </c>
      <c r="T537" t="str">
        <f t="shared" si="32"/>
        <v>广州2015-08</v>
      </c>
      <c r="U537">
        <f t="shared" ca="1" si="33"/>
        <v>0</v>
      </c>
    </row>
    <row r="538" spans="1:21" x14ac:dyDescent="0.15">
      <c r="A538" t="str">
        <f>公司整体!A538</f>
        <v>湖北</v>
      </c>
      <c r="B538" t="str">
        <f>公司整体!B538</f>
        <v>2015-08</v>
      </c>
      <c r="C538">
        <f ca="1">INDIRECT(ADDRESS(ROW(C538),MATCH(公司各渠道指标可视化!$C$4,公司整体!$1:$1,0),3,1,"公司整体"),TRUE)</f>
        <v>0</v>
      </c>
      <c r="T538" t="str">
        <f t="shared" si="32"/>
        <v>湖北2015-08</v>
      </c>
      <c r="U538">
        <f t="shared" ca="1" si="33"/>
        <v>0</v>
      </c>
    </row>
    <row r="539" spans="1:21" x14ac:dyDescent="0.15">
      <c r="A539" t="str">
        <f>公司整体!A539</f>
        <v>机构</v>
      </c>
      <c r="B539" t="str">
        <f>公司整体!B539</f>
        <v>2015-08</v>
      </c>
      <c r="C539">
        <f ca="1">INDIRECT(ADDRESS(ROW(C539),MATCH(公司各渠道指标可视化!$C$4,公司整体!$1:$1,0),3,1,"公司整体"),TRUE)</f>
        <v>0</v>
      </c>
      <c r="T539" t="str">
        <f t="shared" si="32"/>
        <v>机构2015-08</v>
      </c>
      <c r="U539">
        <f t="shared" ca="1" si="33"/>
        <v>0</v>
      </c>
    </row>
    <row r="540" spans="1:21" x14ac:dyDescent="0.15">
      <c r="A540" t="str">
        <f>公司整体!A540</f>
        <v>江苏</v>
      </c>
      <c r="B540" t="str">
        <f>公司整体!B540</f>
        <v>2015-08</v>
      </c>
      <c r="C540">
        <f ca="1">INDIRECT(ADDRESS(ROW(C540),MATCH(公司各渠道指标可视化!$C$4,公司整体!$1:$1,0),3,1,"公司整体"),TRUE)</f>
        <v>0</v>
      </c>
      <c r="T540" t="str">
        <f t="shared" si="32"/>
        <v>江苏2015-08</v>
      </c>
      <c r="U540">
        <f t="shared" ca="1" si="33"/>
        <v>0</v>
      </c>
    </row>
    <row r="541" spans="1:21" x14ac:dyDescent="0.15">
      <c r="A541" t="str">
        <f>公司整体!A541</f>
        <v>山东</v>
      </c>
      <c r="B541" t="str">
        <f>公司整体!B541</f>
        <v>2015-08</v>
      </c>
      <c r="C541">
        <f ca="1">INDIRECT(ADDRESS(ROW(C541),MATCH(公司各渠道指标可视化!$C$4,公司整体!$1:$1,0),3,1,"公司整体"),TRUE)</f>
        <v>0</v>
      </c>
      <c r="T541" t="str">
        <f t="shared" si="32"/>
        <v>山东2015-08</v>
      </c>
      <c r="U541">
        <f t="shared" ca="1" si="33"/>
        <v>0</v>
      </c>
    </row>
    <row r="542" spans="1:21" x14ac:dyDescent="0.15">
      <c r="A542" t="str">
        <f>公司整体!A542</f>
        <v>上海</v>
      </c>
      <c r="B542" t="str">
        <f>公司整体!B542</f>
        <v>2015-08</v>
      </c>
      <c r="C542">
        <f ca="1">INDIRECT(ADDRESS(ROW(C542),MATCH(公司各渠道指标可视化!$C$4,公司整体!$1:$1,0),3,1,"公司整体"),TRUE)</f>
        <v>0</v>
      </c>
      <c r="T542" t="str">
        <f t="shared" si="32"/>
        <v>上海2015-08</v>
      </c>
      <c r="U542">
        <f t="shared" ca="1" si="33"/>
        <v>0</v>
      </c>
    </row>
    <row r="543" spans="1:21" x14ac:dyDescent="0.15">
      <c r="A543" t="str">
        <f>公司整体!A543</f>
        <v>深圳</v>
      </c>
      <c r="B543" t="str">
        <f>公司整体!B543</f>
        <v>2015-08</v>
      </c>
      <c r="C543">
        <f ca="1">INDIRECT(ADDRESS(ROW(C543),MATCH(公司各渠道指标可视化!$C$4,公司整体!$1:$1,0),3,1,"公司整体"),TRUE)</f>
        <v>0</v>
      </c>
      <c r="T543" t="str">
        <f t="shared" si="32"/>
        <v>深圳2015-08</v>
      </c>
      <c r="U543">
        <f t="shared" ca="1" si="33"/>
        <v>0</v>
      </c>
    </row>
    <row r="544" spans="1:21" x14ac:dyDescent="0.15">
      <c r="A544" t="str">
        <f>公司整体!A544</f>
        <v>四川</v>
      </c>
      <c r="B544" t="str">
        <f>公司整体!B544</f>
        <v>2015-08</v>
      </c>
      <c r="C544">
        <f ca="1">INDIRECT(ADDRESS(ROW(C544),MATCH(公司各渠道指标可视化!$C$4,公司整体!$1:$1,0),3,1,"公司整体"),TRUE)</f>
        <v>0</v>
      </c>
      <c r="T544" t="str">
        <f t="shared" si="32"/>
        <v>四川2015-08</v>
      </c>
      <c r="U544">
        <f t="shared" ca="1" si="33"/>
        <v>0</v>
      </c>
    </row>
    <row r="545" spans="1:21" x14ac:dyDescent="0.15">
      <c r="A545" t="str">
        <f>公司整体!A545</f>
        <v>苏州</v>
      </c>
      <c r="B545" t="str">
        <f>公司整体!B545</f>
        <v>2015-08</v>
      </c>
      <c r="C545">
        <f ca="1">INDIRECT(ADDRESS(ROW(C545),MATCH(公司各渠道指标可视化!$C$4,公司整体!$1:$1,0),3,1,"公司整体"),TRUE)</f>
        <v>0</v>
      </c>
      <c r="T545" t="str">
        <f t="shared" si="32"/>
        <v>苏州2015-08</v>
      </c>
      <c r="U545">
        <f t="shared" ca="1" si="33"/>
        <v>0</v>
      </c>
    </row>
    <row r="546" spans="1:21" x14ac:dyDescent="0.15">
      <c r="A546" t="str">
        <f>公司整体!A546</f>
        <v>中山</v>
      </c>
      <c r="B546" t="str">
        <f>公司整体!B546</f>
        <v>2015-08</v>
      </c>
      <c r="C546">
        <f ca="1">INDIRECT(ADDRESS(ROW(C546),MATCH(公司各渠道指标可视化!$C$4,公司整体!$1:$1,0),3,1,"公司整体"),TRUE)</f>
        <v>0</v>
      </c>
      <c r="T546" t="str">
        <f t="shared" si="32"/>
        <v>中山2015-08</v>
      </c>
      <c r="U546">
        <f t="shared" ca="1" si="33"/>
        <v>0</v>
      </c>
    </row>
    <row r="547" spans="1:21" x14ac:dyDescent="0.15">
      <c r="A547" t="str">
        <f>公司整体!A547</f>
        <v>珠海</v>
      </c>
      <c r="B547" t="str">
        <f>公司整体!B547</f>
        <v>2015-08</v>
      </c>
      <c r="C547">
        <f ca="1">INDIRECT(ADDRESS(ROW(C547),MATCH(公司各渠道指标可视化!$C$4,公司整体!$1:$1,0),3,1,"公司整体"),TRUE)</f>
        <v>0</v>
      </c>
      <c r="T547" t="str">
        <f t="shared" si="32"/>
        <v>珠海2015-08</v>
      </c>
      <c r="U547">
        <f t="shared" ca="1" si="33"/>
        <v>0</v>
      </c>
    </row>
    <row r="548" spans="1:21" x14ac:dyDescent="0.15">
      <c r="A548" t="str">
        <f>公司整体!A548</f>
        <v>东莞</v>
      </c>
      <c r="B548" t="str">
        <f>公司整体!B548</f>
        <v>2015-09</v>
      </c>
      <c r="C548">
        <f ca="1">INDIRECT(ADDRESS(ROW(C548),MATCH(公司各渠道指标可视化!$C$4,公司整体!$1:$1,0),3,1,"公司整体"),TRUE)</f>
        <v>0</v>
      </c>
      <c r="T548" t="str">
        <f t="shared" si="32"/>
        <v>东莞2015-09</v>
      </c>
      <c r="U548">
        <f t="shared" ca="1" si="33"/>
        <v>0</v>
      </c>
    </row>
    <row r="549" spans="1:21" x14ac:dyDescent="0.15">
      <c r="A549" t="str">
        <f>公司整体!A549</f>
        <v>佛山</v>
      </c>
      <c r="B549" t="str">
        <f>公司整体!B549</f>
        <v>2015-09</v>
      </c>
      <c r="C549">
        <f ca="1">INDIRECT(ADDRESS(ROW(C549),MATCH(公司各渠道指标可视化!$C$4,公司整体!$1:$1,0),3,1,"公司整体"),TRUE)</f>
        <v>0</v>
      </c>
      <c r="T549" t="str">
        <f t="shared" si="32"/>
        <v>佛山2015-09</v>
      </c>
      <c r="U549">
        <f t="shared" ca="1" si="33"/>
        <v>0</v>
      </c>
    </row>
    <row r="550" spans="1:21" x14ac:dyDescent="0.15">
      <c r="A550" t="str">
        <f>公司整体!A550</f>
        <v>广东</v>
      </c>
      <c r="B550" t="str">
        <f>公司整体!B550</f>
        <v>2015-09</v>
      </c>
      <c r="C550">
        <f ca="1">INDIRECT(ADDRESS(ROW(C550),MATCH(公司各渠道指标可视化!$C$4,公司整体!$1:$1,0),3,1,"公司整体"),TRUE)</f>
        <v>0</v>
      </c>
      <c r="T550" t="str">
        <f t="shared" si="32"/>
        <v>广东2015-09</v>
      </c>
      <c r="U550">
        <f t="shared" ca="1" si="33"/>
        <v>0</v>
      </c>
    </row>
    <row r="551" spans="1:21" x14ac:dyDescent="0.15">
      <c r="A551" t="str">
        <f>公司整体!A551</f>
        <v>广州</v>
      </c>
      <c r="B551" t="str">
        <f>公司整体!B551</f>
        <v>2015-09</v>
      </c>
      <c r="C551">
        <f ca="1">INDIRECT(ADDRESS(ROW(C551),MATCH(公司各渠道指标可视化!$C$4,公司整体!$1:$1,0),3,1,"公司整体"),TRUE)</f>
        <v>0</v>
      </c>
      <c r="T551" t="str">
        <f t="shared" si="32"/>
        <v>广州2015-09</v>
      </c>
      <c r="U551">
        <f t="shared" ca="1" si="33"/>
        <v>0</v>
      </c>
    </row>
    <row r="552" spans="1:21" x14ac:dyDescent="0.15">
      <c r="A552" t="str">
        <f>公司整体!A552</f>
        <v>湖北</v>
      </c>
      <c r="B552" t="str">
        <f>公司整体!B552</f>
        <v>2015-09</v>
      </c>
      <c r="C552">
        <f ca="1">INDIRECT(ADDRESS(ROW(C552),MATCH(公司各渠道指标可视化!$C$4,公司整体!$1:$1,0),3,1,"公司整体"),TRUE)</f>
        <v>0</v>
      </c>
      <c r="T552" t="str">
        <f t="shared" si="32"/>
        <v>湖北2015-09</v>
      </c>
      <c r="U552">
        <f t="shared" ca="1" si="33"/>
        <v>0</v>
      </c>
    </row>
    <row r="553" spans="1:21" x14ac:dyDescent="0.15">
      <c r="A553" t="str">
        <f>公司整体!A553</f>
        <v>机构</v>
      </c>
      <c r="B553" t="str">
        <f>公司整体!B553</f>
        <v>2015-09</v>
      </c>
      <c r="C553">
        <f ca="1">INDIRECT(ADDRESS(ROW(C553),MATCH(公司各渠道指标可视化!$C$4,公司整体!$1:$1,0),3,1,"公司整体"),TRUE)</f>
        <v>0</v>
      </c>
      <c r="T553" t="str">
        <f t="shared" si="32"/>
        <v>机构2015-09</v>
      </c>
      <c r="U553">
        <f t="shared" ca="1" si="33"/>
        <v>0</v>
      </c>
    </row>
    <row r="554" spans="1:21" x14ac:dyDescent="0.15">
      <c r="A554" t="str">
        <f>公司整体!A554</f>
        <v>江苏</v>
      </c>
      <c r="B554" t="str">
        <f>公司整体!B554</f>
        <v>2015-09</v>
      </c>
      <c r="C554">
        <f ca="1">INDIRECT(ADDRESS(ROW(C554),MATCH(公司各渠道指标可视化!$C$4,公司整体!$1:$1,0),3,1,"公司整体"),TRUE)</f>
        <v>0</v>
      </c>
      <c r="T554" t="str">
        <f t="shared" si="32"/>
        <v>江苏2015-09</v>
      </c>
      <c r="U554">
        <f t="shared" ca="1" si="33"/>
        <v>0</v>
      </c>
    </row>
    <row r="555" spans="1:21" x14ac:dyDescent="0.15">
      <c r="A555" t="str">
        <f>公司整体!A555</f>
        <v>山东</v>
      </c>
      <c r="B555" t="str">
        <f>公司整体!B555</f>
        <v>2015-09</v>
      </c>
      <c r="C555">
        <f ca="1">INDIRECT(ADDRESS(ROW(C555),MATCH(公司各渠道指标可视化!$C$4,公司整体!$1:$1,0),3,1,"公司整体"),TRUE)</f>
        <v>0</v>
      </c>
      <c r="T555" t="str">
        <f t="shared" si="32"/>
        <v>山东2015-09</v>
      </c>
      <c r="U555">
        <f t="shared" ca="1" si="33"/>
        <v>0</v>
      </c>
    </row>
    <row r="556" spans="1:21" x14ac:dyDescent="0.15">
      <c r="A556" t="str">
        <f>公司整体!A556</f>
        <v>上海</v>
      </c>
      <c r="B556" t="str">
        <f>公司整体!B556</f>
        <v>2015-09</v>
      </c>
      <c r="C556">
        <f ca="1">INDIRECT(ADDRESS(ROW(C556),MATCH(公司各渠道指标可视化!$C$4,公司整体!$1:$1,0),3,1,"公司整体"),TRUE)</f>
        <v>0</v>
      </c>
      <c r="T556" t="str">
        <f t="shared" si="32"/>
        <v>上海2015-09</v>
      </c>
      <c r="U556">
        <f t="shared" ca="1" si="33"/>
        <v>0</v>
      </c>
    </row>
    <row r="557" spans="1:21" x14ac:dyDescent="0.15">
      <c r="A557" t="str">
        <f>公司整体!A557</f>
        <v>深圳</v>
      </c>
      <c r="B557" t="str">
        <f>公司整体!B557</f>
        <v>2015-09</v>
      </c>
      <c r="C557">
        <f ca="1">INDIRECT(ADDRESS(ROW(C557),MATCH(公司各渠道指标可视化!$C$4,公司整体!$1:$1,0),3,1,"公司整体"),TRUE)</f>
        <v>0</v>
      </c>
      <c r="T557" t="str">
        <f t="shared" si="32"/>
        <v>深圳2015-09</v>
      </c>
      <c r="U557">
        <f t="shared" ca="1" si="33"/>
        <v>0</v>
      </c>
    </row>
    <row r="558" spans="1:21" x14ac:dyDescent="0.15">
      <c r="A558" t="str">
        <f>公司整体!A558</f>
        <v>四川</v>
      </c>
      <c r="B558" t="str">
        <f>公司整体!B558</f>
        <v>2015-09</v>
      </c>
      <c r="C558">
        <f ca="1">INDIRECT(ADDRESS(ROW(C558),MATCH(公司各渠道指标可视化!$C$4,公司整体!$1:$1,0),3,1,"公司整体"),TRUE)</f>
        <v>0</v>
      </c>
      <c r="T558" t="str">
        <f t="shared" si="32"/>
        <v>四川2015-09</v>
      </c>
      <c r="U558">
        <f t="shared" ca="1" si="33"/>
        <v>0</v>
      </c>
    </row>
    <row r="559" spans="1:21" x14ac:dyDescent="0.15">
      <c r="A559" t="str">
        <f>公司整体!A559</f>
        <v>苏州</v>
      </c>
      <c r="B559" t="str">
        <f>公司整体!B559</f>
        <v>2015-09</v>
      </c>
      <c r="C559">
        <f ca="1">INDIRECT(ADDRESS(ROW(C559),MATCH(公司各渠道指标可视化!$C$4,公司整体!$1:$1,0),3,1,"公司整体"),TRUE)</f>
        <v>0</v>
      </c>
      <c r="T559" t="str">
        <f t="shared" si="32"/>
        <v>苏州2015-09</v>
      </c>
      <c r="U559">
        <f t="shared" ca="1" si="33"/>
        <v>0</v>
      </c>
    </row>
    <row r="560" spans="1:21" x14ac:dyDescent="0.15">
      <c r="A560" t="str">
        <f>公司整体!A560</f>
        <v>中山</v>
      </c>
      <c r="B560" t="str">
        <f>公司整体!B560</f>
        <v>2015-09</v>
      </c>
      <c r="C560">
        <f ca="1">INDIRECT(ADDRESS(ROW(C560),MATCH(公司各渠道指标可视化!$C$4,公司整体!$1:$1,0),3,1,"公司整体"),TRUE)</f>
        <v>0</v>
      </c>
      <c r="T560" t="str">
        <f t="shared" si="32"/>
        <v>中山2015-09</v>
      </c>
      <c r="U560">
        <f t="shared" ca="1" si="33"/>
        <v>0</v>
      </c>
    </row>
    <row r="561" spans="1:21" x14ac:dyDescent="0.15">
      <c r="A561" t="str">
        <f>公司整体!A561</f>
        <v>珠海</v>
      </c>
      <c r="B561" t="str">
        <f>公司整体!B561</f>
        <v>2015-09</v>
      </c>
      <c r="C561">
        <f ca="1">INDIRECT(ADDRESS(ROW(C561),MATCH(公司各渠道指标可视化!$C$4,公司整体!$1:$1,0),3,1,"公司整体"),TRUE)</f>
        <v>0</v>
      </c>
      <c r="T561" t="str">
        <f t="shared" si="32"/>
        <v>珠海2015-09</v>
      </c>
      <c r="U561">
        <f t="shared" ca="1" si="33"/>
        <v>0</v>
      </c>
    </row>
    <row r="562" spans="1:21" x14ac:dyDescent="0.15">
      <c r="A562" t="str">
        <f>公司整体!A562</f>
        <v>东莞</v>
      </c>
      <c r="B562" t="str">
        <f>公司整体!B562</f>
        <v>2015-10</v>
      </c>
      <c r="C562">
        <f ca="1">INDIRECT(ADDRESS(ROW(C562),MATCH(公司各渠道指标可视化!$C$4,公司整体!$1:$1,0),3,1,"公司整体"),TRUE)</f>
        <v>0</v>
      </c>
      <c r="T562" t="str">
        <f t="shared" si="32"/>
        <v>东莞2015-10</v>
      </c>
      <c r="U562">
        <f t="shared" ca="1" si="33"/>
        <v>0</v>
      </c>
    </row>
    <row r="563" spans="1:21" x14ac:dyDescent="0.15">
      <c r="A563" t="str">
        <f>公司整体!A563</f>
        <v>佛山</v>
      </c>
      <c r="B563" t="str">
        <f>公司整体!B563</f>
        <v>2015-10</v>
      </c>
      <c r="C563">
        <f ca="1">INDIRECT(ADDRESS(ROW(C563),MATCH(公司各渠道指标可视化!$C$4,公司整体!$1:$1,0),3,1,"公司整体"),TRUE)</f>
        <v>0</v>
      </c>
      <c r="T563" t="str">
        <f t="shared" si="32"/>
        <v>佛山2015-10</v>
      </c>
      <c r="U563">
        <f t="shared" ca="1" si="33"/>
        <v>0</v>
      </c>
    </row>
    <row r="564" spans="1:21" x14ac:dyDescent="0.15">
      <c r="A564" t="str">
        <f>公司整体!A564</f>
        <v>广东</v>
      </c>
      <c r="B564" t="str">
        <f>公司整体!B564</f>
        <v>2015-10</v>
      </c>
      <c r="C564">
        <f ca="1">INDIRECT(ADDRESS(ROW(C564),MATCH(公司各渠道指标可视化!$C$4,公司整体!$1:$1,0),3,1,"公司整体"),TRUE)</f>
        <v>0</v>
      </c>
      <c r="T564" t="str">
        <f t="shared" si="32"/>
        <v>广东2015-10</v>
      </c>
      <c r="U564">
        <f t="shared" ca="1" si="33"/>
        <v>0</v>
      </c>
    </row>
    <row r="565" spans="1:21" x14ac:dyDescent="0.15">
      <c r="A565" t="str">
        <f>公司整体!A565</f>
        <v>广州</v>
      </c>
      <c r="B565" t="str">
        <f>公司整体!B565</f>
        <v>2015-10</v>
      </c>
      <c r="C565">
        <f ca="1">INDIRECT(ADDRESS(ROW(C565),MATCH(公司各渠道指标可视化!$C$4,公司整体!$1:$1,0),3,1,"公司整体"),TRUE)</f>
        <v>0</v>
      </c>
      <c r="T565" t="str">
        <f t="shared" si="32"/>
        <v>广州2015-10</v>
      </c>
      <c r="U565">
        <f t="shared" ca="1" si="33"/>
        <v>0</v>
      </c>
    </row>
    <row r="566" spans="1:21" x14ac:dyDescent="0.15">
      <c r="A566" t="str">
        <f>公司整体!A566</f>
        <v>湖北</v>
      </c>
      <c r="B566" t="str">
        <f>公司整体!B566</f>
        <v>2015-10</v>
      </c>
      <c r="C566">
        <f ca="1">INDIRECT(ADDRESS(ROW(C566),MATCH(公司各渠道指标可视化!$C$4,公司整体!$1:$1,0),3,1,"公司整体"),TRUE)</f>
        <v>0</v>
      </c>
      <c r="T566" t="str">
        <f t="shared" si="32"/>
        <v>湖北2015-10</v>
      </c>
      <c r="U566">
        <f t="shared" ca="1" si="33"/>
        <v>0</v>
      </c>
    </row>
    <row r="567" spans="1:21" x14ac:dyDescent="0.15">
      <c r="A567" t="str">
        <f>公司整体!A567</f>
        <v>机构</v>
      </c>
      <c r="B567" t="str">
        <f>公司整体!B567</f>
        <v>2015-10</v>
      </c>
      <c r="C567">
        <f ca="1">INDIRECT(ADDRESS(ROW(C567),MATCH(公司各渠道指标可视化!$C$4,公司整体!$1:$1,0),3,1,"公司整体"),TRUE)</f>
        <v>0</v>
      </c>
      <c r="T567" t="str">
        <f t="shared" si="32"/>
        <v>机构2015-10</v>
      </c>
      <c r="U567">
        <f t="shared" ca="1" si="33"/>
        <v>0</v>
      </c>
    </row>
    <row r="568" spans="1:21" x14ac:dyDescent="0.15">
      <c r="A568" t="str">
        <f>公司整体!A568</f>
        <v>江苏</v>
      </c>
      <c r="B568" t="str">
        <f>公司整体!B568</f>
        <v>2015-10</v>
      </c>
      <c r="C568">
        <f ca="1">INDIRECT(ADDRESS(ROW(C568),MATCH(公司各渠道指标可视化!$C$4,公司整体!$1:$1,0),3,1,"公司整体"),TRUE)</f>
        <v>0</v>
      </c>
      <c r="T568" t="str">
        <f t="shared" si="32"/>
        <v>江苏2015-10</v>
      </c>
      <c r="U568">
        <f t="shared" ca="1" si="33"/>
        <v>0</v>
      </c>
    </row>
    <row r="569" spans="1:21" x14ac:dyDescent="0.15">
      <c r="A569" t="str">
        <f>公司整体!A569</f>
        <v>山东</v>
      </c>
      <c r="B569" t="str">
        <f>公司整体!B569</f>
        <v>2015-10</v>
      </c>
      <c r="C569">
        <f ca="1">INDIRECT(ADDRESS(ROW(C569),MATCH(公司各渠道指标可视化!$C$4,公司整体!$1:$1,0),3,1,"公司整体"),TRUE)</f>
        <v>0</v>
      </c>
      <c r="T569" t="str">
        <f t="shared" si="32"/>
        <v>山东2015-10</v>
      </c>
      <c r="U569">
        <f t="shared" ca="1" si="33"/>
        <v>0</v>
      </c>
    </row>
    <row r="570" spans="1:21" x14ac:dyDescent="0.15">
      <c r="A570" t="str">
        <f>公司整体!A570</f>
        <v>上海</v>
      </c>
      <c r="B570" t="str">
        <f>公司整体!B570</f>
        <v>2015-10</v>
      </c>
      <c r="C570">
        <f ca="1">INDIRECT(ADDRESS(ROW(C570),MATCH(公司各渠道指标可视化!$C$4,公司整体!$1:$1,0),3,1,"公司整体"),TRUE)</f>
        <v>0</v>
      </c>
      <c r="T570" t="str">
        <f t="shared" si="32"/>
        <v>上海2015-10</v>
      </c>
      <c r="U570">
        <f t="shared" ca="1" si="33"/>
        <v>0</v>
      </c>
    </row>
    <row r="571" spans="1:21" x14ac:dyDescent="0.15">
      <c r="A571" t="str">
        <f>公司整体!A571</f>
        <v>深圳</v>
      </c>
      <c r="B571" t="str">
        <f>公司整体!B571</f>
        <v>2015-10</v>
      </c>
      <c r="C571">
        <f ca="1">INDIRECT(ADDRESS(ROW(C571),MATCH(公司各渠道指标可视化!$C$4,公司整体!$1:$1,0),3,1,"公司整体"),TRUE)</f>
        <v>0</v>
      </c>
      <c r="T571" t="str">
        <f t="shared" si="32"/>
        <v>深圳2015-10</v>
      </c>
      <c r="U571">
        <f t="shared" ca="1" si="33"/>
        <v>0</v>
      </c>
    </row>
    <row r="572" spans="1:21" x14ac:dyDescent="0.15">
      <c r="A572" t="str">
        <f>公司整体!A572</f>
        <v>四川</v>
      </c>
      <c r="B572" t="str">
        <f>公司整体!B572</f>
        <v>2015-10</v>
      </c>
      <c r="C572">
        <f ca="1">INDIRECT(ADDRESS(ROW(C572),MATCH(公司各渠道指标可视化!$C$4,公司整体!$1:$1,0),3,1,"公司整体"),TRUE)</f>
        <v>0</v>
      </c>
      <c r="T572" t="str">
        <f t="shared" si="32"/>
        <v>四川2015-10</v>
      </c>
      <c r="U572">
        <f t="shared" ca="1" si="33"/>
        <v>0</v>
      </c>
    </row>
    <row r="573" spans="1:21" x14ac:dyDescent="0.15">
      <c r="A573" t="str">
        <f>公司整体!A573</f>
        <v>苏州</v>
      </c>
      <c r="B573" t="str">
        <f>公司整体!B573</f>
        <v>2015-10</v>
      </c>
      <c r="C573">
        <f ca="1">INDIRECT(ADDRESS(ROW(C573),MATCH(公司各渠道指标可视化!$C$4,公司整体!$1:$1,0),3,1,"公司整体"),TRUE)</f>
        <v>0</v>
      </c>
      <c r="T573" t="str">
        <f t="shared" si="32"/>
        <v>苏州2015-10</v>
      </c>
      <c r="U573">
        <f t="shared" ca="1" si="33"/>
        <v>0</v>
      </c>
    </row>
    <row r="574" spans="1:21" x14ac:dyDescent="0.15">
      <c r="A574" t="str">
        <f>公司整体!A574</f>
        <v>中山</v>
      </c>
      <c r="B574" t="str">
        <f>公司整体!B574</f>
        <v>2015-10</v>
      </c>
      <c r="C574">
        <f ca="1">INDIRECT(ADDRESS(ROW(C574),MATCH(公司各渠道指标可视化!$C$4,公司整体!$1:$1,0),3,1,"公司整体"),TRUE)</f>
        <v>0</v>
      </c>
      <c r="T574" t="str">
        <f t="shared" si="32"/>
        <v>中山2015-10</v>
      </c>
      <c r="U574">
        <f t="shared" ca="1" si="33"/>
        <v>0</v>
      </c>
    </row>
    <row r="575" spans="1:21" x14ac:dyDescent="0.15">
      <c r="A575" t="str">
        <f>公司整体!A575</f>
        <v>珠海</v>
      </c>
      <c r="B575" t="str">
        <f>公司整体!B575</f>
        <v>2015-10</v>
      </c>
      <c r="C575">
        <f ca="1">INDIRECT(ADDRESS(ROW(C575),MATCH(公司各渠道指标可视化!$C$4,公司整体!$1:$1,0),3,1,"公司整体"),TRUE)</f>
        <v>0</v>
      </c>
      <c r="T575" t="str">
        <f t="shared" si="32"/>
        <v>珠海2015-10</v>
      </c>
      <c r="U575">
        <f t="shared" ca="1" si="33"/>
        <v>0</v>
      </c>
    </row>
    <row r="576" spans="1:21" x14ac:dyDescent="0.15">
      <c r="A576" t="str">
        <f>公司整体!A576</f>
        <v>东莞</v>
      </c>
      <c r="B576" t="str">
        <f>公司整体!B576</f>
        <v>2015-11</v>
      </c>
      <c r="C576">
        <f ca="1">INDIRECT(ADDRESS(ROW(C576),MATCH(公司各渠道指标可视化!$C$4,公司整体!$1:$1,0),3,1,"公司整体"),TRUE)</f>
        <v>0</v>
      </c>
      <c r="T576" t="str">
        <f t="shared" si="32"/>
        <v>东莞2015-11</v>
      </c>
      <c r="U576">
        <f t="shared" ca="1" si="33"/>
        <v>0</v>
      </c>
    </row>
    <row r="577" spans="1:21" x14ac:dyDescent="0.15">
      <c r="A577" t="str">
        <f>公司整体!A577</f>
        <v>佛山</v>
      </c>
      <c r="B577" t="str">
        <f>公司整体!B577</f>
        <v>2015-11</v>
      </c>
      <c r="C577">
        <f ca="1">INDIRECT(ADDRESS(ROW(C577),MATCH(公司各渠道指标可视化!$C$4,公司整体!$1:$1,0),3,1,"公司整体"),TRUE)</f>
        <v>0</v>
      </c>
      <c r="T577" t="str">
        <f t="shared" si="32"/>
        <v>佛山2015-11</v>
      </c>
      <c r="U577">
        <f t="shared" ca="1" si="33"/>
        <v>0</v>
      </c>
    </row>
    <row r="578" spans="1:21" x14ac:dyDescent="0.15">
      <c r="A578" t="str">
        <f>公司整体!A578</f>
        <v>广东</v>
      </c>
      <c r="B578" t="str">
        <f>公司整体!B578</f>
        <v>2015-11</v>
      </c>
      <c r="C578">
        <f ca="1">INDIRECT(ADDRESS(ROW(C578),MATCH(公司各渠道指标可视化!$C$4,公司整体!$1:$1,0),3,1,"公司整体"),TRUE)</f>
        <v>0</v>
      </c>
      <c r="T578" t="str">
        <f t="shared" si="32"/>
        <v>广东2015-11</v>
      </c>
      <c r="U578">
        <f t="shared" ca="1" si="33"/>
        <v>0</v>
      </c>
    </row>
    <row r="579" spans="1:21" x14ac:dyDescent="0.15">
      <c r="A579" t="str">
        <f>公司整体!A579</f>
        <v>广州</v>
      </c>
      <c r="B579" t="str">
        <f>公司整体!B579</f>
        <v>2015-11</v>
      </c>
      <c r="C579">
        <f ca="1">INDIRECT(ADDRESS(ROW(C579),MATCH(公司各渠道指标可视化!$C$4,公司整体!$1:$1,0),3,1,"公司整体"),TRUE)</f>
        <v>0</v>
      </c>
      <c r="T579" t="str">
        <f t="shared" si="32"/>
        <v>广州2015-11</v>
      </c>
      <c r="U579">
        <f t="shared" ca="1" si="33"/>
        <v>0</v>
      </c>
    </row>
    <row r="580" spans="1:21" x14ac:dyDescent="0.15">
      <c r="A580" t="str">
        <f>公司整体!A580</f>
        <v>湖北</v>
      </c>
      <c r="B580" t="str">
        <f>公司整体!B580</f>
        <v>2015-11</v>
      </c>
      <c r="C580">
        <f ca="1">INDIRECT(ADDRESS(ROW(C580),MATCH(公司各渠道指标可视化!$C$4,公司整体!$1:$1,0),3,1,"公司整体"),TRUE)</f>
        <v>0</v>
      </c>
      <c r="T580" t="str">
        <f t="shared" si="32"/>
        <v>湖北2015-11</v>
      </c>
      <c r="U580">
        <f t="shared" ca="1" si="33"/>
        <v>0</v>
      </c>
    </row>
    <row r="581" spans="1:21" x14ac:dyDescent="0.15">
      <c r="A581" t="str">
        <f>公司整体!A581</f>
        <v>机构</v>
      </c>
      <c r="B581" t="str">
        <f>公司整体!B581</f>
        <v>2015-11</v>
      </c>
      <c r="C581">
        <f ca="1">INDIRECT(ADDRESS(ROW(C581),MATCH(公司各渠道指标可视化!$C$4,公司整体!$1:$1,0),3,1,"公司整体"),TRUE)</f>
        <v>0</v>
      </c>
      <c r="T581" t="str">
        <f t="shared" si="32"/>
        <v>机构2015-11</v>
      </c>
      <c r="U581">
        <f t="shared" ca="1" si="33"/>
        <v>0</v>
      </c>
    </row>
    <row r="582" spans="1:21" x14ac:dyDescent="0.15">
      <c r="A582" t="str">
        <f>公司整体!A582</f>
        <v>江苏</v>
      </c>
      <c r="B582" t="str">
        <f>公司整体!B582</f>
        <v>2015-11</v>
      </c>
      <c r="C582">
        <f ca="1">INDIRECT(ADDRESS(ROW(C582),MATCH(公司各渠道指标可视化!$C$4,公司整体!$1:$1,0),3,1,"公司整体"),TRUE)</f>
        <v>0</v>
      </c>
      <c r="T582" t="str">
        <f t="shared" si="32"/>
        <v>江苏2015-11</v>
      </c>
      <c r="U582">
        <f t="shared" ca="1" si="33"/>
        <v>0</v>
      </c>
    </row>
    <row r="583" spans="1:21" x14ac:dyDescent="0.15">
      <c r="A583" t="str">
        <f>公司整体!A583</f>
        <v>山东</v>
      </c>
      <c r="B583" t="str">
        <f>公司整体!B583</f>
        <v>2015-11</v>
      </c>
      <c r="C583">
        <f ca="1">INDIRECT(ADDRESS(ROW(C583),MATCH(公司各渠道指标可视化!$C$4,公司整体!$1:$1,0),3,1,"公司整体"),TRUE)</f>
        <v>0</v>
      </c>
      <c r="T583" t="str">
        <f t="shared" si="32"/>
        <v>山东2015-11</v>
      </c>
      <c r="U583">
        <f t="shared" ca="1" si="33"/>
        <v>0</v>
      </c>
    </row>
    <row r="584" spans="1:21" x14ac:dyDescent="0.15">
      <c r="A584" t="str">
        <f>公司整体!A584</f>
        <v>上海</v>
      </c>
      <c r="B584" t="str">
        <f>公司整体!B584</f>
        <v>2015-11</v>
      </c>
      <c r="C584">
        <f ca="1">INDIRECT(ADDRESS(ROW(C584),MATCH(公司各渠道指标可视化!$C$4,公司整体!$1:$1,0),3,1,"公司整体"),TRUE)</f>
        <v>0</v>
      </c>
      <c r="T584" t="str">
        <f t="shared" si="32"/>
        <v>上海2015-11</v>
      </c>
      <c r="U584">
        <f t="shared" ca="1" si="33"/>
        <v>0</v>
      </c>
    </row>
    <row r="585" spans="1:21" x14ac:dyDescent="0.15">
      <c r="A585" t="str">
        <f>公司整体!A585</f>
        <v>深圳</v>
      </c>
      <c r="B585" t="str">
        <f>公司整体!B585</f>
        <v>2015-11</v>
      </c>
      <c r="C585">
        <f ca="1">INDIRECT(ADDRESS(ROW(C585),MATCH(公司各渠道指标可视化!$C$4,公司整体!$1:$1,0),3,1,"公司整体"),TRUE)</f>
        <v>0</v>
      </c>
      <c r="T585" t="str">
        <f t="shared" si="32"/>
        <v>深圳2015-11</v>
      </c>
      <c r="U585">
        <f t="shared" ca="1" si="33"/>
        <v>0</v>
      </c>
    </row>
    <row r="586" spans="1:21" x14ac:dyDescent="0.15">
      <c r="A586" t="str">
        <f>公司整体!A586</f>
        <v>四川</v>
      </c>
      <c r="B586" t="str">
        <f>公司整体!B586</f>
        <v>2015-11</v>
      </c>
      <c r="C586">
        <f ca="1">INDIRECT(ADDRESS(ROW(C586),MATCH(公司各渠道指标可视化!$C$4,公司整体!$1:$1,0),3,1,"公司整体"),TRUE)</f>
        <v>0</v>
      </c>
      <c r="T586" t="str">
        <f t="shared" si="32"/>
        <v>四川2015-11</v>
      </c>
      <c r="U586">
        <f t="shared" ca="1" si="33"/>
        <v>0</v>
      </c>
    </row>
    <row r="587" spans="1:21" x14ac:dyDescent="0.15">
      <c r="A587" t="str">
        <f>公司整体!A587</f>
        <v>苏州</v>
      </c>
      <c r="B587" t="str">
        <f>公司整体!B587</f>
        <v>2015-11</v>
      </c>
      <c r="C587">
        <f ca="1">INDIRECT(ADDRESS(ROW(C587),MATCH(公司各渠道指标可视化!$C$4,公司整体!$1:$1,0),3,1,"公司整体"),TRUE)</f>
        <v>0</v>
      </c>
      <c r="T587" t="str">
        <f t="shared" si="32"/>
        <v>苏州2015-11</v>
      </c>
      <c r="U587">
        <f t="shared" ca="1" si="33"/>
        <v>0</v>
      </c>
    </row>
    <row r="588" spans="1:21" x14ac:dyDescent="0.15">
      <c r="A588" t="str">
        <f>公司整体!A588</f>
        <v>中山</v>
      </c>
      <c r="B588" t="str">
        <f>公司整体!B588</f>
        <v>2015-11</v>
      </c>
      <c r="C588">
        <f ca="1">INDIRECT(ADDRESS(ROW(C588),MATCH(公司各渠道指标可视化!$C$4,公司整体!$1:$1,0),3,1,"公司整体"),TRUE)</f>
        <v>0</v>
      </c>
      <c r="T588" t="str">
        <f t="shared" si="32"/>
        <v>中山2015-11</v>
      </c>
      <c r="U588">
        <f t="shared" ca="1" si="33"/>
        <v>0</v>
      </c>
    </row>
    <row r="589" spans="1:21" x14ac:dyDescent="0.15">
      <c r="A589" t="str">
        <f>公司整体!A589</f>
        <v>珠海</v>
      </c>
      <c r="B589" t="str">
        <f>公司整体!B589</f>
        <v>2015-11</v>
      </c>
      <c r="C589">
        <f ca="1">INDIRECT(ADDRESS(ROW(C589),MATCH(公司各渠道指标可视化!$C$4,公司整体!$1:$1,0),3,1,"公司整体"),TRUE)</f>
        <v>0</v>
      </c>
      <c r="T589" t="str">
        <f t="shared" si="32"/>
        <v>珠海2015-11</v>
      </c>
      <c r="U589">
        <f t="shared" ca="1" si="33"/>
        <v>0</v>
      </c>
    </row>
    <row r="590" spans="1:21" x14ac:dyDescent="0.15">
      <c r="A590" t="str">
        <f>公司整体!A590</f>
        <v>东莞</v>
      </c>
      <c r="B590" t="str">
        <f>公司整体!B590</f>
        <v>2015-12</v>
      </c>
      <c r="C590">
        <f ca="1">INDIRECT(ADDRESS(ROW(C590),MATCH(公司各渠道指标可视化!$C$4,公司整体!$1:$1,0),3,1,"公司整体"),TRUE)</f>
        <v>0</v>
      </c>
      <c r="T590" t="str">
        <f t="shared" si="32"/>
        <v>东莞2015-12</v>
      </c>
      <c r="U590">
        <f t="shared" ca="1" si="33"/>
        <v>0</v>
      </c>
    </row>
    <row r="591" spans="1:21" x14ac:dyDescent="0.15">
      <c r="A591" t="str">
        <f>公司整体!A591</f>
        <v>佛山</v>
      </c>
      <c r="B591" t="str">
        <f>公司整体!B591</f>
        <v>2015-12</v>
      </c>
      <c r="C591">
        <f ca="1">INDIRECT(ADDRESS(ROW(C591),MATCH(公司各渠道指标可视化!$C$4,公司整体!$1:$1,0),3,1,"公司整体"),TRUE)</f>
        <v>0</v>
      </c>
      <c r="T591" t="str">
        <f t="shared" si="32"/>
        <v>佛山2015-12</v>
      </c>
      <c r="U591">
        <f t="shared" ca="1" si="33"/>
        <v>0</v>
      </c>
    </row>
    <row r="592" spans="1:21" x14ac:dyDescent="0.15">
      <c r="A592" t="str">
        <f>公司整体!A592</f>
        <v>广东</v>
      </c>
      <c r="B592" t="str">
        <f>公司整体!B592</f>
        <v>2015-12</v>
      </c>
      <c r="C592">
        <f ca="1">INDIRECT(ADDRESS(ROW(C592),MATCH(公司各渠道指标可视化!$C$4,公司整体!$1:$1,0),3,1,"公司整体"),TRUE)</f>
        <v>0</v>
      </c>
      <c r="T592" t="str">
        <f t="shared" si="32"/>
        <v>广东2015-12</v>
      </c>
      <c r="U592">
        <f t="shared" ca="1" si="33"/>
        <v>0</v>
      </c>
    </row>
    <row r="593" spans="1:21" x14ac:dyDescent="0.15">
      <c r="A593" t="str">
        <f>公司整体!A593</f>
        <v>广州</v>
      </c>
      <c r="B593" t="str">
        <f>公司整体!B593</f>
        <v>2015-12</v>
      </c>
      <c r="C593">
        <f ca="1">INDIRECT(ADDRESS(ROW(C593),MATCH(公司各渠道指标可视化!$C$4,公司整体!$1:$1,0),3,1,"公司整体"),TRUE)</f>
        <v>0</v>
      </c>
      <c r="T593" t="str">
        <f t="shared" si="32"/>
        <v>广州2015-12</v>
      </c>
      <c r="U593">
        <f t="shared" ca="1" si="33"/>
        <v>0</v>
      </c>
    </row>
    <row r="594" spans="1:21" x14ac:dyDescent="0.15">
      <c r="A594" t="str">
        <f>公司整体!A594</f>
        <v>湖北</v>
      </c>
      <c r="B594" t="str">
        <f>公司整体!B594</f>
        <v>2015-12</v>
      </c>
      <c r="C594">
        <f ca="1">INDIRECT(ADDRESS(ROW(C594),MATCH(公司各渠道指标可视化!$C$4,公司整体!$1:$1,0),3,1,"公司整体"),TRUE)</f>
        <v>0</v>
      </c>
      <c r="T594" t="str">
        <f t="shared" si="32"/>
        <v>湖北2015-12</v>
      </c>
      <c r="U594">
        <f t="shared" ca="1" si="33"/>
        <v>0</v>
      </c>
    </row>
    <row r="595" spans="1:21" x14ac:dyDescent="0.15">
      <c r="A595" t="str">
        <f>公司整体!A595</f>
        <v>机构</v>
      </c>
      <c r="B595" t="str">
        <f>公司整体!B595</f>
        <v>2015-12</v>
      </c>
      <c r="C595">
        <f ca="1">INDIRECT(ADDRESS(ROW(C595),MATCH(公司各渠道指标可视化!$C$4,公司整体!$1:$1,0),3,1,"公司整体"),TRUE)</f>
        <v>0</v>
      </c>
      <c r="T595" t="str">
        <f t="shared" si="32"/>
        <v>机构2015-12</v>
      </c>
      <c r="U595">
        <f t="shared" ca="1" si="33"/>
        <v>0</v>
      </c>
    </row>
    <row r="596" spans="1:21" x14ac:dyDescent="0.15">
      <c r="A596" t="str">
        <f>公司整体!A596</f>
        <v>江苏</v>
      </c>
      <c r="B596" t="str">
        <f>公司整体!B596</f>
        <v>2015-12</v>
      </c>
      <c r="C596">
        <f ca="1">INDIRECT(ADDRESS(ROW(C596),MATCH(公司各渠道指标可视化!$C$4,公司整体!$1:$1,0),3,1,"公司整体"),TRUE)</f>
        <v>0</v>
      </c>
      <c r="T596" t="str">
        <f t="shared" si="32"/>
        <v>江苏2015-12</v>
      </c>
      <c r="U596">
        <f t="shared" ca="1" si="33"/>
        <v>0</v>
      </c>
    </row>
    <row r="597" spans="1:21" x14ac:dyDescent="0.15">
      <c r="A597" t="str">
        <f>公司整体!A597</f>
        <v>山东</v>
      </c>
      <c r="B597" t="str">
        <f>公司整体!B597</f>
        <v>2015-12</v>
      </c>
      <c r="C597">
        <f ca="1">INDIRECT(ADDRESS(ROW(C597),MATCH(公司各渠道指标可视化!$C$4,公司整体!$1:$1,0),3,1,"公司整体"),TRUE)</f>
        <v>0</v>
      </c>
      <c r="T597" t="str">
        <f t="shared" si="32"/>
        <v>山东2015-12</v>
      </c>
      <c r="U597">
        <f t="shared" ca="1" si="33"/>
        <v>0</v>
      </c>
    </row>
    <row r="598" spans="1:21" x14ac:dyDescent="0.15">
      <c r="A598" t="str">
        <f>公司整体!A598</f>
        <v>上海</v>
      </c>
      <c r="B598" t="str">
        <f>公司整体!B598</f>
        <v>2015-12</v>
      </c>
      <c r="C598">
        <f ca="1">INDIRECT(ADDRESS(ROW(C598),MATCH(公司各渠道指标可视化!$C$4,公司整体!$1:$1,0),3,1,"公司整体"),TRUE)</f>
        <v>0</v>
      </c>
      <c r="T598" t="str">
        <f t="shared" si="32"/>
        <v>上海2015-12</v>
      </c>
      <c r="U598">
        <f t="shared" ca="1" si="33"/>
        <v>0</v>
      </c>
    </row>
    <row r="599" spans="1:21" x14ac:dyDescent="0.15">
      <c r="A599" t="str">
        <f>公司整体!A599</f>
        <v>深圳</v>
      </c>
      <c r="B599" t="str">
        <f>公司整体!B599</f>
        <v>2015-12</v>
      </c>
      <c r="C599">
        <f ca="1">INDIRECT(ADDRESS(ROW(C599),MATCH(公司各渠道指标可视化!$C$4,公司整体!$1:$1,0),3,1,"公司整体"),TRUE)</f>
        <v>0</v>
      </c>
      <c r="T599" t="str">
        <f t="shared" ref="T599:T662" si="34">A599&amp;B599</f>
        <v>深圳2015-12</v>
      </c>
      <c r="U599">
        <f t="shared" ref="U599:U662" ca="1" si="35">C599</f>
        <v>0</v>
      </c>
    </row>
    <row r="600" spans="1:21" x14ac:dyDescent="0.15">
      <c r="A600" t="str">
        <f>公司整体!A600</f>
        <v>四川</v>
      </c>
      <c r="B600" t="str">
        <f>公司整体!B600</f>
        <v>2015-12</v>
      </c>
      <c r="C600">
        <f ca="1">INDIRECT(ADDRESS(ROW(C600),MATCH(公司各渠道指标可视化!$C$4,公司整体!$1:$1,0),3,1,"公司整体"),TRUE)</f>
        <v>0</v>
      </c>
      <c r="T600" t="str">
        <f t="shared" si="34"/>
        <v>四川2015-12</v>
      </c>
      <c r="U600">
        <f t="shared" ca="1" si="35"/>
        <v>0</v>
      </c>
    </row>
    <row r="601" spans="1:21" x14ac:dyDescent="0.15">
      <c r="A601" t="str">
        <f>公司整体!A601</f>
        <v>苏州</v>
      </c>
      <c r="B601" t="str">
        <f>公司整体!B601</f>
        <v>2015-12</v>
      </c>
      <c r="C601">
        <f ca="1">INDIRECT(ADDRESS(ROW(C601),MATCH(公司各渠道指标可视化!$C$4,公司整体!$1:$1,0),3,1,"公司整体"),TRUE)</f>
        <v>0</v>
      </c>
      <c r="T601" t="str">
        <f t="shared" si="34"/>
        <v>苏州2015-12</v>
      </c>
      <c r="U601">
        <f t="shared" ca="1" si="35"/>
        <v>0</v>
      </c>
    </row>
    <row r="602" spans="1:21" x14ac:dyDescent="0.15">
      <c r="A602" t="str">
        <f>公司整体!A602</f>
        <v>中山</v>
      </c>
      <c r="B602" t="str">
        <f>公司整体!B602</f>
        <v>2015-12</v>
      </c>
      <c r="C602">
        <f ca="1">INDIRECT(ADDRESS(ROW(C602),MATCH(公司各渠道指标可视化!$C$4,公司整体!$1:$1,0),3,1,"公司整体"),TRUE)</f>
        <v>0</v>
      </c>
      <c r="T602" t="str">
        <f t="shared" si="34"/>
        <v>中山2015-12</v>
      </c>
      <c r="U602">
        <f t="shared" ca="1" si="35"/>
        <v>0</v>
      </c>
    </row>
    <row r="603" spans="1:21" x14ac:dyDescent="0.15">
      <c r="A603" t="str">
        <f>公司整体!A603</f>
        <v>珠海</v>
      </c>
      <c r="B603" t="str">
        <f>公司整体!B603</f>
        <v>2015-12</v>
      </c>
      <c r="C603">
        <f ca="1">INDIRECT(ADDRESS(ROW(C603),MATCH(公司各渠道指标可视化!$C$4,公司整体!$1:$1,0),3,1,"公司整体"),TRUE)</f>
        <v>0</v>
      </c>
      <c r="T603" t="str">
        <f t="shared" si="34"/>
        <v>珠海2015-12</v>
      </c>
      <c r="U603">
        <f t="shared" ca="1" si="35"/>
        <v>0</v>
      </c>
    </row>
    <row r="604" spans="1:21" x14ac:dyDescent="0.15">
      <c r="A604" t="str">
        <f>公司整体!A604</f>
        <v>东莞</v>
      </c>
      <c r="B604" t="str">
        <f>公司整体!B604</f>
        <v>2016-01</v>
      </c>
      <c r="C604">
        <f ca="1">INDIRECT(ADDRESS(ROW(C604),MATCH(公司各渠道指标可视化!$C$4,公司整体!$1:$1,0),3,1,"公司整体"),TRUE)</f>
        <v>0</v>
      </c>
      <c r="T604" t="str">
        <f t="shared" si="34"/>
        <v>东莞2016-01</v>
      </c>
      <c r="U604">
        <f t="shared" ca="1" si="35"/>
        <v>0</v>
      </c>
    </row>
    <row r="605" spans="1:21" x14ac:dyDescent="0.15">
      <c r="A605" t="str">
        <f>公司整体!A605</f>
        <v>佛山</v>
      </c>
      <c r="B605" t="str">
        <f>公司整体!B605</f>
        <v>2016-01</v>
      </c>
      <c r="C605">
        <f ca="1">INDIRECT(ADDRESS(ROW(C605),MATCH(公司各渠道指标可视化!$C$4,公司整体!$1:$1,0),3,1,"公司整体"),TRUE)</f>
        <v>0</v>
      </c>
      <c r="T605" t="str">
        <f t="shared" si="34"/>
        <v>佛山2016-01</v>
      </c>
      <c r="U605">
        <f t="shared" ca="1" si="35"/>
        <v>0</v>
      </c>
    </row>
    <row r="606" spans="1:21" x14ac:dyDescent="0.15">
      <c r="A606" t="str">
        <f>公司整体!A606</f>
        <v>广东</v>
      </c>
      <c r="B606" t="str">
        <f>公司整体!B606</f>
        <v>2016-01</v>
      </c>
      <c r="C606">
        <f ca="1">INDIRECT(ADDRESS(ROW(C606),MATCH(公司各渠道指标可视化!$C$4,公司整体!$1:$1,0),3,1,"公司整体"),TRUE)</f>
        <v>0</v>
      </c>
      <c r="T606" t="str">
        <f t="shared" si="34"/>
        <v>广东2016-01</v>
      </c>
      <c r="U606">
        <f t="shared" ca="1" si="35"/>
        <v>0</v>
      </c>
    </row>
    <row r="607" spans="1:21" x14ac:dyDescent="0.15">
      <c r="A607" t="str">
        <f>公司整体!A607</f>
        <v>广州</v>
      </c>
      <c r="B607" t="str">
        <f>公司整体!B607</f>
        <v>2016-01</v>
      </c>
      <c r="C607">
        <f ca="1">INDIRECT(ADDRESS(ROW(C607),MATCH(公司各渠道指标可视化!$C$4,公司整体!$1:$1,0),3,1,"公司整体"),TRUE)</f>
        <v>0</v>
      </c>
      <c r="T607" t="str">
        <f t="shared" si="34"/>
        <v>广州2016-01</v>
      </c>
      <c r="U607">
        <f t="shared" ca="1" si="35"/>
        <v>0</v>
      </c>
    </row>
    <row r="608" spans="1:21" x14ac:dyDescent="0.15">
      <c r="A608" t="str">
        <f>公司整体!A608</f>
        <v>湖北</v>
      </c>
      <c r="B608" t="str">
        <f>公司整体!B608</f>
        <v>2016-01</v>
      </c>
      <c r="C608">
        <f ca="1">INDIRECT(ADDRESS(ROW(C608),MATCH(公司各渠道指标可视化!$C$4,公司整体!$1:$1,0),3,1,"公司整体"),TRUE)</f>
        <v>0</v>
      </c>
      <c r="T608" t="str">
        <f t="shared" si="34"/>
        <v>湖北2016-01</v>
      </c>
      <c r="U608">
        <f t="shared" ca="1" si="35"/>
        <v>0</v>
      </c>
    </row>
    <row r="609" spans="1:21" x14ac:dyDescent="0.15">
      <c r="A609" t="str">
        <f>公司整体!A609</f>
        <v>机构</v>
      </c>
      <c r="B609" t="str">
        <f>公司整体!B609</f>
        <v>2016-01</v>
      </c>
      <c r="C609">
        <f ca="1">INDIRECT(ADDRESS(ROW(C609),MATCH(公司各渠道指标可视化!$C$4,公司整体!$1:$1,0),3,1,"公司整体"),TRUE)</f>
        <v>0</v>
      </c>
      <c r="T609" t="str">
        <f t="shared" si="34"/>
        <v>机构2016-01</v>
      </c>
      <c r="U609">
        <f t="shared" ca="1" si="35"/>
        <v>0</v>
      </c>
    </row>
    <row r="610" spans="1:21" x14ac:dyDescent="0.15">
      <c r="A610" t="str">
        <f>公司整体!A610</f>
        <v>江苏</v>
      </c>
      <c r="B610" t="str">
        <f>公司整体!B610</f>
        <v>2016-01</v>
      </c>
      <c r="C610">
        <f ca="1">INDIRECT(ADDRESS(ROW(C610),MATCH(公司各渠道指标可视化!$C$4,公司整体!$1:$1,0),3,1,"公司整体"),TRUE)</f>
        <v>0</v>
      </c>
      <c r="T610" t="str">
        <f t="shared" si="34"/>
        <v>江苏2016-01</v>
      </c>
      <c r="U610">
        <f t="shared" ca="1" si="35"/>
        <v>0</v>
      </c>
    </row>
    <row r="611" spans="1:21" x14ac:dyDescent="0.15">
      <c r="A611" t="str">
        <f>公司整体!A611</f>
        <v>山东</v>
      </c>
      <c r="B611" t="str">
        <f>公司整体!B611</f>
        <v>2016-01</v>
      </c>
      <c r="C611">
        <f ca="1">INDIRECT(ADDRESS(ROW(C611),MATCH(公司各渠道指标可视化!$C$4,公司整体!$1:$1,0),3,1,"公司整体"),TRUE)</f>
        <v>0</v>
      </c>
      <c r="T611" t="str">
        <f t="shared" si="34"/>
        <v>山东2016-01</v>
      </c>
      <c r="U611">
        <f t="shared" ca="1" si="35"/>
        <v>0</v>
      </c>
    </row>
    <row r="612" spans="1:21" x14ac:dyDescent="0.15">
      <c r="A612" t="str">
        <f>公司整体!A612</f>
        <v>上海</v>
      </c>
      <c r="B612" t="str">
        <f>公司整体!B612</f>
        <v>2016-01</v>
      </c>
      <c r="C612">
        <f ca="1">INDIRECT(ADDRESS(ROW(C612),MATCH(公司各渠道指标可视化!$C$4,公司整体!$1:$1,0),3,1,"公司整体"),TRUE)</f>
        <v>0</v>
      </c>
      <c r="T612" t="str">
        <f t="shared" si="34"/>
        <v>上海2016-01</v>
      </c>
      <c r="U612">
        <f t="shared" ca="1" si="35"/>
        <v>0</v>
      </c>
    </row>
    <row r="613" spans="1:21" x14ac:dyDescent="0.15">
      <c r="A613" t="str">
        <f>公司整体!A613</f>
        <v>深圳</v>
      </c>
      <c r="B613" t="str">
        <f>公司整体!B613</f>
        <v>2016-01</v>
      </c>
      <c r="C613">
        <f ca="1">INDIRECT(ADDRESS(ROW(C613),MATCH(公司各渠道指标可视化!$C$4,公司整体!$1:$1,0),3,1,"公司整体"),TRUE)</f>
        <v>0</v>
      </c>
      <c r="T613" t="str">
        <f t="shared" si="34"/>
        <v>深圳2016-01</v>
      </c>
      <c r="U613">
        <f t="shared" ca="1" si="35"/>
        <v>0</v>
      </c>
    </row>
    <row r="614" spans="1:21" x14ac:dyDescent="0.15">
      <c r="A614" t="str">
        <f>公司整体!A614</f>
        <v>四川</v>
      </c>
      <c r="B614" t="str">
        <f>公司整体!B614</f>
        <v>2016-01</v>
      </c>
      <c r="C614">
        <f ca="1">INDIRECT(ADDRESS(ROW(C614),MATCH(公司各渠道指标可视化!$C$4,公司整体!$1:$1,0),3,1,"公司整体"),TRUE)</f>
        <v>0</v>
      </c>
      <c r="T614" t="str">
        <f t="shared" si="34"/>
        <v>四川2016-01</v>
      </c>
      <c r="U614">
        <f t="shared" ca="1" si="35"/>
        <v>0</v>
      </c>
    </row>
    <row r="615" spans="1:21" x14ac:dyDescent="0.15">
      <c r="A615" t="str">
        <f>公司整体!A615</f>
        <v>苏州</v>
      </c>
      <c r="B615" t="str">
        <f>公司整体!B615</f>
        <v>2016-01</v>
      </c>
      <c r="C615">
        <f ca="1">INDIRECT(ADDRESS(ROW(C615),MATCH(公司各渠道指标可视化!$C$4,公司整体!$1:$1,0),3,1,"公司整体"),TRUE)</f>
        <v>0</v>
      </c>
      <c r="T615" t="str">
        <f t="shared" si="34"/>
        <v>苏州2016-01</v>
      </c>
      <c r="U615">
        <f t="shared" ca="1" si="35"/>
        <v>0</v>
      </c>
    </row>
    <row r="616" spans="1:21" x14ac:dyDescent="0.15">
      <c r="A616" t="str">
        <f>公司整体!A616</f>
        <v>中山</v>
      </c>
      <c r="B616" t="str">
        <f>公司整体!B616</f>
        <v>2016-01</v>
      </c>
      <c r="C616">
        <f ca="1">INDIRECT(ADDRESS(ROW(C616),MATCH(公司各渠道指标可视化!$C$4,公司整体!$1:$1,0),3,1,"公司整体"),TRUE)</f>
        <v>0</v>
      </c>
      <c r="T616" t="str">
        <f t="shared" si="34"/>
        <v>中山2016-01</v>
      </c>
      <c r="U616">
        <f t="shared" ca="1" si="35"/>
        <v>0</v>
      </c>
    </row>
    <row r="617" spans="1:21" x14ac:dyDescent="0.15">
      <c r="A617" t="str">
        <f>公司整体!A617</f>
        <v>珠海</v>
      </c>
      <c r="B617" t="str">
        <f>公司整体!B617</f>
        <v>2016-01</v>
      </c>
      <c r="C617">
        <f ca="1">INDIRECT(ADDRESS(ROW(C617),MATCH(公司各渠道指标可视化!$C$4,公司整体!$1:$1,0),3,1,"公司整体"),TRUE)</f>
        <v>0</v>
      </c>
      <c r="T617" t="str">
        <f t="shared" si="34"/>
        <v>珠海2016-01</v>
      </c>
      <c r="U617">
        <f t="shared" ca="1" si="35"/>
        <v>0</v>
      </c>
    </row>
    <row r="618" spans="1:21" x14ac:dyDescent="0.15">
      <c r="A618" t="str">
        <f>公司整体!A618</f>
        <v>东莞</v>
      </c>
      <c r="B618" t="str">
        <f>公司整体!B618</f>
        <v>2016-02</v>
      </c>
      <c r="C618">
        <f ca="1">INDIRECT(ADDRESS(ROW(C618),MATCH(公司各渠道指标可视化!$C$4,公司整体!$1:$1,0),3,1,"公司整体"),TRUE)</f>
        <v>0</v>
      </c>
      <c r="T618" t="str">
        <f t="shared" si="34"/>
        <v>东莞2016-02</v>
      </c>
      <c r="U618">
        <f t="shared" ca="1" si="35"/>
        <v>0</v>
      </c>
    </row>
    <row r="619" spans="1:21" x14ac:dyDescent="0.15">
      <c r="A619" t="str">
        <f>公司整体!A619</f>
        <v>佛山</v>
      </c>
      <c r="B619" t="str">
        <f>公司整体!B619</f>
        <v>2016-02</v>
      </c>
      <c r="C619">
        <f ca="1">INDIRECT(ADDRESS(ROW(C619),MATCH(公司各渠道指标可视化!$C$4,公司整体!$1:$1,0),3,1,"公司整体"),TRUE)</f>
        <v>0</v>
      </c>
      <c r="T619" t="str">
        <f t="shared" si="34"/>
        <v>佛山2016-02</v>
      </c>
      <c r="U619">
        <f t="shared" ca="1" si="35"/>
        <v>0</v>
      </c>
    </row>
    <row r="620" spans="1:21" x14ac:dyDescent="0.15">
      <c r="A620" t="str">
        <f>公司整体!A620</f>
        <v>广东</v>
      </c>
      <c r="B620" t="str">
        <f>公司整体!B620</f>
        <v>2016-02</v>
      </c>
      <c r="C620">
        <f ca="1">INDIRECT(ADDRESS(ROW(C620),MATCH(公司各渠道指标可视化!$C$4,公司整体!$1:$1,0),3,1,"公司整体"),TRUE)</f>
        <v>0</v>
      </c>
      <c r="T620" t="str">
        <f t="shared" si="34"/>
        <v>广东2016-02</v>
      </c>
      <c r="U620">
        <f t="shared" ca="1" si="35"/>
        <v>0</v>
      </c>
    </row>
    <row r="621" spans="1:21" x14ac:dyDescent="0.15">
      <c r="A621" t="str">
        <f>公司整体!A621</f>
        <v>广州</v>
      </c>
      <c r="B621" t="str">
        <f>公司整体!B621</f>
        <v>2016-02</v>
      </c>
      <c r="C621">
        <f ca="1">INDIRECT(ADDRESS(ROW(C621),MATCH(公司各渠道指标可视化!$C$4,公司整体!$1:$1,0),3,1,"公司整体"),TRUE)</f>
        <v>0</v>
      </c>
      <c r="T621" t="str">
        <f t="shared" si="34"/>
        <v>广州2016-02</v>
      </c>
      <c r="U621">
        <f t="shared" ca="1" si="35"/>
        <v>0</v>
      </c>
    </row>
    <row r="622" spans="1:21" x14ac:dyDescent="0.15">
      <c r="A622" t="str">
        <f>公司整体!A622</f>
        <v>湖北</v>
      </c>
      <c r="B622" t="str">
        <f>公司整体!B622</f>
        <v>2016-02</v>
      </c>
      <c r="C622">
        <f ca="1">INDIRECT(ADDRESS(ROW(C622),MATCH(公司各渠道指标可视化!$C$4,公司整体!$1:$1,0),3,1,"公司整体"),TRUE)</f>
        <v>0</v>
      </c>
      <c r="T622" t="str">
        <f t="shared" si="34"/>
        <v>湖北2016-02</v>
      </c>
      <c r="U622">
        <f t="shared" ca="1" si="35"/>
        <v>0</v>
      </c>
    </row>
    <row r="623" spans="1:21" x14ac:dyDescent="0.15">
      <c r="A623" t="str">
        <f>公司整体!A623</f>
        <v>机构</v>
      </c>
      <c r="B623" t="str">
        <f>公司整体!B623</f>
        <v>2016-02</v>
      </c>
      <c r="C623">
        <f ca="1">INDIRECT(ADDRESS(ROW(C623),MATCH(公司各渠道指标可视化!$C$4,公司整体!$1:$1,0),3,1,"公司整体"),TRUE)</f>
        <v>0</v>
      </c>
      <c r="T623" t="str">
        <f t="shared" si="34"/>
        <v>机构2016-02</v>
      </c>
      <c r="U623">
        <f t="shared" ca="1" si="35"/>
        <v>0</v>
      </c>
    </row>
    <row r="624" spans="1:21" x14ac:dyDescent="0.15">
      <c r="A624" t="str">
        <f>公司整体!A624</f>
        <v>江苏</v>
      </c>
      <c r="B624" t="str">
        <f>公司整体!B624</f>
        <v>2016-02</v>
      </c>
      <c r="C624">
        <f ca="1">INDIRECT(ADDRESS(ROW(C624),MATCH(公司各渠道指标可视化!$C$4,公司整体!$1:$1,0),3,1,"公司整体"),TRUE)</f>
        <v>0</v>
      </c>
      <c r="T624" t="str">
        <f t="shared" si="34"/>
        <v>江苏2016-02</v>
      </c>
      <c r="U624">
        <f t="shared" ca="1" si="35"/>
        <v>0</v>
      </c>
    </row>
    <row r="625" spans="1:21" x14ac:dyDescent="0.15">
      <c r="A625" t="str">
        <f>公司整体!A625</f>
        <v>山东</v>
      </c>
      <c r="B625" t="str">
        <f>公司整体!B625</f>
        <v>2016-02</v>
      </c>
      <c r="C625">
        <f ca="1">INDIRECT(ADDRESS(ROW(C625),MATCH(公司各渠道指标可视化!$C$4,公司整体!$1:$1,0),3,1,"公司整体"),TRUE)</f>
        <v>0</v>
      </c>
      <c r="T625" t="str">
        <f t="shared" si="34"/>
        <v>山东2016-02</v>
      </c>
      <c r="U625">
        <f t="shared" ca="1" si="35"/>
        <v>0</v>
      </c>
    </row>
    <row r="626" spans="1:21" x14ac:dyDescent="0.15">
      <c r="A626" t="str">
        <f>公司整体!A626</f>
        <v>上海</v>
      </c>
      <c r="B626" t="str">
        <f>公司整体!B626</f>
        <v>2016-02</v>
      </c>
      <c r="C626">
        <f ca="1">INDIRECT(ADDRESS(ROW(C626),MATCH(公司各渠道指标可视化!$C$4,公司整体!$1:$1,0),3,1,"公司整体"),TRUE)</f>
        <v>0</v>
      </c>
      <c r="T626" t="str">
        <f t="shared" si="34"/>
        <v>上海2016-02</v>
      </c>
      <c r="U626">
        <f t="shared" ca="1" si="35"/>
        <v>0</v>
      </c>
    </row>
    <row r="627" spans="1:21" x14ac:dyDescent="0.15">
      <c r="A627" t="str">
        <f>公司整体!A627</f>
        <v>深圳</v>
      </c>
      <c r="B627" t="str">
        <f>公司整体!B627</f>
        <v>2016-02</v>
      </c>
      <c r="C627">
        <f ca="1">INDIRECT(ADDRESS(ROW(C627),MATCH(公司各渠道指标可视化!$C$4,公司整体!$1:$1,0),3,1,"公司整体"),TRUE)</f>
        <v>0</v>
      </c>
      <c r="T627" t="str">
        <f t="shared" si="34"/>
        <v>深圳2016-02</v>
      </c>
      <c r="U627">
        <f t="shared" ca="1" si="35"/>
        <v>0</v>
      </c>
    </row>
    <row r="628" spans="1:21" x14ac:dyDescent="0.15">
      <c r="A628" t="str">
        <f>公司整体!A628</f>
        <v>四川</v>
      </c>
      <c r="B628" t="str">
        <f>公司整体!B628</f>
        <v>2016-02</v>
      </c>
      <c r="C628">
        <f ca="1">INDIRECT(ADDRESS(ROW(C628),MATCH(公司各渠道指标可视化!$C$4,公司整体!$1:$1,0),3,1,"公司整体"),TRUE)</f>
        <v>0</v>
      </c>
      <c r="T628" t="str">
        <f t="shared" si="34"/>
        <v>四川2016-02</v>
      </c>
      <c r="U628">
        <f t="shared" ca="1" si="35"/>
        <v>0</v>
      </c>
    </row>
    <row r="629" spans="1:21" x14ac:dyDescent="0.15">
      <c r="A629" t="str">
        <f>公司整体!A629</f>
        <v>苏州</v>
      </c>
      <c r="B629" t="str">
        <f>公司整体!B629</f>
        <v>2016-02</v>
      </c>
      <c r="C629">
        <f ca="1">INDIRECT(ADDRESS(ROW(C629),MATCH(公司各渠道指标可视化!$C$4,公司整体!$1:$1,0),3,1,"公司整体"),TRUE)</f>
        <v>0</v>
      </c>
      <c r="T629" t="str">
        <f t="shared" si="34"/>
        <v>苏州2016-02</v>
      </c>
      <c r="U629">
        <f t="shared" ca="1" si="35"/>
        <v>0</v>
      </c>
    </row>
    <row r="630" spans="1:21" x14ac:dyDescent="0.15">
      <c r="A630" t="str">
        <f>公司整体!A630</f>
        <v>中山</v>
      </c>
      <c r="B630" t="str">
        <f>公司整体!B630</f>
        <v>2016-02</v>
      </c>
      <c r="C630">
        <f ca="1">INDIRECT(ADDRESS(ROW(C630),MATCH(公司各渠道指标可视化!$C$4,公司整体!$1:$1,0),3,1,"公司整体"),TRUE)</f>
        <v>0</v>
      </c>
      <c r="T630" t="str">
        <f t="shared" si="34"/>
        <v>中山2016-02</v>
      </c>
      <c r="U630">
        <f t="shared" ca="1" si="35"/>
        <v>0</v>
      </c>
    </row>
    <row r="631" spans="1:21" x14ac:dyDescent="0.15">
      <c r="A631" t="str">
        <f>公司整体!A631</f>
        <v>珠海</v>
      </c>
      <c r="B631" t="str">
        <f>公司整体!B631</f>
        <v>2016-02</v>
      </c>
      <c r="C631">
        <f ca="1">INDIRECT(ADDRESS(ROW(C631),MATCH(公司各渠道指标可视化!$C$4,公司整体!$1:$1,0),3,1,"公司整体"),TRUE)</f>
        <v>0</v>
      </c>
      <c r="T631" t="str">
        <f t="shared" si="34"/>
        <v>珠海2016-02</v>
      </c>
      <c r="U631">
        <f t="shared" ca="1" si="35"/>
        <v>0</v>
      </c>
    </row>
    <row r="632" spans="1:21" x14ac:dyDescent="0.15">
      <c r="A632" t="str">
        <f>公司整体!A632</f>
        <v>东莞</v>
      </c>
      <c r="B632" t="str">
        <f>公司整体!B632</f>
        <v>2016-03</v>
      </c>
      <c r="C632">
        <f ca="1">INDIRECT(ADDRESS(ROW(C632),MATCH(公司各渠道指标可视化!$C$4,公司整体!$1:$1,0),3,1,"公司整体"),TRUE)</f>
        <v>0</v>
      </c>
      <c r="T632" t="str">
        <f t="shared" si="34"/>
        <v>东莞2016-03</v>
      </c>
      <c r="U632">
        <f t="shared" ca="1" si="35"/>
        <v>0</v>
      </c>
    </row>
    <row r="633" spans="1:21" x14ac:dyDescent="0.15">
      <c r="A633" t="str">
        <f>公司整体!A633</f>
        <v>佛山</v>
      </c>
      <c r="B633" t="str">
        <f>公司整体!B633</f>
        <v>2016-03</v>
      </c>
      <c r="C633">
        <f ca="1">INDIRECT(ADDRESS(ROW(C633),MATCH(公司各渠道指标可视化!$C$4,公司整体!$1:$1,0),3,1,"公司整体"),TRUE)</f>
        <v>0</v>
      </c>
      <c r="T633" t="str">
        <f t="shared" si="34"/>
        <v>佛山2016-03</v>
      </c>
      <c r="U633">
        <f t="shared" ca="1" si="35"/>
        <v>0</v>
      </c>
    </row>
    <row r="634" spans="1:21" x14ac:dyDescent="0.15">
      <c r="A634" t="str">
        <f>公司整体!A634</f>
        <v>广东</v>
      </c>
      <c r="B634" t="str">
        <f>公司整体!B634</f>
        <v>2016-03</v>
      </c>
      <c r="C634">
        <f ca="1">INDIRECT(ADDRESS(ROW(C634),MATCH(公司各渠道指标可视化!$C$4,公司整体!$1:$1,0),3,1,"公司整体"),TRUE)</f>
        <v>0</v>
      </c>
      <c r="T634" t="str">
        <f t="shared" si="34"/>
        <v>广东2016-03</v>
      </c>
      <c r="U634">
        <f t="shared" ca="1" si="35"/>
        <v>0</v>
      </c>
    </row>
    <row r="635" spans="1:21" x14ac:dyDescent="0.15">
      <c r="A635" t="str">
        <f>公司整体!A635</f>
        <v>广州</v>
      </c>
      <c r="B635" t="str">
        <f>公司整体!B635</f>
        <v>2016-03</v>
      </c>
      <c r="C635">
        <f ca="1">INDIRECT(ADDRESS(ROW(C635),MATCH(公司各渠道指标可视化!$C$4,公司整体!$1:$1,0),3,1,"公司整体"),TRUE)</f>
        <v>0</v>
      </c>
      <c r="T635" t="str">
        <f t="shared" si="34"/>
        <v>广州2016-03</v>
      </c>
      <c r="U635">
        <f t="shared" ca="1" si="35"/>
        <v>0</v>
      </c>
    </row>
    <row r="636" spans="1:21" x14ac:dyDescent="0.15">
      <c r="A636" t="str">
        <f>公司整体!A636</f>
        <v>湖北</v>
      </c>
      <c r="B636" t="str">
        <f>公司整体!B636</f>
        <v>2016-03</v>
      </c>
      <c r="C636">
        <f ca="1">INDIRECT(ADDRESS(ROW(C636),MATCH(公司各渠道指标可视化!$C$4,公司整体!$1:$1,0),3,1,"公司整体"),TRUE)</f>
        <v>0</v>
      </c>
      <c r="T636" t="str">
        <f t="shared" si="34"/>
        <v>湖北2016-03</v>
      </c>
      <c r="U636">
        <f t="shared" ca="1" si="35"/>
        <v>0</v>
      </c>
    </row>
    <row r="637" spans="1:21" x14ac:dyDescent="0.15">
      <c r="A637" t="str">
        <f>公司整体!A637</f>
        <v>机构</v>
      </c>
      <c r="B637" t="str">
        <f>公司整体!B637</f>
        <v>2016-03</v>
      </c>
      <c r="C637">
        <f ca="1">INDIRECT(ADDRESS(ROW(C637),MATCH(公司各渠道指标可视化!$C$4,公司整体!$1:$1,0),3,1,"公司整体"),TRUE)</f>
        <v>0</v>
      </c>
      <c r="T637" t="str">
        <f t="shared" si="34"/>
        <v>机构2016-03</v>
      </c>
      <c r="U637">
        <f t="shared" ca="1" si="35"/>
        <v>0</v>
      </c>
    </row>
    <row r="638" spans="1:21" x14ac:dyDescent="0.15">
      <c r="A638" t="str">
        <f>公司整体!A638</f>
        <v>江苏</v>
      </c>
      <c r="B638" t="str">
        <f>公司整体!B638</f>
        <v>2016-03</v>
      </c>
      <c r="C638">
        <f ca="1">INDIRECT(ADDRESS(ROW(C638),MATCH(公司各渠道指标可视化!$C$4,公司整体!$1:$1,0),3,1,"公司整体"),TRUE)</f>
        <v>0</v>
      </c>
      <c r="T638" t="str">
        <f t="shared" si="34"/>
        <v>江苏2016-03</v>
      </c>
      <c r="U638">
        <f t="shared" ca="1" si="35"/>
        <v>0</v>
      </c>
    </row>
    <row r="639" spans="1:21" x14ac:dyDescent="0.15">
      <c r="A639" t="str">
        <f>公司整体!A639</f>
        <v>山东</v>
      </c>
      <c r="B639" t="str">
        <f>公司整体!B639</f>
        <v>2016-03</v>
      </c>
      <c r="C639">
        <f ca="1">INDIRECT(ADDRESS(ROW(C639),MATCH(公司各渠道指标可视化!$C$4,公司整体!$1:$1,0),3,1,"公司整体"),TRUE)</f>
        <v>0</v>
      </c>
      <c r="T639" t="str">
        <f t="shared" si="34"/>
        <v>山东2016-03</v>
      </c>
      <c r="U639">
        <f t="shared" ca="1" si="35"/>
        <v>0</v>
      </c>
    </row>
    <row r="640" spans="1:21" x14ac:dyDescent="0.15">
      <c r="A640" t="str">
        <f>公司整体!A640</f>
        <v>上海</v>
      </c>
      <c r="B640" t="str">
        <f>公司整体!B640</f>
        <v>2016-03</v>
      </c>
      <c r="C640">
        <f ca="1">INDIRECT(ADDRESS(ROW(C640),MATCH(公司各渠道指标可视化!$C$4,公司整体!$1:$1,0),3,1,"公司整体"),TRUE)</f>
        <v>0</v>
      </c>
      <c r="T640" t="str">
        <f t="shared" si="34"/>
        <v>上海2016-03</v>
      </c>
      <c r="U640">
        <f t="shared" ca="1" si="35"/>
        <v>0</v>
      </c>
    </row>
    <row r="641" spans="1:21" x14ac:dyDescent="0.15">
      <c r="A641" t="str">
        <f>公司整体!A641</f>
        <v>深圳</v>
      </c>
      <c r="B641" t="str">
        <f>公司整体!B641</f>
        <v>2016-03</v>
      </c>
      <c r="C641">
        <f ca="1">INDIRECT(ADDRESS(ROW(C641),MATCH(公司各渠道指标可视化!$C$4,公司整体!$1:$1,0),3,1,"公司整体"),TRUE)</f>
        <v>0</v>
      </c>
      <c r="T641" t="str">
        <f t="shared" si="34"/>
        <v>深圳2016-03</v>
      </c>
      <c r="U641">
        <f t="shared" ca="1" si="35"/>
        <v>0</v>
      </c>
    </row>
    <row r="642" spans="1:21" x14ac:dyDescent="0.15">
      <c r="A642" t="str">
        <f>公司整体!A642</f>
        <v>四川</v>
      </c>
      <c r="B642" t="str">
        <f>公司整体!B642</f>
        <v>2016-03</v>
      </c>
      <c r="C642">
        <f ca="1">INDIRECT(ADDRESS(ROW(C642),MATCH(公司各渠道指标可视化!$C$4,公司整体!$1:$1,0),3,1,"公司整体"),TRUE)</f>
        <v>0</v>
      </c>
      <c r="T642" t="str">
        <f t="shared" si="34"/>
        <v>四川2016-03</v>
      </c>
      <c r="U642">
        <f t="shared" ca="1" si="35"/>
        <v>0</v>
      </c>
    </row>
    <row r="643" spans="1:21" x14ac:dyDescent="0.15">
      <c r="A643" t="str">
        <f>公司整体!A643</f>
        <v>苏州</v>
      </c>
      <c r="B643" t="str">
        <f>公司整体!B643</f>
        <v>2016-03</v>
      </c>
      <c r="C643">
        <f ca="1">INDIRECT(ADDRESS(ROW(C643),MATCH(公司各渠道指标可视化!$C$4,公司整体!$1:$1,0),3,1,"公司整体"),TRUE)</f>
        <v>0</v>
      </c>
      <c r="T643" t="str">
        <f t="shared" si="34"/>
        <v>苏州2016-03</v>
      </c>
      <c r="U643">
        <f t="shared" ca="1" si="35"/>
        <v>0</v>
      </c>
    </row>
    <row r="644" spans="1:21" x14ac:dyDescent="0.15">
      <c r="A644" t="str">
        <f>公司整体!A644</f>
        <v>中山</v>
      </c>
      <c r="B644" t="str">
        <f>公司整体!B644</f>
        <v>2016-03</v>
      </c>
      <c r="C644">
        <f ca="1">INDIRECT(ADDRESS(ROW(C644),MATCH(公司各渠道指标可视化!$C$4,公司整体!$1:$1,0),3,1,"公司整体"),TRUE)</f>
        <v>0</v>
      </c>
      <c r="T644" t="str">
        <f t="shared" si="34"/>
        <v>中山2016-03</v>
      </c>
      <c r="U644">
        <f t="shared" ca="1" si="35"/>
        <v>0</v>
      </c>
    </row>
    <row r="645" spans="1:21" x14ac:dyDescent="0.15">
      <c r="A645" t="str">
        <f>公司整体!A645</f>
        <v>珠海</v>
      </c>
      <c r="B645" t="str">
        <f>公司整体!B645</f>
        <v>2016-03</v>
      </c>
      <c r="C645">
        <f ca="1">INDIRECT(ADDRESS(ROW(C645),MATCH(公司各渠道指标可视化!$C$4,公司整体!$1:$1,0),3,1,"公司整体"),TRUE)</f>
        <v>0</v>
      </c>
      <c r="T645" t="str">
        <f t="shared" si="34"/>
        <v>珠海2016-03</v>
      </c>
      <c r="U645">
        <f t="shared" ca="1" si="35"/>
        <v>0</v>
      </c>
    </row>
    <row r="646" spans="1:21" x14ac:dyDescent="0.15">
      <c r="A646" t="str">
        <f>公司整体!A646</f>
        <v>东莞</v>
      </c>
      <c r="B646" t="str">
        <f>公司整体!B646</f>
        <v>2016-04</v>
      </c>
      <c r="C646">
        <f ca="1">INDIRECT(ADDRESS(ROW(C646),MATCH(公司各渠道指标可视化!$C$4,公司整体!$1:$1,0),3,1,"公司整体"),TRUE)</f>
        <v>2387</v>
      </c>
      <c r="T646" t="str">
        <f t="shared" si="34"/>
        <v>东莞2016-04</v>
      </c>
      <c r="U646">
        <f t="shared" ca="1" si="35"/>
        <v>2387</v>
      </c>
    </row>
    <row r="647" spans="1:21" x14ac:dyDescent="0.15">
      <c r="A647" t="str">
        <f>公司整体!A647</f>
        <v>佛山</v>
      </c>
      <c r="B647" t="str">
        <f>公司整体!B647</f>
        <v>2016-04</v>
      </c>
      <c r="C647">
        <f ca="1">INDIRECT(ADDRESS(ROW(C647),MATCH(公司各渠道指标可视化!$C$4,公司整体!$1:$1,0),3,1,"公司整体"),TRUE)</f>
        <v>0</v>
      </c>
      <c r="T647" t="str">
        <f t="shared" si="34"/>
        <v>佛山2016-04</v>
      </c>
      <c r="U647">
        <f t="shared" ca="1" si="35"/>
        <v>0</v>
      </c>
    </row>
    <row r="648" spans="1:21" x14ac:dyDescent="0.15">
      <c r="A648" t="str">
        <f>公司整体!A648</f>
        <v>广东</v>
      </c>
      <c r="B648" t="str">
        <f>公司整体!B648</f>
        <v>2016-04</v>
      </c>
      <c r="C648">
        <f ca="1">INDIRECT(ADDRESS(ROW(C648),MATCH(公司各渠道指标可视化!$C$4,公司整体!$1:$1,0),3,1,"公司整体"),TRUE)</f>
        <v>11</v>
      </c>
      <c r="T648" t="str">
        <f t="shared" si="34"/>
        <v>广东2016-04</v>
      </c>
      <c r="U648">
        <f t="shared" ca="1" si="35"/>
        <v>11</v>
      </c>
    </row>
    <row r="649" spans="1:21" x14ac:dyDescent="0.15">
      <c r="A649" t="str">
        <f>公司整体!A649</f>
        <v>广州</v>
      </c>
      <c r="B649" t="str">
        <f>公司整体!B649</f>
        <v>2016-04</v>
      </c>
      <c r="C649">
        <f ca="1">INDIRECT(ADDRESS(ROW(C649),MATCH(公司各渠道指标可视化!$C$4,公司整体!$1:$1,0),3,1,"公司整体"),TRUE)</f>
        <v>0</v>
      </c>
      <c r="T649" t="str">
        <f t="shared" si="34"/>
        <v>广州2016-04</v>
      </c>
      <c r="U649">
        <f t="shared" ca="1" si="35"/>
        <v>0</v>
      </c>
    </row>
    <row r="650" spans="1:21" x14ac:dyDescent="0.15">
      <c r="A650" t="str">
        <f>公司整体!A650</f>
        <v>湖北</v>
      </c>
      <c r="B650" t="str">
        <f>公司整体!B650</f>
        <v>2016-04</v>
      </c>
      <c r="C650">
        <f ca="1">INDIRECT(ADDRESS(ROW(C650),MATCH(公司各渠道指标可视化!$C$4,公司整体!$1:$1,0),3,1,"公司整体"),TRUE)</f>
        <v>0</v>
      </c>
      <c r="T650" t="str">
        <f t="shared" si="34"/>
        <v>湖北2016-04</v>
      </c>
      <c r="U650">
        <f t="shared" ca="1" si="35"/>
        <v>0</v>
      </c>
    </row>
    <row r="651" spans="1:21" x14ac:dyDescent="0.15">
      <c r="A651" t="str">
        <f>公司整体!A651</f>
        <v>机构</v>
      </c>
      <c r="B651" t="str">
        <f>公司整体!B651</f>
        <v>2016-04</v>
      </c>
      <c r="C651">
        <f ca="1">INDIRECT(ADDRESS(ROW(C651),MATCH(公司各渠道指标可视化!$C$4,公司整体!$1:$1,0),3,1,"公司整体"),TRUE)</f>
        <v>2399</v>
      </c>
      <c r="T651" t="str">
        <f t="shared" si="34"/>
        <v>机构2016-04</v>
      </c>
      <c r="U651">
        <f t="shared" ca="1" si="35"/>
        <v>2399</v>
      </c>
    </row>
    <row r="652" spans="1:21" x14ac:dyDescent="0.15">
      <c r="A652" t="str">
        <f>公司整体!A652</f>
        <v>江苏</v>
      </c>
      <c r="B652" t="str">
        <f>公司整体!B652</f>
        <v>2016-04</v>
      </c>
      <c r="C652">
        <f ca="1">INDIRECT(ADDRESS(ROW(C652),MATCH(公司各渠道指标可视化!$C$4,公司整体!$1:$1,0),3,1,"公司整体"),TRUE)</f>
        <v>0</v>
      </c>
      <c r="T652" t="str">
        <f t="shared" si="34"/>
        <v>江苏2016-04</v>
      </c>
      <c r="U652">
        <f t="shared" ca="1" si="35"/>
        <v>0</v>
      </c>
    </row>
    <row r="653" spans="1:21" x14ac:dyDescent="0.15">
      <c r="A653" t="str">
        <f>公司整体!A653</f>
        <v>山东</v>
      </c>
      <c r="B653" t="str">
        <f>公司整体!B653</f>
        <v>2016-04</v>
      </c>
      <c r="C653">
        <f ca="1">INDIRECT(ADDRESS(ROW(C653),MATCH(公司各渠道指标可视化!$C$4,公司整体!$1:$1,0),3,1,"公司整体"),TRUE)</f>
        <v>0</v>
      </c>
      <c r="T653" t="str">
        <f t="shared" si="34"/>
        <v>山东2016-04</v>
      </c>
      <c r="U653">
        <f t="shared" ca="1" si="35"/>
        <v>0</v>
      </c>
    </row>
    <row r="654" spans="1:21" x14ac:dyDescent="0.15">
      <c r="A654" t="str">
        <f>公司整体!A654</f>
        <v>上海</v>
      </c>
      <c r="B654" t="str">
        <f>公司整体!B654</f>
        <v>2016-04</v>
      </c>
      <c r="C654">
        <f ca="1">INDIRECT(ADDRESS(ROW(C654),MATCH(公司各渠道指标可视化!$C$4,公司整体!$1:$1,0),3,1,"公司整体"),TRUE)</f>
        <v>0</v>
      </c>
      <c r="T654" t="str">
        <f t="shared" si="34"/>
        <v>上海2016-04</v>
      </c>
      <c r="U654">
        <f t="shared" ca="1" si="35"/>
        <v>0</v>
      </c>
    </row>
    <row r="655" spans="1:21" x14ac:dyDescent="0.15">
      <c r="A655" t="str">
        <f>公司整体!A655</f>
        <v>深圳</v>
      </c>
      <c r="B655" t="str">
        <f>公司整体!B655</f>
        <v>2016-04</v>
      </c>
      <c r="C655">
        <f ca="1">INDIRECT(ADDRESS(ROW(C655),MATCH(公司各渠道指标可视化!$C$4,公司整体!$1:$1,0),3,1,"公司整体"),TRUE)</f>
        <v>0</v>
      </c>
      <c r="T655" t="str">
        <f t="shared" si="34"/>
        <v>深圳2016-04</v>
      </c>
      <c r="U655">
        <f t="shared" ca="1" si="35"/>
        <v>0</v>
      </c>
    </row>
    <row r="656" spans="1:21" x14ac:dyDescent="0.15">
      <c r="A656" t="str">
        <f>公司整体!A656</f>
        <v>四川</v>
      </c>
      <c r="B656" t="str">
        <f>公司整体!B656</f>
        <v>2016-04</v>
      </c>
      <c r="C656">
        <f ca="1">INDIRECT(ADDRESS(ROW(C656),MATCH(公司各渠道指标可视化!$C$4,公司整体!$1:$1,0),3,1,"公司整体"),TRUE)</f>
        <v>0</v>
      </c>
      <c r="T656" t="str">
        <f t="shared" si="34"/>
        <v>四川2016-04</v>
      </c>
      <c r="U656">
        <f t="shared" ca="1" si="35"/>
        <v>0</v>
      </c>
    </row>
    <row r="657" spans="1:21" x14ac:dyDescent="0.15">
      <c r="A657" t="str">
        <f>公司整体!A657</f>
        <v>苏州</v>
      </c>
      <c r="B657" t="str">
        <f>公司整体!B657</f>
        <v>2016-04</v>
      </c>
      <c r="C657">
        <f ca="1">INDIRECT(ADDRESS(ROW(C657),MATCH(公司各渠道指标可视化!$C$4,公司整体!$1:$1,0),3,1,"公司整体"),TRUE)</f>
        <v>0</v>
      </c>
      <c r="T657" t="str">
        <f t="shared" si="34"/>
        <v>苏州2016-04</v>
      </c>
      <c r="U657">
        <f t="shared" ca="1" si="35"/>
        <v>0</v>
      </c>
    </row>
    <row r="658" spans="1:21" x14ac:dyDescent="0.15">
      <c r="A658" t="str">
        <f>公司整体!A658</f>
        <v>中山</v>
      </c>
      <c r="B658" t="str">
        <f>公司整体!B658</f>
        <v>2016-04</v>
      </c>
      <c r="C658">
        <f ca="1">INDIRECT(ADDRESS(ROW(C658),MATCH(公司各渠道指标可视化!$C$4,公司整体!$1:$1,0),3,1,"公司整体"),TRUE)</f>
        <v>0</v>
      </c>
      <c r="T658" t="str">
        <f t="shared" si="34"/>
        <v>中山2016-04</v>
      </c>
      <c r="U658">
        <f t="shared" ca="1" si="35"/>
        <v>0</v>
      </c>
    </row>
    <row r="659" spans="1:21" x14ac:dyDescent="0.15">
      <c r="A659" t="str">
        <f>公司整体!A659</f>
        <v>珠海</v>
      </c>
      <c r="B659" t="str">
        <f>公司整体!B659</f>
        <v>2016-04</v>
      </c>
      <c r="C659">
        <f ca="1">INDIRECT(ADDRESS(ROW(C659),MATCH(公司各渠道指标可视化!$C$4,公司整体!$1:$1,0),3,1,"公司整体"),TRUE)</f>
        <v>0</v>
      </c>
      <c r="T659" t="str">
        <f t="shared" si="34"/>
        <v>珠海2016-04</v>
      </c>
      <c r="U659">
        <f t="shared" ca="1" si="35"/>
        <v>0</v>
      </c>
    </row>
    <row r="660" spans="1:21" x14ac:dyDescent="0.15">
      <c r="A660" t="str">
        <f>公司整体!A660</f>
        <v>东莞</v>
      </c>
      <c r="B660" t="str">
        <f>公司整体!B660</f>
        <v>2016-05</v>
      </c>
      <c r="C660">
        <f ca="1">INDIRECT(ADDRESS(ROW(C660),MATCH(公司各渠道指标可视化!$C$4,公司整体!$1:$1,0),3,1,"公司整体"),TRUE)</f>
        <v>6008</v>
      </c>
      <c r="T660" t="str">
        <f t="shared" si="34"/>
        <v>东莞2016-05</v>
      </c>
      <c r="U660">
        <f t="shared" ca="1" si="35"/>
        <v>6008</v>
      </c>
    </row>
    <row r="661" spans="1:21" x14ac:dyDescent="0.15">
      <c r="A661" t="str">
        <f>公司整体!A661</f>
        <v>佛山</v>
      </c>
      <c r="B661" t="str">
        <f>公司整体!B661</f>
        <v>2016-05</v>
      </c>
      <c r="C661">
        <f ca="1">INDIRECT(ADDRESS(ROW(C661),MATCH(公司各渠道指标可视化!$C$4,公司整体!$1:$1,0),3,1,"公司整体"),TRUE)</f>
        <v>7627</v>
      </c>
      <c r="T661" t="str">
        <f t="shared" si="34"/>
        <v>佛山2016-05</v>
      </c>
      <c r="U661">
        <f t="shared" ca="1" si="35"/>
        <v>7627</v>
      </c>
    </row>
    <row r="662" spans="1:21" x14ac:dyDescent="0.15">
      <c r="A662" t="str">
        <f>公司整体!A662</f>
        <v>广东</v>
      </c>
      <c r="B662" t="str">
        <f>公司整体!B662</f>
        <v>2016-05</v>
      </c>
      <c r="C662">
        <f ca="1">INDIRECT(ADDRESS(ROW(C662),MATCH(公司各渠道指标可视化!$C$4,公司整体!$1:$1,0),3,1,"公司整体"),TRUE)</f>
        <v>11217</v>
      </c>
      <c r="T662" t="str">
        <f t="shared" si="34"/>
        <v>广东2016-05</v>
      </c>
      <c r="U662">
        <f t="shared" ca="1" si="35"/>
        <v>11217</v>
      </c>
    </row>
    <row r="663" spans="1:21" x14ac:dyDescent="0.15">
      <c r="A663" t="str">
        <f>公司整体!A663</f>
        <v>广州</v>
      </c>
      <c r="B663" t="str">
        <f>公司整体!B663</f>
        <v>2016-05</v>
      </c>
      <c r="C663">
        <f ca="1">INDIRECT(ADDRESS(ROW(C663),MATCH(公司各渠道指标可视化!$C$4,公司整体!$1:$1,0),3,1,"公司整体"),TRUE)</f>
        <v>11333</v>
      </c>
      <c r="T663" t="str">
        <f t="shared" ref="T663:T726" si="36">A663&amp;B663</f>
        <v>广州2016-05</v>
      </c>
      <c r="U663">
        <f t="shared" ref="U663:U726" ca="1" si="37">C663</f>
        <v>11333</v>
      </c>
    </row>
    <row r="664" spans="1:21" x14ac:dyDescent="0.15">
      <c r="A664" t="str">
        <f>公司整体!A664</f>
        <v>湖北</v>
      </c>
      <c r="B664" t="str">
        <f>公司整体!B664</f>
        <v>2016-05</v>
      </c>
      <c r="C664">
        <f ca="1">INDIRECT(ADDRESS(ROW(C664),MATCH(公司各渠道指标可视化!$C$4,公司整体!$1:$1,0),3,1,"公司整体"),TRUE)</f>
        <v>0</v>
      </c>
      <c r="T664" t="str">
        <f t="shared" si="36"/>
        <v>湖北2016-05</v>
      </c>
      <c r="U664">
        <f t="shared" ca="1" si="37"/>
        <v>0</v>
      </c>
    </row>
    <row r="665" spans="1:21" x14ac:dyDescent="0.15">
      <c r="A665" t="str">
        <f>公司整体!A665</f>
        <v>机构</v>
      </c>
      <c r="B665" t="str">
        <f>公司整体!B665</f>
        <v>2016-05</v>
      </c>
      <c r="C665">
        <f ca="1">INDIRECT(ADDRESS(ROW(C665),MATCH(公司各渠道指标可视化!$C$4,公司整体!$1:$1,0),3,1,"公司整体"),TRUE)</f>
        <v>62314</v>
      </c>
      <c r="T665" t="str">
        <f t="shared" si="36"/>
        <v>机构2016-05</v>
      </c>
      <c r="U665">
        <f t="shared" ca="1" si="37"/>
        <v>62314</v>
      </c>
    </row>
    <row r="666" spans="1:21" x14ac:dyDescent="0.15">
      <c r="A666" t="str">
        <f>公司整体!A666</f>
        <v>江苏</v>
      </c>
      <c r="B666" t="str">
        <f>公司整体!B666</f>
        <v>2016-05</v>
      </c>
      <c r="C666">
        <f ca="1">INDIRECT(ADDRESS(ROW(C666),MATCH(公司各渠道指标可视化!$C$4,公司整体!$1:$1,0),3,1,"公司整体"),TRUE)</f>
        <v>207</v>
      </c>
      <c r="T666" t="str">
        <f t="shared" si="36"/>
        <v>江苏2016-05</v>
      </c>
      <c r="U666">
        <f t="shared" ca="1" si="37"/>
        <v>207</v>
      </c>
    </row>
    <row r="667" spans="1:21" x14ac:dyDescent="0.15">
      <c r="A667" t="str">
        <f>公司整体!A667</f>
        <v>山东</v>
      </c>
      <c r="B667" t="str">
        <f>公司整体!B667</f>
        <v>2016-05</v>
      </c>
      <c r="C667">
        <f ca="1">INDIRECT(ADDRESS(ROW(C667),MATCH(公司各渠道指标可视化!$C$4,公司整体!$1:$1,0),3,1,"公司整体"),TRUE)</f>
        <v>0</v>
      </c>
      <c r="T667" t="str">
        <f t="shared" si="36"/>
        <v>山东2016-05</v>
      </c>
      <c r="U667">
        <f t="shared" ca="1" si="37"/>
        <v>0</v>
      </c>
    </row>
    <row r="668" spans="1:21" x14ac:dyDescent="0.15">
      <c r="A668" t="str">
        <f>公司整体!A668</f>
        <v>上海</v>
      </c>
      <c r="B668" t="str">
        <f>公司整体!B668</f>
        <v>2016-05</v>
      </c>
      <c r="C668">
        <f ca="1">INDIRECT(ADDRESS(ROW(C668),MATCH(公司各渠道指标可视化!$C$4,公司整体!$1:$1,0),3,1,"公司整体"),TRUE)</f>
        <v>463</v>
      </c>
      <c r="T668" t="str">
        <f t="shared" si="36"/>
        <v>上海2016-05</v>
      </c>
      <c r="U668">
        <f t="shared" ca="1" si="37"/>
        <v>463</v>
      </c>
    </row>
    <row r="669" spans="1:21" x14ac:dyDescent="0.15">
      <c r="A669" t="str">
        <f>公司整体!A669</f>
        <v>深圳</v>
      </c>
      <c r="B669" t="str">
        <f>公司整体!B669</f>
        <v>2016-05</v>
      </c>
      <c r="C669">
        <f ca="1">INDIRECT(ADDRESS(ROW(C669),MATCH(公司各渠道指标可视化!$C$4,公司整体!$1:$1,0),3,1,"公司整体"),TRUE)</f>
        <v>14500</v>
      </c>
      <c r="T669" t="str">
        <f t="shared" si="36"/>
        <v>深圳2016-05</v>
      </c>
      <c r="U669">
        <f t="shared" ca="1" si="37"/>
        <v>14500</v>
      </c>
    </row>
    <row r="670" spans="1:21" x14ac:dyDescent="0.15">
      <c r="A670" t="str">
        <f>公司整体!A670</f>
        <v>四川</v>
      </c>
      <c r="B670" t="str">
        <f>公司整体!B670</f>
        <v>2016-05</v>
      </c>
      <c r="C670">
        <f ca="1">INDIRECT(ADDRESS(ROW(C670),MATCH(公司各渠道指标可视化!$C$4,公司整体!$1:$1,0),3,1,"公司整体"),TRUE)</f>
        <v>7596</v>
      </c>
      <c r="T670" t="str">
        <f t="shared" si="36"/>
        <v>四川2016-05</v>
      </c>
      <c r="U670">
        <f t="shared" ca="1" si="37"/>
        <v>7596</v>
      </c>
    </row>
    <row r="671" spans="1:21" x14ac:dyDescent="0.15">
      <c r="A671" t="str">
        <f>公司整体!A671</f>
        <v>苏州</v>
      </c>
      <c r="B671" t="str">
        <f>公司整体!B671</f>
        <v>2016-05</v>
      </c>
      <c r="C671">
        <f ca="1">INDIRECT(ADDRESS(ROW(C671),MATCH(公司各渠道指标可视化!$C$4,公司整体!$1:$1,0),3,1,"公司整体"),TRUE)</f>
        <v>0</v>
      </c>
      <c r="T671" t="str">
        <f t="shared" si="36"/>
        <v>苏州2016-05</v>
      </c>
      <c r="U671">
        <f t="shared" ca="1" si="37"/>
        <v>0</v>
      </c>
    </row>
    <row r="672" spans="1:21" x14ac:dyDescent="0.15">
      <c r="A672" t="str">
        <f>公司整体!A672</f>
        <v>中山</v>
      </c>
      <c r="B672" t="str">
        <f>公司整体!B672</f>
        <v>2016-05</v>
      </c>
      <c r="C672">
        <f ca="1">INDIRECT(ADDRESS(ROW(C672),MATCH(公司各渠道指标可视化!$C$4,公司整体!$1:$1,0),3,1,"公司整体"),TRUE)</f>
        <v>393</v>
      </c>
      <c r="T672" t="str">
        <f t="shared" si="36"/>
        <v>中山2016-05</v>
      </c>
      <c r="U672">
        <f t="shared" ca="1" si="37"/>
        <v>393</v>
      </c>
    </row>
    <row r="673" spans="1:21" x14ac:dyDescent="0.15">
      <c r="A673" t="str">
        <f>公司整体!A673</f>
        <v>珠海</v>
      </c>
      <c r="B673" t="str">
        <f>公司整体!B673</f>
        <v>2016-05</v>
      </c>
      <c r="C673">
        <f ca="1">INDIRECT(ADDRESS(ROW(C673),MATCH(公司各渠道指标可视化!$C$4,公司整体!$1:$1,0),3,1,"公司整体"),TRUE)</f>
        <v>2970</v>
      </c>
      <c r="T673" t="str">
        <f t="shared" si="36"/>
        <v>珠海2016-05</v>
      </c>
      <c r="U673">
        <f t="shared" ca="1" si="37"/>
        <v>2970</v>
      </c>
    </row>
    <row r="674" spans="1:21" x14ac:dyDescent="0.15">
      <c r="A674" t="str">
        <f>公司整体!A674</f>
        <v>东莞</v>
      </c>
      <c r="B674" t="str">
        <f>公司整体!B674</f>
        <v>2016-06</v>
      </c>
      <c r="C674">
        <f ca="1">INDIRECT(ADDRESS(ROW(C674),MATCH(公司各渠道指标可视化!$C$4,公司整体!$1:$1,0),3,1,"公司整体"),TRUE)</f>
        <v>15616</v>
      </c>
      <c r="T674" t="str">
        <f t="shared" si="36"/>
        <v>东莞2016-06</v>
      </c>
      <c r="U674">
        <f t="shared" ca="1" si="37"/>
        <v>15616</v>
      </c>
    </row>
    <row r="675" spans="1:21" x14ac:dyDescent="0.15">
      <c r="A675" t="str">
        <f>公司整体!A675</f>
        <v>佛山</v>
      </c>
      <c r="B675" t="str">
        <f>公司整体!B675</f>
        <v>2016-06</v>
      </c>
      <c r="C675">
        <f ca="1">INDIRECT(ADDRESS(ROW(C675),MATCH(公司各渠道指标可视化!$C$4,公司整体!$1:$1,0),3,1,"公司整体"),TRUE)</f>
        <v>28034</v>
      </c>
      <c r="T675" t="str">
        <f t="shared" si="36"/>
        <v>佛山2016-06</v>
      </c>
      <c r="U675">
        <f t="shared" ca="1" si="37"/>
        <v>28034</v>
      </c>
    </row>
    <row r="676" spans="1:21" x14ac:dyDescent="0.15">
      <c r="A676" t="str">
        <f>公司整体!A676</f>
        <v>广东</v>
      </c>
      <c r="B676" t="str">
        <f>公司整体!B676</f>
        <v>2016-06</v>
      </c>
      <c r="C676">
        <f ca="1">INDIRECT(ADDRESS(ROW(C676),MATCH(公司各渠道指标可视化!$C$4,公司整体!$1:$1,0),3,1,"公司整体"),TRUE)</f>
        <v>44117</v>
      </c>
      <c r="T676" t="str">
        <f t="shared" si="36"/>
        <v>广东2016-06</v>
      </c>
      <c r="U676">
        <f t="shared" ca="1" si="37"/>
        <v>44117</v>
      </c>
    </row>
    <row r="677" spans="1:21" x14ac:dyDescent="0.15">
      <c r="A677" t="str">
        <f>公司整体!A677</f>
        <v>广州</v>
      </c>
      <c r="B677" t="str">
        <f>公司整体!B677</f>
        <v>2016-06</v>
      </c>
      <c r="C677">
        <f ca="1">INDIRECT(ADDRESS(ROW(C677),MATCH(公司各渠道指标可视化!$C$4,公司整体!$1:$1,0),3,1,"公司整体"),TRUE)</f>
        <v>23575</v>
      </c>
      <c r="T677" t="str">
        <f t="shared" si="36"/>
        <v>广州2016-06</v>
      </c>
      <c r="U677">
        <f t="shared" ca="1" si="37"/>
        <v>23575</v>
      </c>
    </row>
    <row r="678" spans="1:21" x14ac:dyDescent="0.15">
      <c r="A678" t="str">
        <f>公司整体!A678</f>
        <v>湖北</v>
      </c>
      <c r="B678" t="str">
        <f>公司整体!B678</f>
        <v>2016-06</v>
      </c>
      <c r="C678">
        <f ca="1">INDIRECT(ADDRESS(ROW(C678),MATCH(公司各渠道指标可视化!$C$4,公司整体!$1:$1,0),3,1,"公司整体"),TRUE)</f>
        <v>0</v>
      </c>
      <c r="T678" t="str">
        <f t="shared" si="36"/>
        <v>湖北2016-06</v>
      </c>
      <c r="U678">
        <f t="shared" ca="1" si="37"/>
        <v>0</v>
      </c>
    </row>
    <row r="679" spans="1:21" x14ac:dyDescent="0.15">
      <c r="A679" t="str">
        <f>公司整体!A679</f>
        <v>机构</v>
      </c>
      <c r="B679" t="str">
        <f>公司整体!B679</f>
        <v>2016-06</v>
      </c>
      <c r="C679">
        <f ca="1">INDIRECT(ADDRESS(ROW(C679),MATCH(公司各渠道指标可视化!$C$4,公司整体!$1:$1,0),3,1,"公司整体"),TRUE)</f>
        <v>195052</v>
      </c>
      <c r="T679" t="str">
        <f t="shared" si="36"/>
        <v>机构2016-06</v>
      </c>
      <c r="U679">
        <f t="shared" ca="1" si="37"/>
        <v>195052</v>
      </c>
    </row>
    <row r="680" spans="1:21" x14ac:dyDescent="0.15">
      <c r="A680" t="str">
        <f>公司整体!A680</f>
        <v>江苏</v>
      </c>
      <c r="B680" t="str">
        <f>公司整体!B680</f>
        <v>2016-06</v>
      </c>
      <c r="C680">
        <f ca="1">INDIRECT(ADDRESS(ROW(C680),MATCH(公司各渠道指标可视化!$C$4,公司整体!$1:$1,0),3,1,"公司整体"),TRUE)</f>
        <v>2921</v>
      </c>
      <c r="T680" t="str">
        <f t="shared" si="36"/>
        <v>江苏2016-06</v>
      </c>
      <c r="U680">
        <f t="shared" ca="1" si="37"/>
        <v>2921</v>
      </c>
    </row>
    <row r="681" spans="1:21" x14ac:dyDescent="0.15">
      <c r="A681" t="str">
        <f>公司整体!A681</f>
        <v>山东</v>
      </c>
      <c r="B681" t="str">
        <f>公司整体!B681</f>
        <v>2016-06</v>
      </c>
      <c r="C681">
        <f ca="1">INDIRECT(ADDRESS(ROW(C681),MATCH(公司各渠道指标可视化!$C$4,公司整体!$1:$1,0),3,1,"公司整体"),TRUE)</f>
        <v>0</v>
      </c>
      <c r="T681" t="str">
        <f t="shared" si="36"/>
        <v>山东2016-06</v>
      </c>
      <c r="U681">
        <f t="shared" ca="1" si="37"/>
        <v>0</v>
      </c>
    </row>
    <row r="682" spans="1:21" x14ac:dyDescent="0.15">
      <c r="A682" t="str">
        <f>公司整体!A682</f>
        <v>上海</v>
      </c>
      <c r="B682" t="str">
        <f>公司整体!B682</f>
        <v>2016-06</v>
      </c>
      <c r="C682">
        <f ca="1">INDIRECT(ADDRESS(ROW(C682),MATCH(公司各渠道指标可视化!$C$4,公司整体!$1:$1,0),3,1,"公司整体"),TRUE)</f>
        <v>4526</v>
      </c>
      <c r="T682" t="str">
        <f t="shared" si="36"/>
        <v>上海2016-06</v>
      </c>
      <c r="U682">
        <f t="shared" ca="1" si="37"/>
        <v>4526</v>
      </c>
    </row>
    <row r="683" spans="1:21" x14ac:dyDescent="0.15">
      <c r="A683" t="str">
        <f>公司整体!A683</f>
        <v>深圳</v>
      </c>
      <c r="B683" t="str">
        <f>公司整体!B683</f>
        <v>2016-06</v>
      </c>
      <c r="C683">
        <f ca="1">INDIRECT(ADDRESS(ROW(C683),MATCH(公司各渠道指标可视化!$C$4,公司整体!$1:$1,0),3,1,"公司整体"),TRUE)</f>
        <v>42466</v>
      </c>
      <c r="T683" t="str">
        <f t="shared" si="36"/>
        <v>深圳2016-06</v>
      </c>
      <c r="U683">
        <f t="shared" ca="1" si="37"/>
        <v>42466</v>
      </c>
    </row>
    <row r="684" spans="1:21" x14ac:dyDescent="0.15">
      <c r="A684" t="str">
        <f>公司整体!A684</f>
        <v>四川</v>
      </c>
      <c r="B684" t="str">
        <f>公司整体!B684</f>
        <v>2016-06</v>
      </c>
      <c r="C684">
        <f ca="1">INDIRECT(ADDRESS(ROW(C684),MATCH(公司各渠道指标可视化!$C$4,公司整体!$1:$1,0),3,1,"公司整体"),TRUE)</f>
        <v>17176</v>
      </c>
      <c r="T684" t="str">
        <f t="shared" si="36"/>
        <v>四川2016-06</v>
      </c>
      <c r="U684">
        <f t="shared" ca="1" si="37"/>
        <v>17176</v>
      </c>
    </row>
    <row r="685" spans="1:21" x14ac:dyDescent="0.15">
      <c r="A685" t="str">
        <f>公司整体!A685</f>
        <v>苏州</v>
      </c>
      <c r="B685" t="str">
        <f>公司整体!B685</f>
        <v>2016-06</v>
      </c>
      <c r="C685">
        <f ca="1">INDIRECT(ADDRESS(ROW(C685),MATCH(公司各渠道指标可视化!$C$4,公司整体!$1:$1,0),3,1,"公司整体"),TRUE)</f>
        <v>1863</v>
      </c>
      <c r="T685" t="str">
        <f t="shared" si="36"/>
        <v>苏州2016-06</v>
      </c>
      <c r="U685">
        <f t="shared" ca="1" si="37"/>
        <v>1863</v>
      </c>
    </row>
    <row r="686" spans="1:21" x14ac:dyDescent="0.15">
      <c r="A686" t="str">
        <f>公司整体!A686</f>
        <v>中山</v>
      </c>
      <c r="B686" t="str">
        <f>公司整体!B686</f>
        <v>2016-06</v>
      </c>
      <c r="C686">
        <f ca="1">INDIRECT(ADDRESS(ROW(C686),MATCH(公司各渠道指标可视化!$C$4,公司整体!$1:$1,0),3,1,"公司整体"),TRUE)</f>
        <v>9488</v>
      </c>
      <c r="T686" t="str">
        <f t="shared" si="36"/>
        <v>中山2016-06</v>
      </c>
      <c r="U686">
        <f t="shared" ca="1" si="37"/>
        <v>9488</v>
      </c>
    </row>
    <row r="687" spans="1:21" x14ac:dyDescent="0.15">
      <c r="A687" t="str">
        <f>公司整体!A687</f>
        <v>珠海</v>
      </c>
      <c r="B687" t="str">
        <f>公司整体!B687</f>
        <v>2016-06</v>
      </c>
      <c r="C687">
        <f ca="1">INDIRECT(ADDRESS(ROW(C687),MATCH(公司各渠道指标可视化!$C$4,公司整体!$1:$1,0),3,1,"公司整体"),TRUE)</f>
        <v>5269</v>
      </c>
      <c r="T687" t="str">
        <f t="shared" si="36"/>
        <v>珠海2016-06</v>
      </c>
      <c r="U687">
        <f t="shared" ca="1" si="37"/>
        <v>5269</v>
      </c>
    </row>
    <row r="688" spans="1:21" x14ac:dyDescent="0.15">
      <c r="A688" t="str">
        <f>公司整体!A688</f>
        <v>东莞</v>
      </c>
      <c r="B688" t="str">
        <f>公司整体!B688</f>
        <v>2016-07</v>
      </c>
      <c r="C688">
        <f ca="1">INDIRECT(ADDRESS(ROW(C688),MATCH(公司各渠道指标可视化!$C$4,公司整体!$1:$1,0),3,1,"公司整体"),TRUE)</f>
        <v>33842</v>
      </c>
      <c r="T688" t="str">
        <f t="shared" si="36"/>
        <v>东莞2016-07</v>
      </c>
      <c r="U688">
        <f t="shared" ca="1" si="37"/>
        <v>33842</v>
      </c>
    </row>
    <row r="689" spans="1:21" x14ac:dyDescent="0.15">
      <c r="A689" t="str">
        <f>公司整体!A689</f>
        <v>佛山</v>
      </c>
      <c r="B689" t="str">
        <f>公司整体!B689</f>
        <v>2016-07</v>
      </c>
      <c r="C689">
        <f ca="1">INDIRECT(ADDRESS(ROW(C689),MATCH(公司各渠道指标可视化!$C$4,公司整体!$1:$1,0),3,1,"公司整体"),TRUE)</f>
        <v>45900</v>
      </c>
      <c r="T689" t="str">
        <f t="shared" si="36"/>
        <v>佛山2016-07</v>
      </c>
      <c r="U689">
        <f t="shared" ca="1" si="37"/>
        <v>45900</v>
      </c>
    </row>
    <row r="690" spans="1:21" x14ac:dyDescent="0.15">
      <c r="A690" t="str">
        <f>公司整体!A690</f>
        <v>广东</v>
      </c>
      <c r="B690" t="str">
        <f>公司整体!B690</f>
        <v>2016-07</v>
      </c>
      <c r="C690">
        <f ca="1">INDIRECT(ADDRESS(ROW(C690),MATCH(公司各渠道指标可视化!$C$4,公司整体!$1:$1,0),3,1,"公司整体"),TRUE)</f>
        <v>59348</v>
      </c>
      <c r="T690" t="str">
        <f t="shared" si="36"/>
        <v>广东2016-07</v>
      </c>
      <c r="U690">
        <f t="shared" ca="1" si="37"/>
        <v>59348</v>
      </c>
    </row>
    <row r="691" spans="1:21" x14ac:dyDescent="0.15">
      <c r="A691" t="str">
        <f>公司整体!A691</f>
        <v>广州</v>
      </c>
      <c r="B691" t="str">
        <f>公司整体!B691</f>
        <v>2016-07</v>
      </c>
      <c r="C691">
        <f ca="1">INDIRECT(ADDRESS(ROW(C691),MATCH(公司各渠道指标可视化!$C$4,公司整体!$1:$1,0),3,1,"公司整体"),TRUE)</f>
        <v>43510</v>
      </c>
      <c r="T691" t="str">
        <f t="shared" si="36"/>
        <v>广州2016-07</v>
      </c>
      <c r="U691">
        <f t="shared" ca="1" si="37"/>
        <v>43510</v>
      </c>
    </row>
    <row r="692" spans="1:21" x14ac:dyDescent="0.15">
      <c r="A692" t="str">
        <f>公司整体!A692</f>
        <v>湖北</v>
      </c>
      <c r="B692" t="str">
        <f>公司整体!B692</f>
        <v>2016-07</v>
      </c>
      <c r="C692">
        <f ca="1">INDIRECT(ADDRESS(ROW(C692),MATCH(公司各渠道指标可视化!$C$4,公司整体!$1:$1,0),3,1,"公司整体"),TRUE)</f>
        <v>834</v>
      </c>
      <c r="T692" t="str">
        <f t="shared" si="36"/>
        <v>湖北2016-07</v>
      </c>
      <c r="U692">
        <f t="shared" ca="1" si="37"/>
        <v>834</v>
      </c>
    </row>
    <row r="693" spans="1:21" x14ac:dyDescent="0.15">
      <c r="A693" t="str">
        <f>公司整体!A693</f>
        <v>机构</v>
      </c>
      <c r="B693" t="str">
        <f>公司整体!B693</f>
        <v>2016-07</v>
      </c>
      <c r="C693">
        <f ca="1">INDIRECT(ADDRESS(ROW(C693),MATCH(公司各渠道指标可视化!$C$4,公司整体!$1:$1,0),3,1,"公司整体"),TRUE)</f>
        <v>367650</v>
      </c>
      <c r="T693" t="str">
        <f t="shared" si="36"/>
        <v>机构2016-07</v>
      </c>
      <c r="U693">
        <f t="shared" ca="1" si="37"/>
        <v>367650</v>
      </c>
    </row>
    <row r="694" spans="1:21" x14ac:dyDescent="0.15">
      <c r="A694" t="str">
        <f>公司整体!A694</f>
        <v>江苏</v>
      </c>
      <c r="B694" t="str">
        <f>公司整体!B694</f>
        <v>2016-07</v>
      </c>
      <c r="C694">
        <f ca="1">INDIRECT(ADDRESS(ROW(C694),MATCH(公司各渠道指标可视化!$C$4,公司整体!$1:$1,0),3,1,"公司整体"),TRUE)</f>
        <v>59118</v>
      </c>
      <c r="T694" t="str">
        <f t="shared" si="36"/>
        <v>江苏2016-07</v>
      </c>
      <c r="U694">
        <f t="shared" ca="1" si="37"/>
        <v>59118</v>
      </c>
    </row>
    <row r="695" spans="1:21" x14ac:dyDescent="0.15">
      <c r="A695" t="str">
        <f>公司整体!A695</f>
        <v>山东</v>
      </c>
      <c r="B695" t="str">
        <f>公司整体!B695</f>
        <v>2016-07</v>
      </c>
      <c r="C695">
        <f ca="1">INDIRECT(ADDRESS(ROW(C695),MATCH(公司各渠道指标可视化!$C$4,公司整体!$1:$1,0),3,1,"公司整体"),TRUE)</f>
        <v>0</v>
      </c>
      <c r="T695" t="str">
        <f t="shared" si="36"/>
        <v>山东2016-07</v>
      </c>
      <c r="U695">
        <f t="shared" ca="1" si="37"/>
        <v>0</v>
      </c>
    </row>
    <row r="696" spans="1:21" x14ac:dyDescent="0.15">
      <c r="A696" t="str">
        <f>公司整体!A696</f>
        <v>上海</v>
      </c>
      <c r="B696" t="str">
        <f>公司整体!B696</f>
        <v>2016-07</v>
      </c>
      <c r="C696">
        <f ca="1">INDIRECT(ADDRESS(ROW(C696),MATCH(公司各渠道指标可视化!$C$4,公司整体!$1:$1,0),3,1,"公司整体"),TRUE)</f>
        <v>24457</v>
      </c>
      <c r="T696" t="str">
        <f t="shared" si="36"/>
        <v>上海2016-07</v>
      </c>
      <c r="U696">
        <f t="shared" ca="1" si="37"/>
        <v>24457</v>
      </c>
    </row>
    <row r="697" spans="1:21" x14ac:dyDescent="0.15">
      <c r="A697" t="str">
        <f>公司整体!A697</f>
        <v>深圳</v>
      </c>
      <c r="B697" t="str">
        <f>公司整体!B697</f>
        <v>2016-07</v>
      </c>
      <c r="C697">
        <f ca="1">INDIRECT(ADDRESS(ROW(C697),MATCH(公司各渠道指标可视化!$C$4,公司整体!$1:$1,0),3,1,"公司整体"),TRUE)</f>
        <v>36875</v>
      </c>
      <c r="T697" t="str">
        <f t="shared" si="36"/>
        <v>深圳2016-07</v>
      </c>
      <c r="U697">
        <f t="shared" ca="1" si="37"/>
        <v>36875</v>
      </c>
    </row>
    <row r="698" spans="1:21" x14ac:dyDescent="0.15">
      <c r="A698" t="str">
        <f>公司整体!A698</f>
        <v>四川</v>
      </c>
      <c r="B698" t="str">
        <f>公司整体!B698</f>
        <v>2016-07</v>
      </c>
      <c r="C698">
        <f ca="1">INDIRECT(ADDRESS(ROW(C698),MATCH(公司各渠道指标可视化!$C$4,公司整体!$1:$1,0),3,1,"公司整体"),TRUE)</f>
        <v>25464</v>
      </c>
      <c r="T698" t="str">
        <f t="shared" si="36"/>
        <v>四川2016-07</v>
      </c>
      <c r="U698">
        <f t="shared" ca="1" si="37"/>
        <v>25464</v>
      </c>
    </row>
    <row r="699" spans="1:21" x14ac:dyDescent="0.15">
      <c r="A699" t="str">
        <f>公司整体!A699</f>
        <v>苏州</v>
      </c>
      <c r="B699" t="str">
        <f>公司整体!B699</f>
        <v>2016-07</v>
      </c>
      <c r="C699">
        <f ca="1">INDIRECT(ADDRESS(ROW(C699),MATCH(公司各渠道指标可视化!$C$4,公司整体!$1:$1,0),3,1,"公司整体"),TRUE)</f>
        <v>6871</v>
      </c>
      <c r="T699" t="str">
        <f t="shared" si="36"/>
        <v>苏州2016-07</v>
      </c>
      <c r="U699">
        <f t="shared" ca="1" si="37"/>
        <v>6871</v>
      </c>
    </row>
    <row r="700" spans="1:21" x14ac:dyDescent="0.15">
      <c r="A700" t="str">
        <f>公司整体!A700</f>
        <v>中山</v>
      </c>
      <c r="B700" t="str">
        <f>公司整体!B700</f>
        <v>2016-07</v>
      </c>
      <c r="C700">
        <f ca="1">INDIRECT(ADDRESS(ROW(C700),MATCH(公司各渠道指标可视化!$C$4,公司整体!$1:$1,0),3,1,"公司整体"),TRUE)</f>
        <v>20958</v>
      </c>
      <c r="T700" t="str">
        <f t="shared" si="36"/>
        <v>中山2016-07</v>
      </c>
      <c r="U700">
        <f t="shared" ca="1" si="37"/>
        <v>20958</v>
      </c>
    </row>
    <row r="701" spans="1:21" x14ac:dyDescent="0.15">
      <c r="A701" t="str">
        <f>公司整体!A701</f>
        <v>珠海</v>
      </c>
      <c r="B701" t="str">
        <f>公司整体!B701</f>
        <v>2016-07</v>
      </c>
      <c r="C701">
        <f ca="1">INDIRECT(ADDRESS(ROW(C701),MATCH(公司各渠道指标可视化!$C$4,公司整体!$1:$1,0),3,1,"公司整体"),TRUE)</f>
        <v>10475</v>
      </c>
      <c r="T701" t="str">
        <f t="shared" si="36"/>
        <v>珠海2016-07</v>
      </c>
      <c r="U701">
        <f t="shared" ca="1" si="37"/>
        <v>10475</v>
      </c>
    </row>
    <row r="702" spans="1:21" x14ac:dyDescent="0.15">
      <c r="A702" t="str">
        <f>公司整体!A702</f>
        <v>东莞</v>
      </c>
      <c r="B702" t="str">
        <f>公司整体!B702</f>
        <v>2016-08</v>
      </c>
      <c r="C702">
        <f ca="1">INDIRECT(ADDRESS(ROW(C702),MATCH(公司各渠道指标可视化!$C$4,公司整体!$1:$1,0),3,1,"公司整体"),TRUE)</f>
        <v>48970</v>
      </c>
      <c r="T702" t="str">
        <f t="shared" si="36"/>
        <v>东莞2016-08</v>
      </c>
      <c r="U702">
        <f t="shared" ca="1" si="37"/>
        <v>48970</v>
      </c>
    </row>
    <row r="703" spans="1:21" x14ac:dyDescent="0.15">
      <c r="A703" t="str">
        <f>公司整体!A703</f>
        <v>佛山</v>
      </c>
      <c r="B703" t="str">
        <f>公司整体!B703</f>
        <v>2016-08</v>
      </c>
      <c r="C703">
        <f ca="1">INDIRECT(ADDRESS(ROW(C703),MATCH(公司各渠道指标可视化!$C$4,公司整体!$1:$1,0),3,1,"公司整体"),TRUE)</f>
        <v>57224</v>
      </c>
      <c r="T703" t="str">
        <f t="shared" si="36"/>
        <v>佛山2016-08</v>
      </c>
      <c r="U703">
        <f t="shared" ca="1" si="37"/>
        <v>57224</v>
      </c>
    </row>
    <row r="704" spans="1:21" x14ac:dyDescent="0.15">
      <c r="A704" t="str">
        <f>公司整体!A704</f>
        <v>广东</v>
      </c>
      <c r="B704" t="str">
        <f>公司整体!B704</f>
        <v>2016-08</v>
      </c>
      <c r="C704">
        <f ca="1">INDIRECT(ADDRESS(ROW(C704),MATCH(公司各渠道指标可视化!$C$4,公司整体!$1:$1,0),3,1,"公司整体"),TRUE)</f>
        <v>92159</v>
      </c>
      <c r="T704" t="str">
        <f t="shared" si="36"/>
        <v>广东2016-08</v>
      </c>
      <c r="U704">
        <f t="shared" ca="1" si="37"/>
        <v>92159</v>
      </c>
    </row>
    <row r="705" spans="1:21" x14ac:dyDescent="0.15">
      <c r="A705" t="str">
        <f>公司整体!A705</f>
        <v>广州</v>
      </c>
      <c r="B705" t="str">
        <f>公司整体!B705</f>
        <v>2016-08</v>
      </c>
      <c r="C705">
        <f ca="1">INDIRECT(ADDRESS(ROW(C705),MATCH(公司各渠道指标可视化!$C$4,公司整体!$1:$1,0),3,1,"公司整体"),TRUE)</f>
        <v>66594</v>
      </c>
      <c r="T705" t="str">
        <f t="shared" si="36"/>
        <v>广州2016-08</v>
      </c>
      <c r="U705">
        <f t="shared" ca="1" si="37"/>
        <v>66594</v>
      </c>
    </row>
    <row r="706" spans="1:21" x14ac:dyDescent="0.15">
      <c r="A706" t="str">
        <f>公司整体!A706</f>
        <v>湖北</v>
      </c>
      <c r="B706" t="str">
        <f>公司整体!B706</f>
        <v>2016-08</v>
      </c>
      <c r="C706">
        <f ca="1">INDIRECT(ADDRESS(ROW(C706),MATCH(公司各渠道指标可视化!$C$4,公司整体!$1:$1,0),3,1,"公司整体"),TRUE)</f>
        <v>979</v>
      </c>
      <c r="T706" t="str">
        <f t="shared" si="36"/>
        <v>湖北2016-08</v>
      </c>
      <c r="U706">
        <f t="shared" ca="1" si="37"/>
        <v>979</v>
      </c>
    </row>
    <row r="707" spans="1:21" x14ac:dyDescent="0.15">
      <c r="A707" t="str">
        <f>公司整体!A707</f>
        <v>机构</v>
      </c>
      <c r="B707" t="str">
        <f>公司整体!B707</f>
        <v>2016-08</v>
      </c>
      <c r="C707">
        <f ca="1">INDIRECT(ADDRESS(ROW(C707),MATCH(公司各渠道指标可视化!$C$4,公司整体!$1:$1,0),3,1,"公司整体"),TRUE)</f>
        <v>541772</v>
      </c>
      <c r="T707" t="str">
        <f t="shared" si="36"/>
        <v>机构2016-08</v>
      </c>
      <c r="U707">
        <f t="shared" ca="1" si="37"/>
        <v>541772</v>
      </c>
    </row>
    <row r="708" spans="1:21" x14ac:dyDescent="0.15">
      <c r="A708" t="str">
        <f>公司整体!A708</f>
        <v>江苏</v>
      </c>
      <c r="B708" t="str">
        <f>公司整体!B708</f>
        <v>2016-08</v>
      </c>
      <c r="C708">
        <f ca="1">INDIRECT(ADDRESS(ROW(C708),MATCH(公司各渠道指标可视化!$C$4,公司整体!$1:$1,0),3,1,"公司整体"),TRUE)</f>
        <v>121357</v>
      </c>
      <c r="T708" t="str">
        <f t="shared" si="36"/>
        <v>江苏2016-08</v>
      </c>
      <c r="U708">
        <f t="shared" ca="1" si="37"/>
        <v>121357</v>
      </c>
    </row>
    <row r="709" spans="1:21" x14ac:dyDescent="0.15">
      <c r="A709" t="str">
        <f>公司整体!A709</f>
        <v>山东</v>
      </c>
      <c r="B709" t="str">
        <f>公司整体!B709</f>
        <v>2016-08</v>
      </c>
      <c r="C709">
        <f ca="1">INDIRECT(ADDRESS(ROW(C709),MATCH(公司各渠道指标可视化!$C$4,公司整体!$1:$1,0),3,1,"公司整体"),TRUE)</f>
        <v>0</v>
      </c>
      <c r="T709" t="str">
        <f t="shared" si="36"/>
        <v>山东2016-08</v>
      </c>
      <c r="U709">
        <f t="shared" ca="1" si="37"/>
        <v>0</v>
      </c>
    </row>
    <row r="710" spans="1:21" x14ac:dyDescent="0.15">
      <c r="A710" t="str">
        <f>公司整体!A710</f>
        <v>上海</v>
      </c>
      <c r="B710" t="str">
        <f>公司整体!B710</f>
        <v>2016-08</v>
      </c>
      <c r="C710">
        <f ca="1">INDIRECT(ADDRESS(ROW(C710),MATCH(公司各渠道指标可视化!$C$4,公司整体!$1:$1,0),3,1,"公司整体"),TRUE)</f>
        <v>20489</v>
      </c>
      <c r="T710" t="str">
        <f t="shared" si="36"/>
        <v>上海2016-08</v>
      </c>
      <c r="U710">
        <f t="shared" ca="1" si="37"/>
        <v>20489</v>
      </c>
    </row>
    <row r="711" spans="1:21" x14ac:dyDescent="0.15">
      <c r="A711" t="str">
        <f>公司整体!A711</f>
        <v>深圳</v>
      </c>
      <c r="B711" t="str">
        <f>公司整体!B711</f>
        <v>2016-08</v>
      </c>
      <c r="C711">
        <f ca="1">INDIRECT(ADDRESS(ROW(C711),MATCH(公司各渠道指标可视化!$C$4,公司整体!$1:$1,0),3,1,"公司整体"),TRUE)</f>
        <v>27764</v>
      </c>
      <c r="T711" t="str">
        <f t="shared" si="36"/>
        <v>深圳2016-08</v>
      </c>
      <c r="U711">
        <f t="shared" ca="1" si="37"/>
        <v>27764</v>
      </c>
    </row>
    <row r="712" spans="1:21" x14ac:dyDescent="0.15">
      <c r="A712" t="str">
        <f>公司整体!A712</f>
        <v>四川</v>
      </c>
      <c r="B712" t="str">
        <f>公司整体!B712</f>
        <v>2016-08</v>
      </c>
      <c r="C712">
        <f ca="1">INDIRECT(ADDRESS(ROW(C712),MATCH(公司各渠道指标可视化!$C$4,公司整体!$1:$1,0),3,1,"公司整体"),TRUE)</f>
        <v>33028</v>
      </c>
      <c r="T712" t="str">
        <f t="shared" si="36"/>
        <v>四川2016-08</v>
      </c>
      <c r="U712">
        <f t="shared" ca="1" si="37"/>
        <v>33028</v>
      </c>
    </row>
    <row r="713" spans="1:21" x14ac:dyDescent="0.15">
      <c r="A713" t="str">
        <f>公司整体!A713</f>
        <v>苏州</v>
      </c>
      <c r="B713" t="str">
        <f>公司整体!B713</f>
        <v>2016-08</v>
      </c>
      <c r="C713">
        <f ca="1">INDIRECT(ADDRESS(ROW(C713),MATCH(公司各渠道指标可视化!$C$4,公司整体!$1:$1,0),3,1,"公司整体"),TRUE)</f>
        <v>26527</v>
      </c>
      <c r="T713" t="str">
        <f t="shared" si="36"/>
        <v>苏州2016-08</v>
      </c>
      <c r="U713">
        <f t="shared" ca="1" si="37"/>
        <v>26527</v>
      </c>
    </row>
    <row r="714" spans="1:21" x14ac:dyDescent="0.15">
      <c r="A714" t="str">
        <f>公司整体!A714</f>
        <v>中山</v>
      </c>
      <c r="B714" t="str">
        <f>公司整体!B714</f>
        <v>2016-08</v>
      </c>
      <c r="C714">
        <f ca="1">INDIRECT(ADDRESS(ROW(C714),MATCH(公司各渠道指标可视化!$C$4,公司整体!$1:$1,0),3,1,"公司整体"),TRUE)</f>
        <v>29637</v>
      </c>
      <c r="T714" t="str">
        <f t="shared" si="36"/>
        <v>中山2016-08</v>
      </c>
      <c r="U714">
        <f t="shared" ca="1" si="37"/>
        <v>29637</v>
      </c>
    </row>
    <row r="715" spans="1:21" x14ac:dyDescent="0.15">
      <c r="A715" t="str">
        <f>公司整体!A715</f>
        <v>珠海</v>
      </c>
      <c r="B715" t="str">
        <f>公司整体!B715</f>
        <v>2016-08</v>
      </c>
      <c r="C715">
        <f ca="1">INDIRECT(ADDRESS(ROW(C715),MATCH(公司各渠道指标可视化!$C$4,公司整体!$1:$1,0),3,1,"公司整体"),TRUE)</f>
        <v>17045</v>
      </c>
      <c r="T715" t="str">
        <f t="shared" si="36"/>
        <v>珠海2016-08</v>
      </c>
      <c r="U715">
        <f t="shared" ca="1" si="37"/>
        <v>17045</v>
      </c>
    </row>
    <row r="716" spans="1:21" x14ac:dyDescent="0.15">
      <c r="A716" t="str">
        <f>公司整体!A716</f>
        <v>东莞</v>
      </c>
      <c r="B716" t="str">
        <f>公司整体!B716</f>
        <v>2016-09</v>
      </c>
      <c r="C716">
        <f ca="1">INDIRECT(ADDRESS(ROW(C716),MATCH(公司各渠道指标可视化!$C$4,公司整体!$1:$1,0),3,1,"公司整体"),TRUE)</f>
        <v>37659</v>
      </c>
      <c r="T716" t="str">
        <f t="shared" si="36"/>
        <v>东莞2016-09</v>
      </c>
      <c r="U716">
        <f t="shared" ca="1" si="37"/>
        <v>37659</v>
      </c>
    </row>
    <row r="717" spans="1:21" x14ac:dyDescent="0.15">
      <c r="A717" t="str">
        <f>公司整体!A717</f>
        <v>佛山</v>
      </c>
      <c r="B717" t="str">
        <f>公司整体!B717</f>
        <v>2016-09</v>
      </c>
      <c r="C717">
        <f ca="1">INDIRECT(ADDRESS(ROW(C717),MATCH(公司各渠道指标可视化!$C$4,公司整体!$1:$1,0),3,1,"公司整体"),TRUE)</f>
        <v>72271</v>
      </c>
      <c r="T717" t="str">
        <f t="shared" si="36"/>
        <v>佛山2016-09</v>
      </c>
      <c r="U717">
        <f t="shared" ca="1" si="37"/>
        <v>72271</v>
      </c>
    </row>
    <row r="718" spans="1:21" x14ac:dyDescent="0.15">
      <c r="A718" t="str">
        <f>公司整体!A718</f>
        <v>广东</v>
      </c>
      <c r="B718" t="str">
        <f>公司整体!B718</f>
        <v>2016-09</v>
      </c>
      <c r="C718">
        <f ca="1">INDIRECT(ADDRESS(ROW(C718),MATCH(公司各渠道指标可视化!$C$4,公司整体!$1:$1,0),3,1,"公司整体"),TRUE)</f>
        <v>110461</v>
      </c>
      <c r="T718" t="str">
        <f t="shared" si="36"/>
        <v>广东2016-09</v>
      </c>
      <c r="U718">
        <f t="shared" ca="1" si="37"/>
        <v>110461</v>
      </c>
    </row>
    <row r="719" spans="1:21" x14ac:dyDescent="0.15">
      <c r="A719" t="str">
        <f>公司整体!A719</f>
        <v>广州</v>
      </c>
      <c r="B719" t="str">
        <f>公司整体!B719</f>
        <v>2016-09</v>
      </c>
      <c r="C719">
        <f ca="1">INDIRECT(ADDRESS(ROW(C719),MATCH(公司各渠道指标可视化!$C$4,公司整体!$1:$1,0),3,1,"公司整体"),TRUE)</f>
        <v>96364</v>
      </c>
      <c r="T719" t="str">
        <f t="shared" si="36"/>
        <v>广州2016-09</v>
      </c>
      <c r="U719">
        <f t="shared" ca="1" si="37"/>
        <v>96364</v>
      </c>
    </row>
    <row r="720" spans="1:21" x14ac:dyDescent="0.15">
      <c r="A720" t="str">
        <f>公司整体!A720</f>
        <v>湖北</v>
      </c>
      <c r="B720" t="str">
        <f>公司整体!B720</f>
        <v>2016-09</v>
      </c>
      <c r="C720">
        <f ca="1">INDIRECT(ADDRESS(ROW(C720),MATCH(公司各渠道指标可视化!$C$4,公司整体!$1:$1,0),3,1,"公司整体"),TRUE)</f>
        <v>2426</v>
      </c>
      <c r="T720" t="str">
        <f t="shared" si="36"/>
        <v>湖北2016-09</v>
      </c>
      <c r="U720">
        <f t="shared" ca="1" si="37"/>
        <v>2426</v>
      </c>
    </row>
    <row r="721" spans="1:21" x14ac:dyDescent="0.15">
      <c r="A721" t="str">
        <f>公司整体!A721</f>
        <v>机构</v>
      </c>
      <c r="B721" t="str">
        <f>公司整体!B721</f>
        <v>2016-09</v>
      </c>
      <c r="C721">
        <f ca="1">INDIRECT(ADDRESS(ROW(C721),MATCH(公司各渠道指标可视化!$C$4,公司整体!$1:$1,0),3,1,"公司整体"),TRUE)</f>
        <v>586802</v>
      </c>
      <c r="T721" t="str">
        <f t="shared" si="36"/>
        <v>机构2016-09</v>
      </c>
      <c r="U721">
        <f t="shared" ca="1" si="37"/>
        <v>586802</v>
      </c>
    </row>
    <row r="722" spans="1:21" x14ac:dyDescent="0.15">
      <c r="A722" t="str">
        <f>公司整体!A722</f>
        <v>江苏</v>
      </c>
      <c r="B722" t="str">
        <f>公司整体!B722</f>
        <v>2016-09</v>
      </c>
      <c r="C722">
        <f ca="1">INDIRECT(ADDRESS(ROW(C722),MATCH(公司各渠道指标可视化!$C$4,公司整体!$1:$1,0),3,1,"公司整体"),TRUE)</f>
        <v>104569</v>
      </c>
      <c r="T722" t="str">
        <f t="shared" si="36"/>
        <v>江苏2016-09</v>
      </c>
      <c r="U722">
        <f t="shared" ca="1" si="37"/>
        <v>104569</v>
      </c>
    </row>
    <row r="723" spans="1:21" x14ac:dyDescent="0.15">
      <c r="A723" t="str">
        <f>公司整体!A723</f>
        <v>山东</v>
      </c>
      <c r="B723" t="str">
        <f>公司整体!B723</f>
        <v>2016-09</v>
      </c>
      <c r="C723">
        <f ca="1">INDIRECT(ADDRESS(ROW(C723),MATCH(公司各渠道指标可视化!$C$4,公司整体!$1:$1,0),3,1,"公司整体"),TRUE)</f>
        <v>0</v>
      </c>
      <c r="T723" t="str">
        <f t="shared" si="36"/>
        <v>山东2016-09</v>
      </c>
      <c r="U723">
        <f t="shared" ca="1" si="37"/>
        <v>0</v>
      </c>
    </row>
    <row r="724" spans="1:21" x14ac:dyDescent="0.15">
      <c r="A724" t="str">
        <f>公司整体!A724</f>
        <v>上海</v>
      </c>
      <c r="B724" t="str">
        <f>公司整体!B724</f>
        <v>2016-09</v>
      </c>
      <c r="C724">
        <f ca="1">INDIRECT(ADDRESS(ROW(C724),MATCH(公司各渠道指标可视化!$C$4,公司整体!$1:$1,0),3,1,"公司整体"),TRUE)</f>
        <v>29240</v>
      </c>
      <c r="T724" t="str">
        <f t="shared" si="36"/>
        <v>上海2016-09</v>
      </c>
      <c r="U724">
        <f t="shared" ca="1" si="37"/>
        <v>29240</v>
      </c>
    </row>
    <row r="725" spans="1:21" x14ac:dyDescent="0.15">
      <c r="A725" t="str">
        <f>公司整体!A725</f>
        <v>深圳</v>
      </c>
      <c r="B725" t="str">
        <f>公司整体!B725</f>
        <v>2016-09</v>
      </c>
      <c r="C725">
        <f ca="1">INDIRECT(ADDRESS(ROW(C725),MATCH(公司各渠道指标可视化!$C$4,公司整体!$1:$1,0),3,1,"公司整体"),TRUE)</f>
        <v>33029</v>
      </c>
      <c r="T725" t="str">
        <f t="shared" si="36"/>
        <v>深圳2016-09</v>
      </c>
      <c r="U725">
        <f t="shared" ca="1" si="37"/>
        <v>33029</v>
      </c>
    </row>
    <row r="726" spans="1:21" x14ac:dyDescent="0.15">
      <c r="A726" t="str">
        <f>公司整体!A726</f>
        <v>四川</v>
      </c>
      <c r="B726" t="str">
        <f>公司整体!B726</f>
        <v>2016-09</v>
      </c>
      <c r="C726">
        <f ca="1">INDIRECT(ADDRESS(ROW(C726),MATCH(公司各渠道指标可视化!$C$4,公司整体!$1:$1,0),3,1,"公司整体"),TRUE)</f>
        <v>37233</v>
      </c>
      <c r="T726" t="str">
        <f t="shared" si="36"/>
        <v>四川2016-09</v>
      </c>
      <c r="U726">
        <f t="shared" ca="1" si="37"/>
        <v>37233</v>
      </c>
    </row>
    <row r="727" spans="1:21" x14ac:dyDescent="0.15">
      <c r="A727" t="str">
        <f>公司整体!A727</f>
        <v>苏州</v>
      </c>
      <c r="B727" t="str">
        <f>公司整体!B727</f>
        <v>2016-09</v>
      </c>
      <c r="C727">
        <f ca="1">INDIRECT(ADDRESS(ROW(C727),MATCH(公司各渠道指标可视化!$C$4,公司整体!$1:$1,0),3,1,"公司整体"),TRUE)</f>
        <v>22395</v>
      </c>
      <c r="T727" t="str">
        <f t="shared" ref="T727:T790" si="38">A727&amp;B727</f>
        <v>苏州2016-09</v>
      </c>
      <c r="U727">
        <f t="shared" ref="U727:U790" ca="1" si="39">C727</f>
        <v>22395</v>
      </c>
    </row>
    <row r="728" spans="1:21" x14ac:dyDescent="0.15">
      <c r="A728" t="str">
        <f>公司整体!A728</f>
        <v>中山</v>
      </c>
      <c r="B728" t="str">
        <f>公司整体!B728</f>
        <v>2016-09</v>
      </c>
      <c r="C728">
        <f ca="1">INDIRECT(ADDRESS(ROW(C728),MATCH(公司各渠道指标可视化!$C$4,公司整体!$1:$1,0),3,1,"公司整体"),TRUE)</f>
        <v>22999</v>
      </c>
      <c r="T728" t="str">
        <f t="shared" si="38"/>
        <v>中山2016-09</v>
      </c>
      <c r="U728">
        <f t="shared" ca="1" si="39"/>
        <v>22999</v>
      </c>
    </row>
    <row r="729" spans="1:21" x14ac:dyDescent="0.15">
      <c r="A729" t="str">
        <f>公司整体!A729</f>
        <v>珠海</v>
      </c>
      <c r="B729" t="str">
        <f>公司整体!B729</f>
        <v>2016-09</v>
      </c>
      <c r="C729">
        <f ca="1">INDIRECT(ADDRESS(ROW(C729),MATCH(公司各渠道指标可视化!$C$4,公司整体!$1:$1,0),3,1,"公司整体"),TRUE)</f>
        <v>18156</v>
      </c>
      <c r="T729" t="str">
        <f t="shared" si="38"/>
        <v>珠海2016-09</v>
      </c>
      <c r="U729">
        <f t="shared" ca="1" si="39"/>
        <v>18156</v>
      </c>
    </row>
    <row r="730" spans="1:21" x14ac:dyDescent="0.15">
      <c r="A730" t="str">
        <f>公司整体!A730</f>
        <v>东莞</v>
      </c>
      <c r="B730" t="str">
        <f>公司整体!B730</f>
        <v>2016-10</v>
      </c>
      <c r="C730">
        <f ca="1">INDIRECT(ADDRESS(ROW(C730),MATCH(公司各渠道指标可视化!$C$4,公司整体!$1:$1,0),3,1,"公司整体"),TRUE)</f>
        <v>10948</v>
      </c>
      <c r="T730" t="str">
        <f t="shared" si="38"/>
        <v>东莞2016-10</v>
      </c>
      <c r="U730">
        <f t="shared" ca="1" si="39"/>
        <v>10948</v>
      </c>
    </row>
    <row r="731" spans="1:21" x14ac:dyDescent="0.15">
      <c r="A731" t="str">
        <f>公司整体!A731</f>
        <v>佛山</v>
      </c>
      <c r="B731" t="str">
        <f>公司整体!B731</f>
        <v>2016-10</v>
      </c>
      <c r="C731">
        <f ca="1">INDIRECT(ADDRESS(ROW(C731),MATCH(公司各渠道指标可视化!$C$4,公司整体!$1:$1,0),3,1,"公司整体"),TRUE)</f>
        <v>39358</v>
      </c>
      <c r="T731" t="str">
        <f t="shared" si="38"/>
        <v>佛山2016-10</v>
      </c>
      <c r="U731">
        <f t="shared" ca="1" si="39"/>
        <v>39358</v>
      </c>
    </row>
    <row r="732" spans="1:21" x14ac:dyDescent="0.15">
      <c r="A732" t="str">
        <f>公司整体!A732</f>
        <v>广东</v>
      </c>
      <c r="B732" t="str">
        <f>公司整体!B732</f>
        <v>2016-10</v>
      </c>
      <c r="C732">
        <f ca="1">INDIRECT(ADDRESS(ROW(C732),MATCH(公司各渠道指标可视化!$C$4,公司整体!$1:$1,0),3,1,"公司整体"),TRUE)</f>
        <v>63032</v>
      </c>
      <c r="T732" t="str">
        <f t="shared" si="38"/>
        <v>广东2016-10</v>
      </c>
      <c r="U732">
        <f t="shared" ca="1" si="39"/>
        <v>63032</v>
      </c>
    </row>
    <row r="733" spans="1:21" x14ac:dyDescent="0.15">
      <c r="A733" t="str">
        <f>公司整体!A733</f>
        <v>广州</v>
      </c>
      <c r="B733" t="str">
        <f>公司整体!B733</f>
        <v>2016-10</v>
      </c>
      <c r="C733">
        <f ca="1">INDIRECT(ADDRESS(ROW(C733),MATCH(公司各渠道指标可视化!$C$4,公司整体!$1:$1,0),3,1,"公司整体"),TRUE)</f>
        <v>46887</v>
      </c>
      <c r="T733" t="str">
        <f t="shared" si="38"/>
        <v>广州2016-10</v>
      </c>
      <c r="U733">
        <f t="shared" ca="1" si="39"/>
        <v>46887</v>
      </c>
    </row>
    <row r="734" spans="1:21" x14ac:dyDescent="0.15">
      <c r="A734" t="str">
        <f>公司整体!A734</f>
        <v>湖北</v>
      </c>
      <c r="B734" t="str">
        <f>公司整体!B734</f>
        <v>2016-10</v>
      </c>
      <c r="C734">
        <f ca="1">INDIRECT(ADDRESS(ROW(C734),MATCH(公司各渠道指标可视化!$C$4,公司整体!$1:$1,0),3,1,"公司整体"),TRUE)</f>
        <v>542</v>
      </c>
      <c r="T734" t="str">
        <f t="shared" si="38"/>
        <v>湖北2016-10</v>
      </c>
      <c r="U734">
        <f t="shared" ca="1" si="39"/>
        <v>542</v>
      </c>
    </row>
    <row r="735" spans="1:21" x14ac:dyDescent="0.15">
      <c r="A735" t="str">
        <f>公司整体!A735</f>
        <v>机构</v>
      </c>
      <c r="B735" t="str">
        <f>公司整体!B735</f>
        <v>2016-10</v>
      </c>
      <c r="C735">
        <f ca="1">INDIRECT(ADDRESS(ROW(C735),MATCH(公司各渠道指标可视化!$C$4,公司整体!$1:$1,0),3,1,"公司整体"),TRUE)</f>
        <v>301317</v>
      </c>
      <c r="T735" t="str">
        <f t="shared" si="38"/>
        <v>机构2016-10</v>
      </c>
      <c r="U735">
        <f t="shared" ca="1" si="39"/>
        <v>301317</v>
      </c>
    </row>
    <row r="736" spans="1:21" x14ac:dyDescent="0.15">
      <c r="A736" t="str">
        <f>公司整体!A736</f>
        <v>江苏</v>
      </c>
      <c r="B736" t="str">
        <f>公司整体!B736</f>
        <v>2016-10</v>
      </c>
      <c r="C736">
        <f ca="1">INDIRECT(ADDRESS(ROW(C736),MATCH(公司各渠道指标可视化!$C$4,公司整体!$1:$1,0),3,1,"公司整体"),TRUE)</f>
        <v>45261</v>
      </c>
      <c r="T736" t="str">
        <f t="shared" si="38"/>
        <v>江苏2016-10</v>
      </c>
      <c r="U736">
        <f t="shared" ca="1" si="39"/>
        <v>45261</v>
      </c>
    </row>
    <row r="737" spans="1:21" x14ac:dyDescent="0.15">
      <c r="A737" t="str">
        <f>公司整体!A737</f>
        <v>山东</v>
      </c>
      <c r="B737" t="str">
        <f>公司整体!B737</f>
        <v>2016-10</v>
      </c>
      <c r="C737">
        <f ca="1">INDIRECT(ADDRESS(ROW(C737),MATCH(公司各渠道指标可视化!$C$4,公司整体!$1:$1,0),3,1,"公司整体"),TRUE)</f>
        <v>0</v>
      </c>
      <c r="T737" t="str">
        <f t="shared" si="38"/>
        <v>山东2016-10</v>
      </c>
      <c r="U737">
        <f t="shared" ca="1" si="39"/>
        <v>0</v>
      </c>
    </row>
    <row r="738" spans="1:21" x14ac:dyDescent="0.15">
      <c r="A738" t="str">
        <f>公司整体!A738</f>
        <v>上海</v>
      </c>
      <c r="B738" t="str">
        <f>公司整体!B738</f>
        <v>2016-10</v>
      </c>
      <c r="C738">
        <f ca="1">INDIRECT(ADDRESS(ROW(C738),MATCH(公司各渠道指标可视化!$C$4,公司整体!$1:$1,0),3,1,"公司整体"),TRUE)</f>
        <v>23783</v>
      </c>
      <c r="T738" t="str">
        <f t="shared" si="38"/>
        <v>上海2016-10</v>
      </c>
      <c r="U738">
        <f t="shared" ca="1" si="39"/>
        <v>23783</v>
      </c>
    </row>
    <row r="739" spans="1:21" x14ac:dyDescent="0.15">
      <c r="A739" t="str">
        <f>公司整体!A739</f>
        <v>深圳</v>
      </c>
      <c r="B739" t="str">
        <f>公司整体!B739</f>
        <v>2016-10</v>
      </c>
      <c r="C739">
        <f ca="1">INDIRECT(ADDRESS(ROW(C739),MATCH(公司各渠道指标可视化!$C$4,公司整体!$1:$1,0),3,1,"公司整体"),TRUE)</f>
        <v>2813</v>
      </c>
      <c r="T739" t="str">
        <f t="shared" si="38"/>
        <v>深圳2016-10</v>
      </c>
      <c r="U739">
        <f t="shared" ca="1" si="39"/>
        <v>2813</v>
      </c>
    </row>
    <row r="740" spans="1:21" x14ac:dyDescent="0.15">
      <c r="A740" t="str">
        <f>公司整体!A740</f>
        <v>四川</v>
      </c>
      <c r="B740" t="str">
        <f>公司整体!B740</f>
        <v>2016-10</v>
      </c>
      <c r="C740">
        <f ca="1">INDIRECT(ADDRESS(ROW(C740),MATCH(公司各渠道指标可视化!$C$4,公司整体!$1:$1,0),3,1,"公司整体"),TRUE)</f>
        <v>23784</v>
      </c>
      <c r="T740" t="str">
        <f t="shared" si="38"/>
        <v>四川2016-10</v>
      </c>
      <c r="U740">
        <f t="shared" ca="1" si="39"/>
        <v>23784</v>
      </c>
    </row>
    <row r="741" spans="1:21" x14ac:dyDescent="0.15">
      <c r="A741" t="str">
        <f>公司整体!A741</f>
        <v>苏州</v>
      </c>
      <c r="B741" t="str">
        <f>公司整体!B741</f>
        <v>2016-10</v>
      </c>
      <c r="C741">
        <f ca="1">INDIRECT(ADDRESS(ROW(C741),MATCH(公司各渠道指标可视化!$C$4,公司整体!$1:$1,0),3,1,"公司整体"),TRUE)</f>
        <v>24960</v>
      </c>
      <c r="T741" t="str">
        <f t="shared" si="38"/>
        <v>苏州2016-10</v>
      </c>
      <c r="U741">
        <f t="shared" ca="1" si="39"/>
        <v>24960</v>
      </c>
    </row>
    <row r="742" spans="1:21" x14ac:dyDescent="0.15">
      <c r="A742" t="str">
        <f>公司整体!A742</f>
        <v>中山</v>
      </c>
      <c r="B742" t="str">
        <f>公司整体!B742</f>
        <v>2016-10</v>
      </c>
      <c r="C742">
        <f ca="1">INDIRECT(ADDRESS(ROW(C742),MATCH(公司各渠道指标可视化!$C$4,公司整体!$1:$1,0),3,1,"公司整体"),TRUE)</f>
        <v>11839</v>
      </c>
      <c r="T742" t="str">
        <f t="shared" si="38"/>
        <v>中山2016-10</v>
      </c>
      <c r="U742">
        <f t="shared" ca="1" si="39"/>
        <v>11839</v>
      </c>
    </row>
    <row r="743" spans="1:21" x14ac:dyDescent="0.15">
      <c r="A743" t="str">
        <f>公司整体!A743</f>
        <v>珠海</v>
      </c>
      <c r="B743" t="str">
        <f>公司整体!B743</f>
        <v>2016-10</v>
      </c>
      <c r="C743">
        <f ca="1">INDIRECT(ADDRESS(ROW(C743),MATCH(公司各渠道指标可视化!$C$4,公司整体!$1:$1,0),3,1,"公司整体"),TRUE)</f>
        <v>8110</v>
      </c>
      <c r="T743" t="str">
        <f t="shared" si="38"/>
        <v>珠海2016-10</v>
      </c>
      <c r="U743">
        <f t="shared" ca="1" si="39"/>
        <v>8110</v>
      </c>
    </row>
    <row r="744" spans="1:21" x14ac:dyDescent="0.15">
      <c r="A744" t="str">
        <f>公司整体!A744</f>
        <v>东莞</v>
      </c>
      <c r="B744" t="str">
        <f>公司整体!B744</f>
        <v>2016-11</v>
      </c>
      <c r="C744">
        <f ca="1">INDIRECT(ADDRESS(ROW(C744),MATCH(公司各渠道指标可视化!$C$4,公司整体!$1:$1,0),3,1,"公司整体"),TRUE)</f>
        <v>26648</v>
      </c>
      <c r="T744" t="str">
        <f t="shared" si="38"/>
        <v>东莞2016-11</v>
      </c>
      <c r="U744">
        <f t="shared" ca="1" si="39"/>
        <v>26648</v>
      </c>
    </row>
    <row r="745" spans="1:21" x14ac:dyDescent="0.15">
      <c r="A745" t="str">
        <f>公司整体!A745</f>
        <v>佛山</v>
      </c>
      <c r="B745" t="str">
        <f>公司整体!B745</f>
        <v>2016-11</v>
      </c>
      <c r="C745">
        <f ca="1">INDIRECT(ADDRESS(ROW(C745),MATCH(公司各渠道指标可视化!$C$4,公司整体!$1:$1,0),3,1,"公司整体"),TRUE)</f>
        <v>36592</v>
      </c>
      <c r="T745" t="str">
        <f t="shared" si="38"/>
        <v>佛山2016-11</v>
      </c>
      <c r="U745">
        <f t="shared" ca="1" si="39"/>
        <v>36592</v>
      </c>
    </row>
    <row r="746" spans="1:21" x14ac:dyDescent="0.15">
      <c r="A746" t="str">
        <f>公司整体!A746</f>
        <v>广东</v>
      </c>
      <c r="B746" t="str">
        <f>公司整体!B746</f>
        <v>2016-11</v>
      </c>
      <c r="C746">
        <f ca="1">INDIRECT(ADDRESS(ROW(C746),MATCH(公司各渠道指标可视化!$C$4,公司整体!$1:$1,0),3,1,"公司整体"),TRUE)</f>
        <v>67025</v>
      </c>
      <c r="T746" t="str">
        <f t="shared" si="38"/>
        <v>广东2016-11</v>
      </c>
      <c r="U746">
        <f t="shared" ca="1" si="39"/>
        <v>67025</v>
      </c>
    </row>
    <row r="747" spans="1:21" x14ac:dyDescent="0.15">
      <c r="A747" t="str">
        <f>公司整体!A747</f>
        <v>广州</v>
      </c>
      <c r="B747" t="str">
        <f>公司整体!B747</f>
        <v>2016-11</v>
      </c>
      <c r="C747">
        <f ca="1">INDIRECT(ADDRESS(ROW(C747),MATCH(公司各渠道指标可视化!$C$4,公司整体!$1:$1,0),3,1,"公司整体"),TRUE)</f>
        <v>38387</v>
      </c>
      <c r="T747" t="str">
        <f t="shared" si="38"/>
        <v>广州2016-11</v>
      </c>
      <c r="U747">
        <f t="shared" ca="1" si="39"/>
        <v>38387</v>
      </c>
    </row>
    <row r="748" spans="1:21" x14ac:dyDescent="0.15">
      <c r="A748" t="str">
        <f>公司整体!A748</f>
        <v>湖北</v>
      </c>
      <c r="B748" t="str">
        <f>公司整体!B748</f>
        <v>2016-11</v>
      </c>
      <c r="C748">
        <f ca="1">INDIRECT(ADDRESS(ROW(C748),MATCH(公司各渠道指标可视化!$C$4,公司整体!$1:$1,0),3,1,"公司整体"),TRUE)</f>
        <v>125</v>
      </c>
      <c r="T748" t="str">
        <f t="shared" si="38"/>
        <v>湖北2016-11</v>
      </c>
      <c r="U748">
        <f t="shared" ca="1" si="39"/>
        <v>125</v>
      </c>
    </row>
    <row r="749" spans="1:21" x14ac:dyDescent="0.15">
      <c r="A749" t="str">
        <f>公司整体!A749</f>
        <v>机构</v>
      </c>
      <c r="B749" t="str">
        <f>公司整体!B749</f>
        <v>2016-11</v>
      </c>
      <c r="C749">
        <f ca="1">INDIRECT(ADDRESS(ROW(C749),MATCH(公司各渠道指标可视化!$C$4,公司整体!$1:$1,0),3,1,"公司整体"),TRUE)</f>
        <v>300610</v>
      </c>
      <c r="T749" t="str">
        <f t="shared" si="38"/>
        <v>机构2016-11</v>
      </c>
      <c r="U749">
        <f t="shared" ca="1" si="39"/>
        <v>300610</v>
      </c>
    </row>
    <row r="750" spans="1:21" x14ac:dyDescent="0.15">
      <c r="A750" t="str">
        <f>公司整体!A750</f>
        <v>江苏</v>
      </c>
      <c r="B750" t="str">
        <f>公司整体!B750</f>
        <v>2016-11</v>
      </c>
      <c r="C750">
        <f ca="1">INDIRECT(ADDRESS(ROW(C750),MATCH(公司各渠道指标可视化!$C$4,公司整体!$1:$1,0),3,1,"公司整体"),TRUE)</f>
        <v>22999</v>
      </c>
      <c r="T750" t="str">
        <f t="shared" si="38"/>
        <v>江苏2016-11</v>
      </c>
      <c r="U750">
        <f t="shared" ca="1" si="39"/>
        <v>22999</v>
      </c>
    </row>
    <row r="751" spans="1:21" x14ac:dyDescent="0.15">
      <c r="A751" t="str">
        <f>公司整体!A751</f>
        <v>山东</v>
      </c>
      <c r="B751" t="str">
        <f>公司整体!B751</f>
        <v>2016-11</v>
      </c>
      <c r="C751">
        <f ca="1">INDIRECT(ADDRESS(ROW(C751),MATCH(公司各渠道指标可视化!$C$4,公司整体!$1:$1,0),3,1,"公司整体"),TRUE)</f>
        <v>0</v>
      </c>
      <c r="T751" t="str">
        <f t="shared" si="38"/>
        <v>山东2016-11</v>
      </c>
      <c r="U751">
        <f t="shared" ca="1" si="39"/>
        <v>0</v>
      </c>
    </row>
    <row r="752" spans="1:21" x14ac:dyDescent="0.15">
      <c r="A752" t="str">
        <f>公司整体!A752</f>
        <v>上海</v>
      </c>
      <c r="B752" t="str">
        <f>公司整体!B752</f>
        <v>2016-11</v>
      </c>
      <c r="C752">
        <f ca="1">INDIRECT(ADDRESS(ROW(C752),MATCH(公司各渠道指标可视化!$C$4,公司整体!$1:$1,0),3,1,"公司整体"),TRUE)</f>
        <v>28773</v>
      </c>
      <c r="T752" t="str">
        <f t="shared" si="38"/>
        <v>上海2016-11</v>
      </c>
      <c r="U752">
        <f t="shared" ca="1" si="39"/>
        <v>28773</v>
      </c>
    </row>
    <row r="753" spans="1:21" x14ac:dyDescent="0.15">
      <c r="A753" t="str">
        <f>公司整体!A753</f>
        <v>深圳</v>
      </c>
      <c r="B753" t="str">
        <f>公司整体!B753</f>
        <v>2016-11</v>
      </c>
      <c r="C753">
        <f ca="1">INDIRECT(ADDRESS(ROW(C753),MATCH(公司各渠道指标可视化!$C$4,公司整体!$1:$1,0),3,1,"公司整体"),TRUE)</f>
        <v>4983</v>
      </c>
      <c r="T753" t="str">
        <f t="shared" si="38"/>
        <v>深圳2016-11</v>
      </c>
      <c r="U753">
        <f t="shared" ca="1" si="39"/>
        <v>4983</v>
      </c>
    </row>
    <row r="754" spans="1:21" x14ac:dyDescent="0.15">
      <c r="A754" t="str">
        <f>公司整体!A754</f>
        <v>四川</v>
      </c>
      <c r="B754" t="str">
        <f>公司整体!B754</f>
        <v>2016-11</v>
      </c>
      <c r="C754">
        <f ca="1">INDIRECT(ADDRESS(ROW(C754),MATCH(公司各渠道指标可视化!$C$4,公司整体!$1:$1,0),3,1,"公司整体"),TRUE)</f>
        <v>24571</v>
      </c>
      <c r="T754" t="str">
        <f t="shared" si="38"/>
        <v>四川2016-11</v>
      </c>
      <c r="U754">
        <f t="shared" ca="1" si="39"/>
        <v>24571</v>
      </c>
    </row>
    <row r="755" spans="1:21" x14ac:dyDescent="0.15">
      <c r="A755" t="str">
        <f>公司整体!A755</f>
        <v>苏州</v>
      </c>
      <c r="B755" t="str">
        <f>公司整体!B755</f>
        <v>2016-11</v>
      </c>
      <c r="C755">
        <f ca="1">INDIRECT(ADDRESS(ROW(C755),MATCH(公司各渠道指标可视化!$C$4,公司整体!$1:$1,0),3,1,"公司整体"),TRUE)</f>
        <v>22829</v>
      </c>
      <c r="T755" t="str">
        <f t="shared" si="38"/>
        <v>苏州2016-11</v>
      </c>
      <c r="U755">
        <f t="shared" ca="1" si="39"/>
        <v>22829</v>
      </c>
    </row>
    <row r="756" spans="1:21" x14ac:dyDescent="0.15">
      <c r="A756" t="str">
        <f>公司整体!A756</f>
        <v>中山</v>
      </c>
      <c r="B756" t="str">
        <f>公司整体!B756</f>
        <v>2016-11</v>
      </c>
      <c r="C756">
        <f ca="1">INDIRECT(ADDRESS(ROW(C756),MATCH(公司各渠道指标可视化!$C$4,公司整体!$1:$1,0),3,1,"公司整体"),TRUE)</f>
        <v>12330</v>
      </c>
      <c r="T756" t="str">
        <f t="shared" si="38"/>
        <v>中山2016-11</v>
      </c>
      <c r="U756">
        <f t="shared" ca="1" si="39"/>
        <v>12330</v>
      </c>
    </row>
    <row r="757" spans="1:21" x14ac:dyDescent="0.15">
      <c r="A757" t="str">
        <f>公司整体!A757</f>
        <v>珠海</v>
      </c>
      <c r="B757" t="str">
        <f>公司整体!B757</f>
        <v>2016-11</v>
      </c>
      <c r="C757">
        <f ca="1">INDIRECT(ADDRESS(ROW(C757),MATCH(公司各渠道指标可视化!$C$4,公司整体!$1:$1,0),3,1,"公司整体"),TRUE)</f>
        <v>15348</v>
      </c>
      <c r="T757" t="str">
        <f t="shared" si="38"/>
        <v>珠海2016-11</v>
      </c>
      <c r="U757">
        <f t="shared" ca="1" si="39"/>
        <v>15348</v>
      </c>
    </row>
    <row r="758" spans="1:21" x14ac:dyDescent="0.15">
      <c r="A758" t="str">
        <f>公司整体!A758</f>
        <v>东莞</v>
      </c>
      <c r="B758" t="str">
        <f>公司整体!B758</f>
        <v>2016-12</v>
      </c>
      <c r="C758">
        <f ca="1">INDIRECT(ADDRESS(ROW(C758),MATCH(公司各渠道指标可视化!$C$4,公司整体!$1:$1,0),3,1,"公司整体"),TRUE)</f>
        <v>3604</v>
      </c>
      <c r="T758" t="str">
        <f t="shared" si="38"/>
        <v>东莞2016-12</v>
      </c>
      <c r="U758">
        <f t="shared" ca="1" si="39"/>
        <v>3604</v>
      </c>
    </row>
    <row r="759" spans="1:21" x14ac:dyDescent="0.15">
      <c r="A759" t="str">
        <f>公司整体!A759</f>
        <v>佛山</v>
      </c>
      <c r="B759" t="str">
        <f>公司整体!B759</f>
        <v>2016-12</v>
      </c>
      <c r="C759">
        <f ca="1">INDIRECT(ADDRESS(ROW(C759),MATCH(公司各渠道指标可视化!$C$4,公司整体!$1:$1,0),3,1,"公司整体"),TRUE)</f>
        <v>4170</v>
      </c>
      <c r="T759" t="str">
        <f t="shared" si="38"/>
        <v>佛山2016-12</v>
      </c>
      <c r="U759">
        <f t="shared" ca="1" si="39"/>
        <v>4170</v>
      </c>
    </row>
    <row r="760" spans="1:21" x14ac:dyDescent="0.15">
      <c r="A760" t="str">
        <f>公司整体!A760</f>
        <v>广东</v>
      </c>
      <c r="B760" t="str">
        <f>公司整体!B760</f>
        <v>2016-12</v>
      </c>
      <c r="C760">
        <f ca="1">INDIRECT(ADDRESS(ROW(C760),MATCH(公司各渠道指标可视化!$C$4,公司整体!$1:$1,0),3,1,"公司整体"),TRUE)</f>
        <v>4130</v>
      </c>
      <c r="T760" t="str">
        <f t="shared" si="38"/>
        <v>广东2016-12</v>
      </c>
      <c r="U760">
        <f t="shared" ca="1" si="39"/>
        <v>4130</v>
      </c>
    </row>
    <row r="761" spans="1:21" x14ac:dyDescent="0.15">
      <c r="A761" t="str">
        <f>公司整体!A761</f>
        <v>广州</v>
      </c>
      <c r="B761" t="str">
        <f>公司整体!B761</f>
        <v>2016-12</v>
      </c>
      <c r="C761">
        <f ca="1">INDIRECT(ADDRESS(ROW(C761),MATCH(公司各渠道指标可视化!$C$4,公司整体!$1:$1,0),3,1,"公司整体"),TRUE)</f>
        <v>2755</v>
      </c>
      <c r="T761" t="str">
        <f t="shared" si="38"/>
        <v>广州2016-12</v>
      </c>
      <c r="U761">
        <f t="shared" ca="1" si="39"/>
        <v>2755</v>
      </c>
    </row>
    <row r="762" spans="1:21" x14ac:dyDescent="0.15">
      <c r="A762" t="str">
        <f>公司整体!A762</f>
        <v>湖北</v>
      </c>
      <c r="B762" t="str">
        <f>公司整体!B762</f>
        <v>2016-12</v>
      </c>
      <c r="C762">
        <f ca="1">INDIRECT(ADDRESS(ROW(C762),MATCH(公司各渠道指标可视化!$C$4,公司整体!$1:$1,0),3,1,"公司整体"),TRUE)</f>
        <v>46</v>
      </c>
      <c r="T762" t="str">
        <f t="shared" si="38"/>
        <v>湖北2016-12</v>
      </c>
      <c r="U762">
        <f t="shared" ca="1" si="39"/>
        <v>46</v>
      </c>
    </row>
    <row r="763" spans="1:21" x14ac:dyDescent="0.15">
      <c r="A763" t="str">
        <f>公司整体!A763</f>
        <v>机构</v>
      </c>
      <c r="B763" t="str">
        <f>公司整体!B763</f>
        <v>2016-12</v>
      </c>
      <c r="C763">
        <f ca="1">INDIRECT(ADDRESS(ROW(C763),MATCH(公司各渠道指标可视化!$C$4,公司整体!$1:$1,0),3,1,"公司整体"),TRUE)</f>
        <v>22696</v>
      </c>
      <c r="T763" t="str">
        <f t="shared" si="38"/>
        <v>机构2016-12</v>
      </c>
      <c r="U763">
        <f t="shared" ca="1" si="39"/>
        <v>22696</v>
      </c>
    </row>
    <row r="764" spans="1:21" x14ac:dyDescent="0.15">
      <c r="A764" t="str">
        <f>公司整体!A764</f>
        <v>江苏</v>
      </c>
      <c r="B764" t="str">
        <f>公司整体!B764</f>
        <v>2016-12</v>
      </c>
      <c r="C764">
        <f ca="1">INDIRECT(ADDRESS(ROW(C764),MATCH(公司各渠道指标可视化!$C$4,公司整体!$1:$1,0),3,1,"公司整体"),TRUE)</f>
        <v>760</v>
      </c>
      <c r="T764" t="str">
        <f t="shared" si="38"/>
        <v>江苏2016-12</v>
      </c>
      <c r="U764">
        <f t="shared" ca="1" si="39"/>
        <v>760</v>
      </c>
    </row>
    <row r="765" spans="1:21" x14ac:dyDescent="0.15">
      <c r="A765" t="str">
        <f>公司整体!A765</f>
        <v>山东</v>
      </c>
      <c r="B765" t="str">
        <f>公司整体!B765</f>
        <v>2016-12</v>
      </c>
      <c r="C765">
        <f ca="1">INDIRECT(ADDRESS(ROW(C765),MATCH(公司各渠道指标可视化!$C$4,公司整体!$1:$1,0),3,1,"公司整体"),TRUE)</f>
        <v>0</v>
      </c>
      <c r="T765" t="str">
        <f t="shared" si="38"/>
        <v>山东2016-12</v>
      </c>
      <c r="U765">
        <f t="shared" ca="1" si="39"/>
        <v>0</v>
      </c>
    </row>
    <row r="766" spans="1:21" x14ac:dyDescent="0.15">
      <c r="A766" t="str">
        <f>公司整体!A766</f>
        <v>上海</v>
      </c>
      <c r="B766" t="str">
        <f>公司整体!B766</f>
        <v>2016-12</v>
      </c>
      <c r="C766">
        <f ca="1">INDIRECT(ADDRESS(ROW(C766),MATCH(公司各渠道指标可视化!$C$4,公司整体!$1:$1,0),3,1,"公司整体"),TRUE)</f>
        <v>2034</v>
      </c>
      <c r="T766" t="str">
        <f t="shared" si="38"/>
        <v>上海2016-12</v>
      </c>
      <c r="U766">
        <f t="shared" ca="1" si="39"/>
        <v>2034</v>
      </c>
    </row>
    <row r="767" spans="1:21" x14ac:dyDescent="0.15">
      <c r="A767" t="str">
        <f>公司整体!A767</f>
        <v>深圳</v>
      </c>
      <c r="B767" t="str">
        <f>公司整体!B767</f>
        <v>2016-12</v>
      </c>
      <c r="C767">
        <f ca="1">INDIRECT(ADDRESS(ROW(C767),MATCH(公司各渠道指标可视化!$C$4,公司整体!$1:$1,0),3,1,"公司整体"),TRUE)</f>
        <v>365</v>
      </c>
      <c r="T767" t="str">
        <f t="shared" si="38"/>
        <v>深圳2016-12</v>
      </c>
      <c r="U767">
        <f t="shared" ca="1" si="39"/>
        <v>365</v>
      </c>
    </row>
    <row r="768" spans="1:21" x14ac:dyDescent="0.15">
      <c r="A768" t="str">
        <f>公司整体!A768</f>
        <v>四川</v>
      </c>
      <c r="B768" t="str">
        <f>公司整体!B768</f>
        <v>2016-12</v>
      </c>
      <c r="C768">
        <f ca="1">INDIRECT(ADDRESS(ROW(C768),MATCH(公司各渠道指标可视化!$C$4,公司整体!$1:$1,0),3,1,"公司整体"),TRUE)</f>
        <v>1687</v>
      </c>
      <c r="T768" t="str">
        <f t="shared" si="38"/>
        <v>四川2016-12</v>
      </c>
      <c r="U768">
        <f t="shared" ca="1" si="39"/>
        <v>1687</v>
      </c>
    </row>
    <row r="769" spans="1:21" x14ac:dyDescent="0.15">
      <c r="A769" t="str">
        <f>公司整体!A769</f>
        <v>苏州</v>
      </c>
      <c r="B769" t="str">
        <f>公司整体!B769</f>
        <v>2016-12</v>
      </c>
      <c r="C769">
        <f ca="1">INDIRECT(ADDRESS(ROW(C769),MATCH(公司各渠道指标可视化!$C$4,公司整体!$1:$1,0),3,1,"公司整体"),TRUE)</f>
        <v>616</v>
      </c>
      <c r="T769" t="str">
        <f t="shared" si="38"/>
        <v>苏州2016-12</v>
      </c>
      <c r="U769">
        <f t="shared" ca="1" si="39"/>
        <v>616</v>
      </c>
    </row>
    <row r="770" spans="1:21" x14ac:dyDescent="0.15">
      <c r="A770" t="str">
        <f>公司整体!A770</f>
        <v>中山</v>
      </c>
      <c r="B770" t="str">
        <f>公司整体!B770</f>
        <v>2016-12</v>
      </c>
      <c r="C770">
        <f ca="1">INDIRECT(ADDRESS(ROW(C770),MATCH(公司各渠道指标可视化!$C$4,公司整体!$1:$1,0),3,1,"公司整体"),TRUE)</f>
        <v>1302</v>
      </c>
      <c r="T770" t="str">
        <f t="shared" si="38"/>
        <v>中山2016-12</v>
      </c>
      <c r="U770">
        <f t="shared" ca="1" si="39"/>
        <v>1302</v>
      </c>
    </row>
    <row r="771" spans="1:21" x14ac:dyDescent="0.15">
      <c r="A771" t="str">
        <f>公司整体!A771</f>
        <v>珠海</v>
      </c>
      <c r="B771" t="str">
        <f>公司整体!B771</f>
        <v>2016-12</v>
      </c>
      <c r="C771">
        <f ca="1">INDIRECT(ADDRESS(ROW(C771),MATCH(公司各渠道指标可视化!$C$4,公司整体!$1:$1,0),3,1,"公司整体"),TRUE)</f>
        <v>1229</v>
      </c>
      <c r="T771" t="str">
        <f t="shared" si="38"/>
        <v>珠海2016-12</v>
      </c>
      <c r="U771">
        <f t="shared" ca="1" si="39"/>
        <v>1229</v>
      </c>
    </row>
    <row r="772" spans="1:21" x14ac:dyDescent="0.15">
      <c r="A772" t="str">
        <f>公司整体!A772</f>
        <v>东莞</v>
      </c>
      <c r="B772" t="str">
        <f>公司整体!B772</f>
        <v>2017-01</v>
      </c>
      <c r="C772">
        <f ca="1">INDIRECT(ADDRESS(ROW(C772),MATCH(公司各渠道指标可视化!$C$4,公司整体!$1:$1,0),3,1,"公司整体"),TRUE)</f>
        <v>16530</v>
      </c>
      <c r="T772" t="str">
        <f t="shared" si="38"/>
        <v>东莞2017-01</v>
      </c>
      <c r="U772">
        <f t="shared" ca="1" si="39"/>
        <v>16530</v>
      </c>
    </row>
    <row r="773" spans="1:21" x14ac:dyDescent="0.15">
      <c r="A773" t="str">
        <f>公司整体!A773</f>
        <v>佛山</v>
      </c>
      <c r="B773" t="str">
        <f>公司整体!B773</f>
        <v>2017-01</v>
      </c>
      <c r="C773">
        <f ca="1">INDIRECT(ADDRESS(ROW(C773),MATCH(公司各渠道指标可视化!$C$4,公司整体!$1:$1,0),3,1,"公司整体"),TRUE)</f>
        <v>16093</v>
      </c>
      <c r="T773" t="str">
        <f t="shared" si="38"/>
        <v>佛山2017-01</v>
      </c>
      <c r="U773">
        <f t="shared" ca="1" si="39"/>
        <v>16093</v>
      </c>
    </row>
    <row r="774" spans="1:21" x14ac:dyDescent="0.15">
      <c r="A774" t="str">
        <f>公司整体!A774</f>
        <v>广东</v>
      </c>
      <c r="B774" t="str">
        <f>公司整体!B774</f>
        <v>2017-01</v>
      </c>
      <c r="C774">
        <f ca="1">INDIRECT(ADDRESS(ROW(C774),MATCH(公司各渠道指标可视化!$C$4,公司整体!$1:$1,0),3,1,"公司整体"),TRUE)</f>
        <v>32415</v>
      </c>
      <c r="T774" t="str">
        <f t="shared" si="38"/>
        <v>广东2017-01</v>
      </c>
      <c r="U774">
        <f t="shared" ca="1" si="39"/>
        <v>32415</v>
      </c>
    </row>
    <row r="775" spans="1:21" x14ac:dyDescent="0.15">
      <c r="A775" t="str">
        <f>公司整体!A775</f>
        <v>广州</v>
      </c>
      <c r="B775" t="str">
        <f>公司整体!B775</f>
        <v>2017-01</v>
      </c>
      <c r="C775">
        <f ca="1">INDIRECT(ADDRESS(ROW(C775),MATCH(公司各渠道指标可视化!$C$4,公司整体!$1:$1,0),3,1,"公司整体"),TRUE)</f>
        <v>11060</v>
      </c>
      <c r="T775" t="str">
        <f t="shared" si="38"/>
        <v>广州2017-01</v>
      </c>
      <c r="U775">
        <f t="shared" ca="1" si="39"/>
        <v>11060</v>
      </c>
    </row>
    <row r="776" spans="1:21" x14ac:dyDescent="0.15">
      <c r="A776" t="str">
        <f>公司整体!A776</f>
        <v>湖北</v>
      </c>
      <c r="B776" t="str">
        <f>公司整体!B776</f>
        <v>2017-01</v>
      </c>
      <c r="C776">
        <f ca="1">INDIRECT(ADDRESS(ROW(C776),MATCH(公司各渠道指标可视化!$C$4,公司整体!$1:$1,0),3,1,"公司整体"),TRUE)</f>
        <v>992</v>
      </c>
      <c r="T776" t="str">
        <f t="shared" si="38"/>
        <v>湖北2017-01</v>
      </c>
      <c r="U776">
        <f t="shared" ca="1" si="39"/>
        <v>992</v>
      </c>
    </row>
    <row r="777" spans="1:21" x14ac:dyDescent="0.15">
      <c r="A777" t="str">
        <f>公司整体!A777</f>
        <v>机构</v>
      </c>
      <c r="B777" t="str">
        <f>公司整体!B777</f>
        <v>2017-01</v>
      </c>
      <c r="C777">
        <f ca="1">INDIRECT(ADDRESS(ROW(C777),MATCH(公司各渠道指标可视化!$C$4,公司整体!$1:$1,0),3,1,"公司整体"),TRUE)</f>
        <v>129176</v>
      </c>
      <c r="T777" t="str">
        <f t="shared" si="38"/>
        <v>机构2017-01</v>
      </c>
      <c r="U777">
        <f t="shared" ca="1" si="39"/>
        <v>129176</v>
      </c>
    </row>
    <row r="778" spans="1:21" x14ac:dyDescent="0.15">
      <c r="A778" t="str">
        <f>公司整体!A778</f>
        <v>江苏</v>
      </c>
      <c r="B778" t="str">
        <f>公司整体!B778</f>
        <v>2017-01</v>
      </c>
      <c r="C778">
        <f ca="1">INDIRECT(ADDRESS(ROW(C778),MATCH(公司各渠道指标可视化!$C$4,公司整体!$1:$1,0),3,1,"公司整体"),TRUE)</f>
        <v>7723</v>
      </c>
      <c r="T778" t="str">
        <f t="shared" si="38"/>
        <v>江苏2017-01</v>
      </c>
      <c r="U778">
        <f t="shared" ca="1" si="39"/>
        <v>7723</v>
      </c>
    </row>
    <row r="779" spans="1:21" x14ac:dyDescent="0.15">
      <c r="A779" t="str">
        <f>公司整体!A779</f>
        <v>山东</v>
      </c>
      <c r="B779" t="str">
        <f>公司整体!B779</f>
        <v>2017-01</v>
      </c>
      <c r="C779">
        <f ca="1">INDIRECT(ADDRESS(ROW(C779),MATCH(公司各渠道指标可视化!$C$4,公司整体!$1:$1,0),3,1,"公司整体"),TRUE)</f>
        <v>2461</v>
      </c>
      <c r="T779" t="str">
        <f t="shared" si="38"/>
        <v>山东2017-01</v>
      </c>
      <c r="U779">
        <f t="shared" ca="1" si="39"/>
        <v>2461</v>
      </c>
    </row>
    <row r="780" spans="1:21" x14ac:dyDescent="0.15">
      <c r="A780" t="str">
        <f>公司整体!A780</f>
        <v>上海</v>
      </c>
      <c r="B780" t="str">
        <f>公司整体!B780</f>
        <v>2017-01</v>
      </c>
      <c r="C780">
        <f ca="1">INDIRECT(ADDRESS(ROW(C780),MATCH(公司各渠道指标可视化!$C$4,公司整体!$1:$1,0),3,1,"公司整体"),TRUE)</f>
        <v>1478</v>
      </c>
      <c r="T780" t="str">
        <f t="shared" si="38"/>
        <v>上海2017-01</v>
      </c>
      <c r="U780">
        <f t="shared" ca="1" si="39"/>
        <v>1478</v>
      </c>
    </row>
    <row r="781" spans="1:21" x14ac:dyDescent="0.15">
      <c r="A781" t="str">
        <f>公司整体!A781</f>
        <v>深圳</v>
      </c>
      <c r="B781" t="str">
        <f>公司整体!B781</f>
        <v>2017-01</v>
      </c>
      <c r="C781">
        <f ca="1">INDIRECT(ADDRESS(ROW(C781),MATCH(公司各渠道指标可视化!$C$4,公司整体!$1:$1,0),3,1,"公司整体"),TRUE)</f>
        <v>9244</v>
      </c>
      <c r="T781" t="str">
        <f t="shared" si="38"/>
        <v>深圳2017-01</v>
      </c>
      <c r="U781">
        <f t="shared" ca="1" si="39"/>
        <v>9244</v>
      </c>
    </row>
    <row r="782" spans="1:21" x14ac:dyDescent="0.15">
      <c r="A782" t="str">
        <f>公司整体!A782</f>
        <v>四川</v>
      </c>
      <c r="B782" t="str">
        <f>公司整体!B782</f>
        <v>2017-01</v>
      </c>
      <c r="C782">
        <f ca="1">INDIRECT(ADDRESS(ROW(C782),MATCH(公司各渠道指标可视化!$C$4,公司整体!$1:$1,0),3,1,"公司整体"),TRUE)</f>
        <v>16800</v>
      </c>
      <c r="T782" t="str">
        <f t="shared" si="38"/>
        <v>四川2017-01</v>
      </c>
      <c r="U782">
        <f t="shared" ca="1" si="39"/>
        <v>16800</v>
      </c>
    </row>
    <row r="783" spans="1:21" x14ac:dyDescent="0.15">
      <c r="A783" t="str">
        <f>公司整体!A783</f>
        <v>苏州</v>
      </c>
      <c r="B783" t="str">
        <f>公司整体!B783</f>
        <v>2017-01</v>
      </c>
      <c r="C783">
        <f ca="1">INDIRECT(ADDRESS(ROW(C783),MATCH(公司各渠道指标可视化!$C$4,公司整体!$1:$1,0),3,1,"公司整体"),TRUE)</f>
        <v>719</v>
      </c>
      <c r="T783" t="str">
        <f t="shared" si="38"/>
        <v>苏州2017-01</v>
      </c>
      <c r="U783">
        <f t="shared" ca="1" si="39"/>
        <v>719</v>
      </c>
    </row>
    <row r="784" spans="1:21" x14ac:dyDescent="0.15">
      <c r="A784" t="str">
        <f>公司整体!A784</f>
        <v>中山</v>
      </c>
      <c r="B784" t="str">
        <f>公司整体!B784</f>
        <v>2017-01</v>
      </c>
      <c r="C784">
        <f ca="1">INDIRECT(ADDRESS(ROW(C784),MATCH(公司各渠道指标可视化!$C$4,公司整体!$1:$1,0),3,1,"公司整体"),TRUE)</f>
        <v>6932</v>
      </c>
      <c r="T784" t="str">
        <f t="shared" si="38"/>
        <v>中山2017-01</v>
      </c>
      <c r="U784">
        <f t="shared" ca="1" si="39"/>
        <v>6932</v>
      </c>
    </row>
    <row r="785" spans="1:21" x14ac:dyDescent="0.15">
      <c r="A785" t="str">
        <f>公司整体!A785</f>
        <v>珠海</v>
      </c>
      <c r="B785" t="str">
        <f>公司整体!B785</f>
        <v>2017-01</v>
      </c>
      <c r="C785">
        <f ca="1">INDIRECT(ADDRESS(ROW(C785),MATCH(公司各渠道指标可视化!$C$4,公司整体!$1:$1,0),3,1,"公司整体"),TRUE)</f>
        <v>6730</v>
      </c>
      <c r="T785" t="str">
        <f t="shared" si="38"/>
        <v>珠海2017-01</v>
      </c>
      <c r="U785">
        <f t="shared" ca="1" si="39"/>
        <v>6730</v>
      </c>
    </row>
    <row r="786" spans="1:21" x14ac:dyDescent="0.15">
      <c r="A786" t="str">
        <f>公司整体!A786</f>
        <v>东莞</v>
      </c>
      <c r="B786" t="str">
        <f>公司整体!B786</f>
        <v>2017-02</v>
      </c>
      <c r="C786">
        <f ca="1">INDIRECT(ADDRESS(ROW(C786),MATCH(公司各渠道指标可视化!$C$4,公司整体!$1:$1,0),3,1,"公司整体"),TRUE)</f>
        <v>17814</v>
      </c>
      <c r="T786" t="str">
        <f t="shared" si="38"/>
        <v>东莞2017-02</v>
      </c>
      <c r="U786">
        <f t="shared" ca="1" si="39"/>
        <v>17814</v>
      </c>
    </row>
    <row r="787" spans="1:21" x14ac:dyDescent="0.15">
      <c r="A787" t="str">
        <f>公司整体!A787</f>
        <v>佛山</v>
      </c>
      <c r="B787" t="str">
        <f>公司整体!B787</f>
        <v>2017-02</v>
      </c>
      <c r="C787">
        <f ca="1">INDIRECT(ADDRESS(ROW(C787),MATCH(公司各渠道指标可视化!$C$4,公司整体!$1:$1,0),3,1,"公司整体"),TRUE)</f>
        <v>13203</v>
      </c>
      <c r="T787" t="str">
        <f t="shared" si="38"/>
        <v>佛山2017-02</v>
      </c>
      <c r="U787">
        <f t="shared" ca="1" si="39"/>
        <v>13203</v>
      </c>
    </row>
    <row r="788" spans="1:21" x14ac:dyDescent="0.15">
      <c r="A788" t="str">
        <f>公司整体!A788</f>
        <v>广东</v>
      </c>
      <c r="B788" t="str">
        <f>公司整体!B788</f>
        <v>2017-02</v>
      </c>
      <c r="C788">
        <f ca="1">INDIRECT(ADDRESS(ROW(C788),MATCH(公司各渠道指标可视化!$C$4,公司整体!$1:$1,0),3,1,"公司整体"),TRUE)</f>
        <v>49185</v>
      </c>
      <c r="T788" t="str">
        <f t="shared" si="38"/>
        <v>广东2017-02</v>
      </c>
      <c r="U788">
        <f t="shared" ca="1" si="39"/>
        <v>49185</v>
      </c>
    </row>
    <row r="789" spans="1:21" x14ac:dyDescent="0.15">
      <c r="A789" t="str">
        <f>公司整体!A789</f>
        <v>广州</v>
      </c>
      <c r="B789" t="str">
        <f>公司整体!B789</f>
        <v>2017-02</v>
      </c>
      <c r="C789">
        <f ca="1">INDIRECT(ADDRESS(ROW(C789),MATCH(公司各渠道指标可视化!$C$4,公司整体!$1:$1,0),3,1,"公司整体"),TRUE)</f>
        <v>12290</v>
      </c>
      <c r="T789" t="str">
        <f t="shared" si="38"/>
        <v>广州2017-02</v>
      </c>
      <c r="U789">
        <f t="shared" ca="1" si="39"/>
        <v>12290</v>
      </c>
    </row>
    <row r="790" spans="1:21" x14ac:dyDescent="0.15">
      <c r="A790" t="str">
        <f>公司整体!A790</f>
        <v>湖北</v>
      </c>
      <c r="B790" t="str">
        <f>公司整体!B790</f>
        <v>2017-02</v>
      </c>
      <c r="C790">
        <f ca="1">INDIRECT(ADDRESS(ROW(C790),MATCH(公司各渠道指标可视化!$C$4,公司整体!$1:$1,0),3,1,"公司整体"),TRUE)</f>
        <v>2334</v>
      </c>
      <c r="T790" t="str">
        <f t="shared" si="38"/>
        <v>湖北2017-02</v>
      </c>
      <c r="U790">
        <f t="shared" ca="1" si="39"/>
        <v>2334</v>
      </c>
    </row>
    <row r="791" spans="1:21" x14ac:dyDescent="0.15">
      <c r="A791" t="str">
        <f>公司整体!A791</f>
        <v>机构</v>
      </c>
      <c r="B791" t="str">
        <f>公司整体!B791</f>
        <v>2017-02</v>
      </c>
      <c r="C791">
        <f ca="1">INDIRECT(ADDRESS(ROW(C791),MATCH(公司各渠道指标可视化!$C$4,公司整体!$1:$1,0),3,1,"公司整体"),TRUE)</f>
        <v>173711</v>
      </c>
      <c r="T791" t="str">
        <f t="shared" ref="T791:T854" si="40">A791&amp;B791</f>
        <v>机构2017-02</v>
      </c>
      <c r="U791">
        <f t="shared" ref="U791:U854" ca="1" si="41">C791</f>
        <v>173711</v>
      </c>
    </row>
    <row r="792" spans="1:21" x14ac:dyDescent="0.15">
      <c r="A792" t="str">
        <f>公司整体!A792</f>
        <v>江苏</v>
      </c>
      <c r="B792" t="str">
        <f>公司整体!B792</f>
        <v>2017-02</v>
      </c>
      <c r="C792">
        <f ca="1">INDIRECT(ADDRESS(ROW(C792),MATCH(公司各渠道指标可视化!$C$4,公司整体!$1:$1,0),3,1,"公司整体"),TRUE)</f>
        <v>22470</v>
      </c>
      <c r="T792" t="str">
        <f t="shared" si="40"/>
        <v>江苏2017-02</v>
      </c>
      <c r="U792">
        <f t="shared" ca="1" si="41"/>
        <v>22470</v>
      </c>
    </row>
    <row r="793" spans="1:21" x14ac:dyDescent="0.15">
      <c r="A793" t="str">
        <f>公司整体!A793</f>
        <v>山东</v>
      </c>
      <c r="B793" t="str">
        <f>公司整体!B793</f>
        <v>2017-02</v>
      </c>
      <c r="C793">
        <f ca="1">INDIRECT(ADDRESS(ROW(C793),MATCH(公司各渠道指标可视化!$C$4,公司整体!$1:$1,0),3,1,"公司整体"),TRUE)</f>
        <v>3020</v>
      </c>
      <c r="T793" t="str">
        <f t="shared" si="40"/>
        <v>山东2017-02</v>
      </c>
      <c r="U793">
        <f t="shared" ca="1" si="41"/>
        <v>3020</v>
      </c>
    </row>
    <row r="794" spans="1:21" x14ac:dyDescent="0.15">
      <c r="A794" t="str">
        <f>公司整体!A794</f>
        <v>上海</v>
      </c>
      <c r="B794" t="str">
        <f>公司整体!B794</f>
        <v>2017-02</v>
      </c>
      <c r="C794">
        <f ca="1">INDIRECT(ADDRESS(ROW(C794),MATCH(公司各渠道指标可视化!$C$4,公司整体!$1:$1,0),3,1,"公司整体"),TRUE)</f>
        <v>3051</v>
      </c>
      <c r="T794" t="str">
        <f t="shared" si="40"/>
        <v>上海2017-02</v>
      </c>
      <c r="U794">
        <f t="shared" ca="1" si="41"/>
        <v>3051</v>
      </c>
    </row>
    <row r="795" spans="1:21" x14ac:dyDescent="0.15">
      <c r="A795" t="str">
        <f>公司整体!A795</f>
        <v>深圳</v>
      </c>
      <c r="B795" t="str">
        <f>公司整体!B795</f>
        <v>2017-02</v>
      </c>
      <c r="C795">
        <f ca="1">INDIRECT(ADDRESS(ROW(C795),MATCH(公司各渠道指标可视化!$C$4,公司整体!$1:$1,0),3,1,"公司整体"),TRUE)</f>
        <v>8977</v>
      </c>
      <c r="T795" t="str">
        <f t="shared" si="40"/>
        <v>深圳2017-02</v>
      </c>
      <c r="U795">
        <f t="shared" ca="1" si="41"/>
        <v>8977</v>
      </c>
    </row>
    <row r="796" spans="1:21" x14ac:dyDescent="0.15">
      <c r="A796" t="str">
        <f>公司整体!A796</f>
        <v>四川</v>
      </c>
      <c r="B796" t="str">
        <f>公司整体!B796</f>
        <v>2017-02</v>
      </c>
      <c r="C796">
        <f ca="1">INDIRECT(ADDRESS(ROW(C796),MATCH(公司各渠道指标可视化!$C$4,公司整体!$1:$1,0),3,1,"公司整体"),TRUE)</f>
        <v>26070</v>
      </c>
      <c r="T796" t="str">
        <f t="shared" si="40"/>
        <v>四川2017-02</v>
      </c>
      <c r="U796">
        <f t="shared" ca="1" si="41"/>
        <v>26070</v>
      </c>
    </row>
    <row r="797" spans="1:21" x14ac:dyDescent="0.15">
      <c r="A797" t="str">
        <f>公司整体!A797</f>
        <v>苏州</v>
      </c>
      <c r="B797" t="str">
        <f>公司整体!B797</f>
        <v>2017-02</v>
      </c>
      <c r="C797">
        <f ca="1">INDIRECT(ADDRESS(ROW(C797),MATCH(公司各渠道指标可视化!$C$4,公司整体!$1:$1,0),3,1,"公司整体"),TRUE)</f>
        <v>1845</v>
      </c>
      <c r="T797" t="str">
        <f t="shared" si="40"/>
        <v>苏州2017-02</v>
      </c>
      <c r="U797">
        <f t="shared" ca="1" si="41"/>
        <v>1845</v>
      </c>
    </row>
    <row r="798" spans="1:21" x14ac:dyDescent="0.15">
      <c r="A798" t="str">
        <f>公司整体!A798</f>
        <v>中山</v>
      </c>
      <c r="B798" t="str">
        <f>公司整体!B798</f>
        <v>2017-02</v>
      </c>
      <c r="C798">
        <f ca="1">INDIRECT(ADDRESS(ROW(C798),MATCH(公司各渠道指标可视化!$C$4,公司整体!$1:$1,0),3,1,"公司整体"),TRUE)</f>
        <v>5329</v>
      </c>
      <c r="T798" t="str">
        <f t="shared" si="40"/>
        <v>中山2017-02</v>
      </c>
      <c r="U798">
        <f t="shared" ca="1" si="41"/>
        <v>5329</v>
      </c>
    </row>
    <row r="799" spans="1:21" x14ac:dyDescent="0.15">
      <c r="A799" t="str">
        <f>公司整体!A799</f>
        <v>珠海</v>
      </c>
      <c r="B799" t="str">
        <f>公司整体!B799</f>
        <v>2017-02</v>
      </c>
      <c r="C799">
        <f ca="1">INDIRECT(ADDRESS(ROW(C799),MATCH(公司各渠道指标可视化!$C$4,公司整体!$1:$1,0),3,1,"公司整体"),TRUE)</f>
        <v>8122</v>
      </c>
      <c r="T799" t="str">
        <f t="shared" si="40"/>
        <v>珠海2017-02</v>
      </c>
      <c r="U799">
        <f t="shared" ca="1" si="41"/>
        <v>8122</v>
      </c>
    </row>
    <row r="800" spans="1:21" x14ac:dyDescent="0.15">
      <c r="A800" t="str">
        <f>公司整体!A800</f>
        <v>东莞</v>
      </c>
      <c r="B800" t="str">
        <f>公司整体!B800</f>
        <v>2017-03</v>
      </c>
      <c r="C800">
        <f ca="1">INDIRECT(ADDRESS(ROW(C800),MATCH(公司各渠道指标可视化!$C$4,公司整体!$1:$1,0),3,1,"公司整体"),TRUE)</f>
        <v>19000</v>
      </c>
      <c r="T800" t="str">
        <f t="shared" si="40"/>
        <v>东莞2017-03</v>
      </c>
      <c r="U800">
        <f t="shared" ca="1" si="41"/>
        <v>19000</v>
      </c>
    </row>
    <row r="801" spans="1:21" x14ac:dyDescent="0.15">
      <c r="A801" t="str">
        <f>公司整体!A801</f>
        <v>佛山</v>
      </c>
      <c r="B801" t="str">
        <f>公司整体!B801</f>
        <v>2017-03</v>
      </c>
      <c r="C801">
        <f ca="1">INDIRECT(ADDRESS(ROW(C801),MATCH(公司各渠道指标可视化!$C$4,公司整体!$1:$1,0),3,1,"公司整体"),TRUE)</f>
        <v>15790</v>
      </c>
      <c r="T801" t="str">
        <f t="shared" si="40"/>
        <v>佛山2017-03</v>
      </c>
      <c r="U801">
        <f t="shared" ca="1" si="41"/>
        <v>15790</v>
      </c>
    </row>
    <row r="802" spans="1:21" x14ac:dyDescent="0.15">
      <c r="A802" t="str">
        <f>公司整体!A802</f>
        <v>广东</v>
      </c>
      <c r="B802" t="str">
        <f>公司整体!B802</f>
        <v>2017-03</v>
      </c>
      <c r="C802">
        <f ca="1">INDIRECT(ADDRESS(ROW(C802),MATCH(公司各渠道指标可视化!$C$4,公司整体!$1:$1,0),3,1,"公司整体"),TRUE)</f>
        <v>71375</v>
      </c>
      <c r="T802" t="str">
        <f t="shared" si="40"/>
        <v>广东2017-03</v>
      </c>
      <c r="U802">
        <f t="shared" ca="1" si="41"/>
        <v>71375</v>
      </c>
    </row>
    <row r="803" spans="1:21" x14ac:dyDescent="0.15">
      <c r="A803" t="str">
        <f>公司整体!A803</f>
        <v>广州</v>
      </c>
      <c r="B803" t="str">
        <f>公司整体!B803</f>
        <v>2017-03</v>
      </c>
      <c r="C803">
        <f ca="1">INDIRECT(ADDRESS(ROW(C803),MATCH(公司各渠道指标可视化!$C$4,公司整体!$1:$1,0),3,1,"公司整体"),TRUE)</f>
        <v>17153</v>
      </c>
      <c r="T803" t="str">
        <f t="shared" si="40"/>
        <v>广州2017-03</v>
      </c>
      <c r="U803">
        <f t="shared" ca="1" si="41"/>
        <v>17153</v>
      </c>
    </row>
    <row r="804" spans="1:21" x14ac:dyDescent="0.15">
      <c r="A804" t="str">
        <f>公司整体!A804</f>
        <v>湖北</v>
      </c>
      <c r="B804" t="str">
        <f>公司整体!B804</f>
        <v>2017-03</v>
      </c>
      <c r="C804">
        <f ca="1">INDIRECT(ADDRESS(ROW(C804),MATCH(公司各渠道指标可视化!$C$4,公司整体!$1:$1,0),3,1,"公司整体"),TRUE)</f>
        <v>4579</v>
      </c>
      <c r="T804" t="str">
        <f t="shared" si="40"/>
        <v>湖北2017-03</v>
      </c>
      <c r="U804">
        <f t="shared" ca="1" si="41"/>
        <v>4579</v>
      </c>
    </row>
    <row r="805" spans="1:21" x14ac:dyDescent="0.15">
      <c r="A805" t="str">
        <f>公司整体!A805</f>
        <v>机构</v>
      </c>
      <c r="B805" t="str">
        <f>公司整体!B805</f>
        <v>2017-03</v>
      </c>
      <c r="C805">
        <f ca="1">INDIRECT(ADDRESS(ROW(C805),MATCH(公司各渠道指标可视化!$C$4,公司整体!$1:$1,0),3,1,"公司整体"),TRUE)</f>
        <v>260087</v>
      </c>
      <c r="T805" t="str">
        <f t="shared" si="40"/>
        <v>机构2017-03</v>
      </c>
      <c r="U805">
        <f t="shared" ca="1" si="41"/>
        <v>260087</v>
      </c>
    </row>
    <row r="806" spans="1:21" x14ac:dyDescent="0.15">
      <c r="A806" t="str">
        <f>公司整体!A806</f>
        <v>江苏</v>
      </c>
      <c r="B806" t="str">
        <f>公司整体!B806</f>
        <v>2017-03</v>
      </c>
      <c r="C806">
        <f ca="1">INDIRECT(ADDRESS(ROW(C806),MATCH(公司各渠道指标可视化!$C$4,公司整体!$1:$1,0),3,1,"公司整体"),TRUE)</f>
        <v>52420</v>
      </c>
      <c r="T806" t="str">
        <f t="shared" si="40"/>
        <v>江苏2017-03</v>
      </c>
      <c r="U806">
        <f t="shared" ca="1" si="41"/>
        <v>52420</v>
      </c>
    </row>
    <row r="807" spans="1:21" x14ac:dyDescent="0.15">
      <c r="A807" t="str">
        <f>公司整体!A807</f>
        <v>山东</v>
      </c>
      <c r="B807" t="str">
        <f>公司整体!B807</f>
        <v>2017-03</v>
      </c>
      <c r="C807">
        <f ca="1">INDIRECT(ADDRESS(ROW(C807),MATCH(公司各渠道指标可视化!$C$4,公司整体!$1:$1,0),3,1,"公司整体"),TRUE)</f>
        <v>1629</v>
      </c>
      <c r="T807" t="str">
        <f t="shared" si="40"/>
        <v>山东2017-03</v>
      </c>
      <c r="U807">
        <f t="shared" ca="1" si="41"/>
        <v>1629</v>
      </c>
    </row>
    <row r="808" spans="1:21" x14ac:dyDescent="0.15">
      <c r="A808" t="str">
        <f>公司整体!A808</f>
        <v>上海</v>
      </c>
      <c r="B808" t="str">
        <f>公司整体!B808</f>
        <v>2017-03</v>
      </c>
      <c r="C808">
        <f ca="1">INDIRECT(ADDRESS(ROW(C808),MATCH(公司各渠道指标可视化!$C$4,公司整体!$1:$1,0),3,1,"公司整体"),TRUE)</f>
        <v>6768</v>
      </c>
      <c r="T808" t="str">
        <f t="shared" si="40"/>
        <v>上海2017-03</v>
      </c>
      <c r="U808">
        <f t="shared" ca="1" si="41"/>
        <v>6768</v>
      </c>
    </row>
    <row r="809" spans="1:21" x14ac:dyDescent="0.15">
      <c r="A809" t="str">
        <f>公司整体!A809</f>
        <v>深圳</v>
      </c>
      <c r="B809" t="str">
        <f>公司整体!B809</f>
        <v>2017-03</v>
      </c>
      <c r="C809">
        <f ca="1">INDIRECT(ADDRESS(ROW(C809),MATCH(公司各渠道指标可视化!$C$4,公司整体!$1:$1,0),3,1,"公司整体"),TRUE)</f>
        <v>14212</v>
      </c>
      <c r="T809" t="str">
        <f t="shared" si="40"/>
        <v>深圳2017-03</v>
      </c>
      <c r="U809">
        <f t="shared" ca="1" si="41"/>
        <v>14212</v>
      </c>
    </row>
    <row r="810" spans="1:21" x14ac:dyDescent="0.15">
      <c r="A810" t="str">
        <f>公司整体!A810</f>
        <v>四川</v>
      </c>
      <c r="B810" t="str">
        <f>公司整体!B810</f>
        <v>2017-03</v>
      </c>
      <c r="C810">
        <f ca="1">INDIRECT(ADDRESS(ROW(C810),MATCH(公司各渠道指标可视化!$C$4,公司整体!$1:$1,0),3,1,"公司整体"),TRUE)</f>
        <v>30968</v>
      </c>
      <c r="T810" t="str">
        <f t="shared" si="40"/>
        <v>四川2017-03</v>
      </c>
      <c r="U810">
        <f t="shared" ca="1" si="41"/>
        <v>30968</v>
      </c>
    </row>
    <row r="811" spans="1:21" x14ac:dyDescent="0.15">
      <c r="A811" t="str">
        <f>公司整体!A811</f>
        <v>苏州</v>
      </c>
      <c r="B811" t="str">
        <f>公司整体!B811</f>
        <v>2017-03</v>
      </c>
      <c r="C811">
        <f ca="1">INDIRECT(ADDRESS(ROW(C811),MATCH(公司各渠道指标可视化!$C$4,公司整体!$1:$1,0),3,1,"公司整体"),TRUE)</f>
        <v>9927</v>
      </c>
      <c r="T811" t="str">
        <f t="shared" si="40"/>
        <v>苏州2017-03</v>
      </c>
      <c r="U811">
        <f t="shared" ca="1" si="41"/>
        <v>9927</v>
      </c>
    </row>
    <row r="812" spans="1:21" x14ac:dyDescent="0.15">
      <c r="A812" t="str">
        <f>公司整体!A812</f>
        <v>中山</v>
      </c>
      <c r="B812" t="str">
        <f>公司整体!B812</f>
        <v>2017-03</v>
      </c>
      <c r="C812">
        <f ca="1">INDIRECT(ADDRESS(ROW(C812),MATCH(公司各渠道指标可视化!$C$4,公司整体!$1:$1,0),3,1,"公司整体"),TRUE)</f>
        <v>8844</v>
      </c>
      <c r="T812" t="str">
        <f t="shared" si="40"/>
        <v>中山2017-03</v>
      </c>
      <c r="U812">
        <f t="shared" ca="1" si="41"/>
        <v>8844</v>
      </c>
    </row>
    <row r="813" spans="1:21" x14ac:dyDescent="0.15">
      <c r="A813" t="str">
        <f>公司整体!A813</f>
        <v>珠海</v>
      </c>
      <c r="B813" t="str">
        <f>公司整体!B813</f>
        <v>2017-03</v>
      </c>
      <c r="C813">
        <f ca="1">INDIRECT(ADDRESS(ROW(C813),MATCH(公司各渠道指标可视化!$C$4,公司整体!$1:$1,0),3,1,"公司整体"),TRUE)</f>
        <v>7422</v>
      </c>
      <c r="T813" t="str">
        <f t="shared" si="40"/>
        <v>珠海2017-03</v>
      </c>
      <c r="U813">
        <f t="shared" ca="1" si="41"/>
        <v>7422</v>
      </c>
    </row>
    <row r="814" spans="1:21" x14ac:dyDescent="0.15">
      <c r="A814" t="str">
        <f>公司整体!A814</f>
        <v>东莞</v>
      </c>
      <c r="B814" t="str">
        <f>公司整体!B814</f>
        <v>2017-04</v>
      </c>
      <c r="C814">
        <f ca="1">INDIRECT(ADDRESS(ROW(C814),MATCH(公司各渠道指标可视化!$C$4,公司整体!$1:$1,0),3,1,"公司整体"),TRUE)</f>
        <v>10586</v>
      </c>
      <c r="T814" t="str">
        <f t="shared" si="40"/>
        <v>东莞2017-04</v>
      </c>
      <c r="U814">
        <f t="shared" ca="1" si="41"/>
        <v>10586</v>
      </c>
    </row>
    <row r="815" spans="1:21" x14ac:dyDescent="0.15">
      <c r="A815" t="str">
        <f>公司整体!A815</f>
        <v>佛山</v>
      </c>
      <c r="B815" t="str">
        <f>公司整体!B815</f>
        <v>2017-04</v>
      </c>
      <c r="C815">
        <f ca="1">INDIRECT(ADDRESS(ROW(C815),MATCH(公司各渠道指标可视化!$C$4,公司整体!$1:$1,0),3,1,"公司整体"),TRUE)</f>
        <v>10508</v>
      </c>
      <c r="T815" t="str">
        <f t="shared" si="40"/>
        <v>佛山2017-04</v>
      </c>
      <c r="U815">
        <f t="shared" ca="1" si="41"/>
        <v>10508</v>
      </c>
    </row>
    <row r="816" spans="1:21" x14ac:dyDescent="0.15">
      <c r="A816" t="str">
        <f>公司整体!A816</f>
        <v>广东</v>
      </c>
      <c r="B816" t="str">
        <f>公司整体!B816</f>
        <v>2017-04</v>
      </c>
      <c r="C816">
        <f ca="1">INDIRECT(ADDRESS(ROW(C816),MATCH(公司各渠道指标可视化!$C$4,公司整体!$1:$1,0),3,1,"公司整体"),TRUE)</f>
        <v>49422</v>
      </c>
      <c r="T816" t="str">
        <f t="shared" si="40"/>
        <v>广东2017-04</v>
      </c>
      <c r="U816">
        <f t="shared" ca="1" si="41"/>
        <v>49422</v>
      </c>
    </row>
    <row r="817" spans="1:21" x14ac:dyDescent="0.15">
      <c r="A817" t="str">
        <f>公司整体!A817</f>
        <v>广州</v>
      </c>
      <c r="B817" t="str">
        <f>公司整体!B817</f>
        <v>2017-04</v>
      </c>
      <c r="C817">
        <f ca="1">INDIRECT(ADDRESS(ROW(C817),MATCH(公司各渠道指标可视化!$C$4,公司整体!$1:$1,0),3,1,"公司整体"),TRUE)</f>
        <v>10211</v>
      </c>
      <c r="T817" t="str">
        <f t="shared" si="40"/>
        <v>广州2017-04</v>
      </c>
      <c r="U817">
        <f t="shared" ca="1" si="41"/>
        <v>10211</v>
      </c>
    </row>
    <row r="818" spans="1:21" x14ac:dyDescent="0.15">
      <c r="A818" t="str">
        <f>公司整体!A818</f>
        <v>湖北</v>
      </c>
      <c r="B818" t="str">
        <f>公司整体!B818</f>
        <v>2017-04</v>
      </c>
      <c r="C818">
        <f ca="1">INDIRECT(ADDRESS(ROW(C818),MATCH(公司各渠道指标可视化!$C$4,公司整体!$1:$1,0),3,1,"公司整体"),TRUE)</f>
        <v>5274</v>
      </c>
      <c r="T818" t="str">
        <f t="shared" si="40"/>
        <v>湖北2017-04</v>
      </c>
      <c r="U818">
        <f t="shared" ca="1" si="41"/>
        <v>5274</v>
      </c>
    </row>
    <row r="819" spans="1:21" x14ac:dyDescent="0.15">
      <c r="A819" t="str">
        <f>公司整体!A819</f>
        <v>机构</v>
      </c>
      <c r="B819" t="str">
        <f>公司整体!B819</f>
        <v>2017-04</v>
      </c>
      <c r="C819">
        <f ca="1">INDIRECT(ADDRESS(ROW(C819),MATCH(公司各渠道指标可视化!$C$4,公司整体!$1:$1,0),3,1,"公司整体"),TRUE)</f>
        <v>179924</v>
      </c>
      <c r="T819" t="str">
        <f t="shared" si="40"/>
        <v>机构2017-04</v>
      </c>
      <c r="U819">
        <f t="shared" ca="1" si="41"/>
        <v>179924</v>
      </c>
    </row>
    <row r="820" spans="1:21" x14ac:dyDescent="0.15">
      <c r="A820" t="str">
        <f>公司整体!A820</f>
        <v>江苏</v>
      </c>
      <c r="B820" t="str">
        <f>公司整体!B820</f>
        <v>2017-04</v>
      </c>
      <c r="C820">
        <f ca="1">INDIRECT(ADDRESS(ROW(C820),MATCH(公司各渠道指标可视化!$C$4,公司整体!$1:$1,0),3,1,"公司整体"),TRUE)</f>
        <v>23269</v>
      </c>
      <c r="T820" t="str">
        <f t="shared" si="40"/>
        <v>江苏2017-04</v>
      </c>
      <c r="U820">
        <f t="shared" ca="1" si="41"/>
        <v>23269</v>
      </c>
    </row>
    <row r="821" spans="1:21" x14ac:dyDescent="0.15">
      <c r="A821" t="str">
        <f>公司整体!A821</f>
        <v>山东</v>
      </c>
      <c r="B821" t="str">
        <f>公司整体!B821</f>
        <v>2017-04</v>
      </c>
      <c r="C821">
        <f ca="1">INDIRECT(ADDRESS(ROW(C821),MATCH(公司各渠道指标可视化!$C$4,公司整体!$1:$1,0),3,1,"公司整体"),TRUE)</f>
        <v>2799</v>
      </c>
      <c r="T821" t="str">
        <f t="shared" si="40"/>
        <v>山东2017-04</v>
      </c>
      <c r="U821">
        <f t="shared" ca="1" si="41"/>
        <v>2799</v>
      </c>
    </row>
    <row r="822" spans="1:21" x14ac:dyDescent="0.15">
      <c r="A822" t="str">
        <f>公司整体!A822</f>
        <v>上海</v>
      </c>
      <c r="B822" t="str">
        <f>公司整体!B822</f>
        <v>2017-04</v>
      </c>
      <c r="C822">
        <f ca="1">INDIRECT(ADDRESS(ROW(C822),MATCH(公司各渠道指标可视化!$C$4,公司整体!$1:$1,0),3,1,"公司整体"),TRUE)</f>
        <v>10234</v>
      </c>
      <c r="T822" t="str">
        <f t="shared" si="40"/>
        <v>上海2017-04</v>
      </c>
      <c r="U822">
        <f t="shared" ca="1" si="41"/>
        <v>10234</v>
      </c>
    </row>
    <row r="823" spans="1:21" x14ac:dyDescent="0.15">
      <c r="A823" t="str">
        <f>公司整体!A823</f>
        <v>深圳</v>
      </c>
      <c r="B823" t="str">
        <f>公司整体!B823</f>
        <v>2017-04</v>
      </c>
      <c r="C823">
        <f ca="1">INDIRECT(ADDRESS(ROW(C823),MATCH(公司各渠道指标可视化!$C$4,公司整体!$1:$1,0),3,1,"公司整体"),TRUE)</f>
        <v>8692</v>
      </c>
      <c r="T823" t="str">
        <f t="shared" si="40"/>
        <v>深圳2017-04</v>
      </c>
      <c r="U823">
        <f t="shared" ca="1" si="41"/>
        <v>8692</v>
      </c>
    </row>
    <row r="824" spans="1:21" x14ac:dyDescent="0.15">
      <c r="A824" t="str">
        <f>公司整体!A824</f>
        <v>四川</v>
      </c>
      <c r="B824" t="str">
        <f>公司整体!B824</f>
        <v>2017-04</v>
      </c>
      <c r="C824">
        <f ca="1">INDIRECT(ADDRESS(ROW(C824),MATCH(公司各渠道指标可视化!$C$4,公司整体!$1:$1,0),3,1,"公司整体"),TRUE)</f>
        <v>28596</v>
      </c>
      <c r="T824" t="str">
        <f t="shared" si="40"/>
        <v>四川2017-04</v>
      </c>
      <c r="U824">
        <f t="shared" ca="1" si="41"/>
        <v>28596</v>
      </c>
    </row>
    <row r="825" spans="1:21" x14ac:dyDescent="0.15">
      <c r="A825" t="str">
        <f>公司整体!A825</f>
        <v>苏州</v>
      </c>
      <c r="B825" t="str">
        <f>公司整体!B825</f>
        <v>2017-04</v>
      </c>
      <c r="C825">
        <f ca="1">INDIRECT(ADDRESS(ROW(C825),MATCH(公司各渠道指标可视化!$C$4,公司整体!$1:$1,0),3,1,"公司整体"),TRUE)</f>
        <v>4514</v>
      </c>
      <c r="T825" t="str">
        <f t="shared" si="40"/>
        <v>苏州2017-04</v>
      </c>
      <c r="U825">
        <f t="shared" ca="1" si="41"/>
        <v>4514</v>
      </c>
    </row>
    <row r="826" spans="1:21" x14ac:dyDescent="0.15">
      <c r="A826" t="str">
        <f>公司整体!A826</f>
        <v>中山</v>
      </c>
      <c r="B826" t="str">
        <f>公司整体!B826</f>
        <v>2017-04</v>
      </c>
      <c r="C826">
        <f ca="1">INDIRECT(ADDRESS(ROW(C826),MATCH(公司各渠道指标可视化!$C$4,公司整体!$1:$1,0),3,1,"公司整体"),TRUE)</f>
        <v>8407</v>
      </c>
      <c r="T826" t="str">
        <f t="shared" si="40"/>
        <v>中山2017-04</v>
      </c>
      <c r="U826">
        <f t="shared" ca="1" si="41"/>
        <v>8407</v>
      </c>
    </row>
    <row r="827" spans="1:21" x14ac:dyDescent="0.15">
      <c r="A827" t="str">
        <f>公司整体!A827</f>
        <v>珠海</v>
      </c>
      <c r="B827" t="str">
        <f>公司整体!B827</f>
        <v>2017-04</v>
      </c>
      <c r="C827">
        <f ca="1">INDIRECT(ADDRESS(ROW(C827),MATCH(公司各渠道指标可视化!$C$4,公司整体!$1:$1,0),3,1,"公司整体"),TRUE)</f>
        <v>7413</v>
      </c>
      <c r="T827" t="str">
        <f t="shared" si="40"/>
        <v>珠海2017-04</v>
      </c>
      <c r="U827">
        <f t="shared" ca="1" si="41"/>
        <v>7413</v>
      </c>
    </row>
    <row r="828" spans="1:21" x14ac:dyDescent="0.15">
      <c r="A828" t="str">
        <f>公司整体!A828</f>
        <v>东莞</v>
      </c>
      <c r="B828" t="str">
        <f>公司整体!B828</f>
        <v>2017-05</v>
      </c>
      <c r="C828">
        <f ca="1">INDIRECT(ADDRESS(ROW(C828),MATCH(公司各渠道指标可视化!$C$4,公司整体!$1:$1,0),3,1,"公司整体"),TRUE)</f>
        <v>10112</v>
      </c>
      <c r="T828" t="str">
        <f t="shared" si="40"/>
        <v>东莞2017-05</v>
      </c>
      <c r="U828">
        <f t="shared" ca="1" si="41"/>
        <v>10112</v>
      </c>
    </row>
    <row r="829" spans="1:21" x14ac:dyDescent="0.15">
      <c r="A829" t="str">
        <f>公司整体!A829</f>
        <v>佛山</v>
      </c>
      <c r="B829" t="str">
        <f>公司整体!B829</f>
        <v>2017-05</v>
      </c>
      <c r="C829">
        <f ca="1">INDIRECT(ADDRESS(ROW(C829),MATCH(公司各渠道指标可视化!$C$4,公司整体!$1:$1,0),3,1,"公司整体"),TRUE)</f>
        <v>8898</v>
      </c>
      <c r="T829" t="str">
        <f t="shared" si="40"/>
        <v>佛山2017-05</v>
      </c>
      <c r="U829">
        <f t="shared" ca="1" si="41"/>
        <v>8898</v>
      </c>
    </row>
    <row r="830" spans="1:21" x14ac:dyDescent="0.15">
      <c r="A830" t="str">
        <f>公司整体!A830</f>
        <v>广东</v>
      </c>
      <c r="B830" t="str">
        <f>公司整体!B830</f>
        <v>2017-05</v>
      </c>
      <c r="C830">
        <f ca="1">INDIRECT(ADDRESS(ROW(C830),MATCH(公司各渠道指标可视化!$C$4,公司整体!$1:$1,0),3,1,"公司整体"),TRUE)</f>
        <v>36923</v>
      </c>
      <c r="T830" t="str">
        <f t="shared" si="40"/>
        <v>广东2017-05</v>
      </c>
      <c r="U830">
        <f t="shared" ca="1" si="41"/>
        <v>36923</v>
      </c>
    </row>
    <row r="831" spans="1:21" x14ac:dyDescent="0.15">
      <c r="A831" t="str">
        <f>公司整体!A831</f>
        <v>广州</v>
      </c>
      <c r="B831" t="str">
        <f>公司整体!B831</f>
        <v>2017-05</v>
      </c>
      <c r="C831">
        <f ca="1">INDIRECT(ADDRESS(ROW(C831),MATCH(公司各渠道指标可视化!$C$4,公司整体!$1:$1,0),3,1,"公司整体"),TRUE)</f>
        <v>13791</v>
      </c>
      <c r="T831" t="str">
        <f t="shared" si="40"/>
        <v>广州2017-05</v>
      </c>
      <c r="U831">
        <f t="shared" ca="1" si="41"/>
        <v>13791</v>
      </c>
    </row>
    <row r="832" spans="1:21" x14ac:dyDescent="0.15">
      <c r="A832" t="str">
        <f>公司整体!A832</f>
        <v>湖北</v>
      </c>
      <c r="B832" t="str">
        <f>公司整体!B832</f>
        <v>2017-05</v>
      </c>
      <c r="C832">
        <f ca="1">INDIRECT(ADDRESS(ROW(C832),MATCH(公司各渠道指标可视化!$C$4,公司整体!$1:$1,0),3,1,"公司整体"),TRUE)</f>
        <v>2607</v>
      </c>
      <c r="T832" t="str">
        <f t="shared" si="40"/>
        <v>湖北2017-05</v>
      </c>
      <c r="U832">
        <f t="shared" ca="1" si="41"/>
        <v>2607</v>
      </c>
    </row>
    <row r="833" spans="1:21" x14ac:dyDescent="0.15">
      <c r="A833" t="str">
        <f>公司整体!A833</f>
        <v>机构</v>
      </c>
      <c r="B833" t="str">
        <f>公司整体!B833</f>
        <v>2017-05</v>
      </c>
      <c r="C833">
        <f ca="1">INDIRECT(ADDRESS(ROW(C833),MATCH(公司各渠道指标可视化!$C$4,公司整体!$1:$1,0),3,1,"公司整体"),TRUE)</f>
        <v>174011</v>
      </c>
      <c r="T833" t="str">
        <f t="shared" si="40"/>
        <v>机构2017-05</v>
      </c>
      <c r="U833">
        <f t="shared" ca="1" si="41"/>
        <v>174011</v>
      </c>
    </row>
    <row r="834" spans="1:21" x14ac:dyDescent="0.15">
      <c r="A834" t="str">
        <f>公司整体!A834</f>
        <v>江苏</v>
      </c>
      <c r="B834" t="str">
        <f>公司整体!B834</f>
        <v>2017-05</v>
      </c>
      <c r="C834">
        <f ca="1">INDIRECT(ADDRESS(ROW(C834),MATCH(公司各渠道指标可视化!$C$4,公司整体!$1:$1,0),3,1,"公司整体"),TRUE)</f>
        <v>27974</v>
      </c>
      <c r="T834" t="str">
        <f t="shared" si="40"/>
        <v>江苏2017-05</v>
      </c>
      <c r="U834">
        <f t="shared" ca="1" si="41"/>
        <v>27974</v>
      </c>
    </row>
    <row r="835" spans="1:21" x14ac:dyDescent="0.15">
      <c r="A835" t="str">
        <f>公司整体!A835</f>
        <v>山东</v>
      </c>
      <c r="B835" t="str">
        <f>公司整体!B835</f>
        <v>2017-05</v>
      </c>
      <c r="C835">
        <f ca="1">INDIRECT(ADDRESS(ROW(C835),MATCH(公司各渠道指标可视化!$C$4,公司整体!$1:$1,0),3,1,"公司整体"),TRUE)</f>
        <v>4240</v>
      </c>
      <c r="T835" t="str">
        <f t="shared" si="40"/>
        <v>山东2017-05</v>
      </c>
      <c r="U835">
        <f t="shared" ca="1" si="41"/>
        <v>4240</v>
      </c>
    </row>
    <row r="836" spans="1:21" x14ac:dyDescent="0.15">
      <c r="A836" t="str">
        <f>公司整体!A836</f>
        <v>上海</v>
      </c>
      <c r="B836" t="str">
        <f>公司整体!B836</f>
        <v>2017-05</v>
      </c>
      <c r="C836">
        <f ca="1">INDIRECT(ADDRESS(ROW(C836),MATCH(公司各渠道指标可视化!$C$4,公司整体!$1:$1,0),3,1,"公司整体"),TRUE)</f>
        <v>15734</v>
      </c>
      <c r="T836" t="str">
        <f t="shared" si="40"/>
        <v>上海2017-05</v>
      </c>
      <c r="U836">
        <f t="shared" ca="1" si="41"/>
        <v>15734</v>
      </c>
    </row>
    <row r="837" spans="1:21" x14ac:dyDescent="0.15">
      <c r="A837" t="str">
        <f>公司整体!A837</f>
        <v>深圳</v>
      </c>
      <c r="B837" t="str">
        <f>公司整体!B837</f>
        <v>2017-05</v>
      </c>
      <c r="C837">
        <f ca="1">INDIRECT(ADDRESS(ROW(C837),MATCH(公司各渠道指标可视化!$C$4,公司整体!$1:$1,0),3,1,"公司整体"),TRUE)</f>
        <v>7620</v>
      </c>
      <c r="T837" t="str">
        <f t="shared" si="40"/>
        <v>深圳2017-05</v>
      </c>
      <c r="U837">
        <f t="shared" ca="1" si="41"/>
        <v>7620</v>
      </c>
    </row>
    <row r="838" spans="1:21" x14ac:dyDescent="0.15">
      <c r="A838" t="str">
        <f>公司整体!A838</f>
        <v>四川</v>
      </c>
      <c r="B838" t="str">
        <f>公司整体!B838</f>
        <v>2017-05</v>
      </c>
      <c r="C838">
        <f ca="1">INDIRECT(ADDRESS(ROW(C838),MATCH(公司各渠道指标可视化!$C$4,公司整体!$1:$1,0),3,1,"公司整体"),TRUE)</f>
        <v>25061</v>
      </c>
      <c r="T838" t="str">
        <f t="shared" si="40"/>
        <v>四川2017-05</v>
      </c>
      <c r="U838">
        <f t="shared" ca="1" si="41"/>
        <v>25061</v>
      </c>
    </row>
    <row r="839" spans="1:21" x14ac:dyDescent="0.15">
      <c r="A839" t="str">
        <f>公司整体!A839</f>
        <v>苏州</v>
      </c>
      <c r="B839" t="str">
        <f>公司整体!B839</f>
        <v>2017-05</v>
      </c>
      <c r="C839">
        <f ca="1">INDIRECT(ADDRESS(ROW(C839),MATCH(公司各渠道指标可视化!$C$4,公司整体!$1:$1,0),3,1,"公司整体"),TRUE)</f>
        <v>7609</v>
      </c>
      <c r="T839" t="str">
        <f t="shared" si="40"/>
        <v>苏州2017-05</v>
      </c>
      <c r="U839">
        <f t="shared" ca="1" si="41"/>
        <v>7609</v>
      </c>
    </row>
    <row r="840" spans="1:21" x14ac:dyDescent="0.15">
      <c r="A840" t="str">
        <f>公司整体!A840</f>
        <v>中山</v>
      </c>
      <c r="B840" t="str">
        <f>公司整体!B840</f>
        <v>2017-05</v>
      </c>
      <c r="C840">
        <f ca="1">INDIRECT(ADDRESS(ROW(C840),MATCH(公司各渠道指标可视化!$C$4,公司整体!$1:$1,0),3,1,"公司整体"),TRUE)</f>
        <v>7467</v>
      </c>
      <c r="T840" t="str">
        <f t="shared" si="40"/>
        <v>中山2017-05</v>
      </c>
      <c r="U840">
        <f t="shared" ca="1" si="41"/>
        <v>7467</v>
      </c>
    </row>
    <row r="841" spans="1:21" x14ac:dyDescent="0.15">
      <c r="A841" t="str">
        <f>公司整体!A841</f>
        <v>珠海</v>
      </c>
      <c r="B841" t="str">
        <f>公司整体!B841</f>
        <v>2017-05</v>
      </c>
      <c r="C841">
        <f ca="1">INDIRECT(ADDRESS(ROW(C841),MATCH(公司各渠道指标可视化!$C$4,公司整体!$1:$1,0),3,1,"公司整体"),TRUE)</f>
        <v>5974</v>
      </c>
      <c r="T841" t="str">
        <f t="shared" si="40"/>
        <v>珠海2017-05</v>
      </c>
      <c r="U841">
        <f t="shared" ca="1" si="41"/>
        <v>5974</v>
      </c>
    </row>
    <row r="842" spans="1:21" x14ac:dyDescent="0.15">
      <c r="A842" t="str">
        <f>公司整体!A842</f>
        <v>东莞</v>
      </c>
      <c r="B842" t="str">
        <f>公司整体!B842</f>
        <v>2017-06</v>
      </c>
      <c r="C842">
        <f ca="1">INDIRECT(ADDRESS(ROW(C842),MATCH(公司各渠道指标可视化!$C$4,公司整体!$1:$1,0),3,1,"公司整体"),TRUE)</f>
        <v>4567</v>
      </c>
      <c r="T842" t="str">
        <f t="shared" si="40"/>
        <v>东莞2017-06</v>
      </c>
      <c r="U842">
        <f t="shared" ca="1" si="41"/>
        <v>4567</v>
      </c>
    </row>
    <row r="843" spans="1:21" x14ac:dyDescent="0.15">
      <c r="A843" t="str">
        <f>公司整体!A843</f>
        <v>佛山</v>
      </c>
      <c r="B843" t="str">
        <f>公司整体!B843</f>
        <v>2017-06</v>
      </c>
      <c r="C843">
        <f ca="1">INDIRECT(ADDRESS(ROW(C843),MATCH(公司各渠道指标可视化!$C$4,公司整体!$1:$1,0),3,1,"公司整体"),TRUE)</f>
        <v>10504</v>
      </c>
      <c r="T843" t="str">
        <f t="shared" si="40"/>
        <v>佛山2017-06</v>
      </c>
      <c r="U843">
        <f t="shared" ca="1" si="41"/>
        <v>10504</v>
      </c>
    </row>
    <row r="844" spans="1:21" x14ac:dyDescent="0.15">
      <c r="A844" t="str">
        <f>公司整体!A844</f>
        <v>广东</v>
      </c>
      <c r="B844" t="str">
        <f>公司整体!B844</f>
        <v>2017-06</v>
      </c>
      <c r="C844">
        <f ca="1">INDIRECT(ADDRESS(ROW(C844),MATCH(公司各渠道指标可视化!$C$4,公司整体!$1:$1,0),3,1,"公司整体"),TRUE)</f>
        <v>34433</v>
      </c>
      <c r="T844" t="str">
        <f t="shared" si="40"/>
        <v>广东2017-06</v>
      </c>
      <c r="U844">
        <f t="shared" ca="1" si="41"/>
        <v>34433</v>
      </c>
    </row>
    <row r="845" spans="1:21" x14ac:dyDescent="0.15">
      <c r="A845" t="str">
        <f>公司整体!A845</f>
        <v>广州</v>
      </c>
      <c r="B845" t="str">
        <f>公司整体!B845</f>
        <v>2017-06</v>
      </c>
      <c r="C845">
        <f ca="1">INDIRECT(ADDRESS(ROW(C845),MATCH(公司各渠道指标可视化!$C$4,公司整体!$1:$1,0),3,1,"公司整体"),TRUE)</f>
        <v>7791</v>
      </c>
      <c r="T845" t="str">
        <f t="shared" si="40"/>
        <v>广州2017-06</v>
      </c>
      <c r="U845">
        <f t="shared" ca="1" si="41"/>
        <v>7791</v>
      </c>
    </row>
    <row r="846" spans="1:21" x14ac:dyDescent="0.15">
      <c r="A846" t="str">
        <f>公司整体!A846</f>
        <v>湖北</v>
      </c>
      <c r="B846" t="str">
        <f>公司整体!B846</f>
        <v>2017-06</v>
      </c>
      <c r="C846">
        <f ca="1">INDIRECT(ADDRESS(ROW(C846),MATCH(公司各渠道指标可视化!$C$4,公司整体!$1:$1,0),3,1,"公司整体"),TRUE)</f>
        <v>1942</v>
      </c>
      <c r="T846" t="str">
        <f t="shared" si="40"/>
        <v>湖北2017-06</v>
      </c>
      <c r="U846">
        <f t="shared" ca="1" si="41"/>
        <v>1942</v>
      </c>
    </row>
    <row r="847" spans="1:21" x14ac:dyDescent="0.15">
      <c r="A847" t="str">
        <f>公司整体!A847</f>
        <v>机构</v>
      </c>
      <c r="B847" t="str">
        <f>公司整体!B847</f>
        <v>2017-06</v>
      </c>
      <c r="C847">
        <f ca="1">INDIRECT(ADDRESS(ROW(C847),MATCH(公司各渠道指标可视化!$C$4,公司整体!$1:$1,0),3,1,"公司整体"),TRUE)</f>
        <v>134136</v>
      </c>
      <c r="T847" t="str">
        <f t="shared" si="40"/>
        <v>机构2017-06</v>
      </c>
      <c r="U847">
        <f t="shared" ca="1" si="41"/>
        <v>134136</v>
      </c>
    </row>
    <row r="848" spans="1:21" x14ac:dyDescent="0.15">
      <c r="A848" t="str">
        <f>公司整体!A848</f>
        <v>江苏</v>
      </c>
      <c r="B848" t="str">
        <f>公司整体!B848</f>
        <v>2017-06</v>
      </c>
      <c r="C848">
        <f ca="1">INDIRECT(ADDRESS(ROW(C848),MATCH(公司各渠道指标可视化!$C$4,公司整体!$1:$1,0),3,1,"公司整体"),TRUE)</f>
        <v>7787</v>
      </c>
      <c r="T848" t="str">
        <f t="shared" si="40"/>
        <v>江苏2017-06</v>
      </c>
      <c r="U848">
        <f t="shared" ca="1" si="41"/>
        <v>7787</v>
      </c>
    </row>
    <row r="849" spans="1:21" x14ac:dyDescent="0.15">
      <c r="A849" t="str">
        <f>公司整体!A849</f>
        <v>山东</v>
      </c>
      <c r="B849" t="str">
        <f>公司整体!B849</f>
        <v>2017-06</v>
      </c>
      <c r="C849">
        <f ca="1">INDIRECT(ADDRESS(ROW(C849),MATCH(公司各渠道指标可视化!$C$4,公司整体!$1:$1,0),3,1,"公司整体"),TRUE)</f>
        <v>2988</v>
      </c>
      <c r="T849" t="str">
        <f t="shared" si="40"/>
        <v>山东2017-06</v>
      </c>
      <c r="U849">
        <f t="shared" ca="1" si="41"/>
        <v>2988</v>
      </c>
    </row>
    <row r="850" spans="1:21" x14ac:dyDescent="0.15">
      <c r="A850" t="str">
        <f>公司整体!A850</f>
        <v>上海</v>
      </c>
      <c r="B850" t="str">
        <f>公司整体!B850</f>
        <v>2017-06</v>
      </c>
      <c r="C850">
        <f ca="1">INDIRECT(ADDRESS(ROW(C850),MATCH(公司各渠道指标可视化!$C$4,公司整体!$1:$1,0),3,1,"公司整体"),TRUE)</f>
        <v>6451</v>
      </c>
      <c r="T850" t="str">
        <f t="shared" si="40"/>
        <v>上海2017-06</v>
      </c>
      <c r="U850">
        <f t="shared" ca="1" si="41"/>
        <v>6451</v>
      </c>
    </row>
    <row r="851" spans="1:21" x14ac:dyDescent="0.15">
      <c r="A851" t="str">
        <f>公司整体!A851</f>
        <v>深圳</v>
      </c>
      <c r="B851" t="str">
        <f>公司整体!B851</f>
        <v>2017-06</v>
      </c>
      <c r="C851">
        <f ca="1">INDIRECT(ADDRESS(ROW(C851),MATCH(公司各渠道指标可视化!$C$4,公司整体!$1:$1,0),3,1,"公司整体"),TRUE)</f>
        <v>3674</v>
      </c>
      <c r="T851" t="str">
        <f t="shared" si="40"/>
        <v>深圳2017-06</v>
      </c>
      <c r="U851">
        <f t="shared" ca="1" si="41"/>
        <v>3674</v>
      </c>
    </row>
    <row r="852" spans="1:21" x14ac:dyDescent="0.15">
      <c r="A852" t="str">
        <f>公司整体!A852</f>
        <v>四川</v>
      </c>
      <c r="B852" t="str">
        <f>公司整体!B852</f>
        <v>2017-06</v>
      </c>
      <c r="C852">
        <f ca="1">INDIRECT(ADDRESS(ROW(C852),MATCH(公司各渠道指标可视化!$C$4,公司整体!$1:$1,0),3,1,"公司整体"),TRUE)</f>
        <v>34068</v>
      </c>
      <c r="T852" t="str">
        <f t="shared" si="40"/>
        <v>四川2017-06</v>
      </c>
      <c r="U852">
        <f t="shared" ca="1" si="41"/>
        <v>34068</v>
      </c>
    </row>
    <row r="853" spans="1:21" x14ac:dyDescent="0.15">
      <c r="A853" t="str">
        <f>公司整体!A853</f>
        <v>苏州</v>
      </c>
      <c r="B853" t="str">
        <f>公司整体!B853</f>
        <v>2017-06</v>
      </c>
      <c r="C853">
        <f ca="1">INDIRECT(ADDRESS(ROW(C853),MATCH(公司各渠道指标可视化!$C$4,公司整体!$1:$1,0),3,1,"公司整体"),TRUE)</f>
        <v>10338</v>
      </c>
      <c r="T853" t="str">
        <f t="shared" si="40"/>
        <v>苏州2017-06</v>
      </c>
      <c r="U853">
        <f t="shared" ca="1" si="41"/>
        <v>10338</v>
      </c>
    </row>
    <row r="854" spans="1:21" x14ac:dyDescent="0.15">
      <c r="A854" t="str">
        <f>公司整体!A854</f>
        <v>中山</v>
      </c>
      <c r="B854" t="str">
        <f>公司整体!B854</f>
        <v>2017-06</v>
      </c>
      <c r="C854">
        <f ca="1">INDIRECT(ADDRESS(ROW(C854),MATCH(公司各渠道指标可视化!$C$4,公司整体!$1:$1,0),3,1,"公司整体"),TRUE)</f>
        <v>4467</v>
      </c>
      <c r="T854" t="str">
        <f t="shared" si="40"/>
        <v>中山2017-06</v>
      </c>
      <c r="U854">
        <f t="shared" ca="1" si="41"/>
        <v>4467</v>
      </c>
    </row>
    <row r="855" spans="1:21" x14ac:dyDescent="0.15">
      <c r="A855" t="str">
        <f>公司整体!A855</f>
        <v>珠海</v>
      </c>
      <c r="B855" t="str">
        <f>公司整体!B855</f>
        <v>2017-06</v>
      </c>
      <c r="C855">
        <f ca="1">INDIRECT(ADDRESS(ROW(C855),MATCH(公司各渠道指标可视化!$C$4,公司整体!$1:$1,0),3,1,"公司整体"),TRUE)</f>
        <v>5125</v>
      </c>
      <c r="T855" t="str">
        <f t="shared" ref="T855:T918" si="42">A855&amp;B855</f>
        <v>珠海2017-06</v>
      </c>
      <c r="U855">
        <f t="shared" ref="U855:U918" ca="1" si="43">C855</f>
        <v>5125</v>
      </c>
    </row>
    <row r="856" spans="1:21" x14ac:dyDescent="0.15">
      <c r="A856" t="str">
        <f>公司整体!A856</f>
        <v>东莞</v>
      </c>
      <c r="B856" t="str">
        <f>公司整体!B856</f>
        <v>2017-07</v>
      </c>
      <c r="C856">
        <f ca="1">INDIRECT(ADDRESS(ROW(C856),MATCH(公司各渠道指标可视化!$C$4,公司整体!$1:$1,0),3,1,"公司整体"),TRUE)</f>
        <v>6181</v>
      </c>
      <c r="T856" t="str">
        <f t="shared" si="42"/>
        <v>东莞2017-07</v>
      </c>
      <c r="U856">
        <f t="shared" ca="1" si="43"/>
        <v>6181</v>
      </c>
    </row>
    <row r="857" spans="1:21" x14ac:dyDescent="0.15">
      <c r="A857" t="str">
        <f>公司整体!A857</f>
        <v>佛山</v>
      </c>
      <c r="B857" t="str">
        <f>公司整体!B857</f>
        <v>2017-07</v>
      </c>
      <c r="C857">
        <f ca="1">INDIRECT(ADDRESS(ROW(C857),MATCH(公司各渠道指标可视化!$C$4,公司整体!$1:$1,0),3,1,"公司整体"),TRUE)</f>
        <v>8079</v>
      </c>
      <c r="T857" t="str">
        <f t="shared" si="42"/>
        <v>佛山2017-07</v>
      </c>
      <c r="U857">
        <f t="shared" ca="1" si="43"/>
        <v>8079</v>
      </c>
    </row>
    <row r="858" spans="1:21" x14ac:dyDescent="0.15">
      <c r="A858" t="str">
        <f>公司整体!A858</f>
        <v>广东</v>
      </c>
      <c r="B858" t="str">
        <f>公司整体!B858</f>
        <v>2017-07</v>
      </c>
      <c r="C858">
        <f ca="1">INDIRECT(ADDRESS(ROW(C858),MATCH(公司各渠道指标可视化!$C$4,公司整体!$1:$1,0),3,1,"公司整体"),TRUE)</f>
        <v>29664</v>
      </c>
      <c r="T858" t="str">
        <f t="shared" si="42"/>
        <v>广东2017-07</v>
      </c>
      <c r="U858">
        <f t="shared" ca="1" si="43"/>
        <v>29664</v>
      </c>
    </row>
    <row r="859" spans="1:21" x14ac:dyDescent="0.15">
      <c r="A859" t="str">
        <f>公司整体!A859</f>
        <v>广州</v>
      </c>
      <c r="B859" t="str">
        <f>公司整体!B859</f>
        <v>2017-07</v>
      </c>
      <c r="C859">
        <f ca="1">INDIRECT(ADDRESS(ROW(C859),MATCH(公司各渠道指标可视化!$C$4,公司整体!$1:$1,0),3,1,"公司整体"),TRUE)</f>
        <v>6134</v>
      </c>
      <c r="T859" t="str">
        <f t="shared" si="42"/>
        <v>广州2017-07</v>
      </c>
      <c r="U859">
        <f t="shared" ca="1" si="43"/>
        <v>6134</v>
      </c>
    </row>
    <row r="860" spans="1:21" x14ac:dyDescent="0.15">
      <c r="A860" t="str">
        <f>公司整体!A860</f>
        <v>湖北</v>
      </c>
      <c r="B860" t="str">
        <f>公司整体!B860</f>
        <v>2017-07</v>
      </c>
      <c r="C860">
        <f ca="1">INDIRECT(ADDRESS(ROW(C860),MATCH(公司各渠道指标可视化!$C$4,公司整体!$1:$1,0),3,1,"公司整体"),TRUE)</f>
        <v>1973</v>
      </c>
      <c r="T860" t="str">
        <f t="shared" si="42"/>
        <v>湖北2017-07</v>
      </c>
      <c r="U860">
        <f t="shared" ca="1" si="43"/>
        <v>1973</v>
      </c>
    </row>
    <row r="861" spans="1:21" x14ac:dyDescent="0.15">
      <c r="A861" t="str">
        <f>公司整体!A861</f>
        <v>机构</v>
      </c>
      <c r="B861" t="str">
        <f>公司整体!B861</f>
        <v>2017-07</v>
      </c>
      <c r="C861">
        <f ca="1">INDIRECT(ADDRESS(ROW(C861),MATCH(公司各渠道指标可视化!$C$4,公司整体!$1:$1,0),3,1,"公司整体"),TRUE)</f>
        <v>153070</v>
      </c>
      <c r="T861" t="str">
        <f t="shared" si="42"/>
        <v>机构2017-07</v>
      </c>
      <c r="U861">
        <f t="shared" ca="1" si="43"/>
        <v>153070</v>
      </c>
    </row>
    <row r="862" spans="1:21" x14ac:dyDescent="0.15">
      <c r="A862" t="str">
        <f>公司整体!A862</f>
        <v>江苏</v>
      </c>
      <c r="B862" t="str">
        <f>公司整体!B862</f>
        <v>2017-07</v>
      </c>
      <c r="C862">
        <f ca="1">INDIRECT(ADDRESS(ROW(C862),MATCH(公司各渠道指标可视化!$C$4,公司整体!$1:$1,0),3,1,"公司整体"),TRUE)</f>
        <v>36827</v>
      </c>
      <c r="T862" t="str">
        <f t="shared" si="42"/>
        <v>江苏2017-07</v>
      </c>
      <c r="U862">
        <f t="shared" ca="1" si="43"/>
        <v>36827</v>
      </c>
    </row>
    <row r="863" spans="1:21" x14ac:dyDescent="0.15">
      <c r="A863" t="str">
        <f>公司整体!A863</f>
        <v>山东</v>
      </c>
      <c r="B863" t="str">
        <f>公司整体!B863</f>
        <v>2017-07</v>
      </c>
      <c r="C863">
        <f ca="1">INDIRECT(ADDRESS(ROW(C863),MATCH(公司各渠道指标可视化!$C$4,公司整体!$1:$1,0),3,1,"公司整体"),TRUE)</f>
        <v>2433</v>
      </c>
      <c r="T863" t="str">
        <f t="shared" si="42"/>
        <v>山东2017-07</v>
      </c>
      <c r="U863">
        <f t="shared" ca="1" si="43"/>
        <v>2433</v>
      </c>
    </row>
    <row r="864" spans="1:21" x14ac:dyDescent="0.15">
      <c r="A864" t="str">
        <f>公司整体!A864</f>
        <v>上海</v>
      </c>
      <c r="B864" t="str">
        <f>公司整体!B864</f>
        <v>2017-07</v>
      </c>
      <c r="C864">
        <f ca="1">INDIRECT(ADDRESS(ROW(C864),MATCH(公司各渠道指标可视化!$C$4,公司整体!$1:$1,0),3,1,"公司整体"),TRUE)</f>
        <v>4745</v>
      </c>
      <c r="T864" t="str">
        <f t="shared" si="42"/>
        <v>上海2017-07</v>
      </c>
      <c r="U864">
        <f t="shared" ca="1" si="43"/>
        <v>4745</v>
      </c>
    </row>
    <row r="865" spans="1:21" x14ac:dyDescent="0.15">
      <c r="A865" t="str">
        <f>公司整体!A865</f>
        <v>深圳</v>
      </c>
      <c r="B865" t="str">
        <f>公司整体!B865</f>
        <v>2017-07</v>
      </c>
      <c r="C865">
        <f ca="1">INDIRECT(ADDRESS(ROW(C865),MATCH(公司各渠道指标可视化!$C$4,公司整体!$1:$1,0),3,1,"公司整体"),TRUE)</f>
        <v>2327</v>
      </c>
      <c r="T865" t="str">
        <f t="shared" si="42"/>
        <v>深圳2017-07</v>
      </c>
      <c r="U865">
        <f t="shared" ca="1" si="43"/>
        <v>2327</v>
      </c>
    </row>
    <row r="866" spans="1:21" x14ac:dyDescent="0.15">
      <c r="A866" t="str">
        <f>公司整体!A866</f>
        <v>四川</v>
      </c>
      <c r="B866" t="str">
        <f>公司整体!B866</f>
        <v>2017-07</v>
      </c>
      <c r="C866">
        <f ca="1">INDIRECT(ADDRESS(ROW(C866),MATCH(公司各渠道指标可视化!$C$4,公司整体!$1:$1,0),3,1,"公司整体"),TRUE)</f>
        <v>37234</v>
      </c>
      <c r="T866" t="str">
        <f t="shared" si="42"/>
        <v>四川2017-07</v>
      </c>
      <c r="U866">
        <f t="shared" ca="1" si="43"/>
        <v>37234</v>
      </c>
    </row>
    <row r="867" spans="1:21" x14ac:dyDescent="0.15">
      <c r="A867" t="str">
        <f>公司整体!A867</f>
        <v>苏州</v>
      </c>
      <c r="B867" t="str">
        <f>公司整体!B867</f>
        <v>2017-07</v>
      </c>
      <c r="C867">
        <f ca="1">INDIRECT(ADDRESS(ROW(C867),MATCH(公司各渠道指标可视化!$C$4,公司整体!$1:$1,0),3,1,"公司整体"),TRUE)</f>
        <v>8715</v>
      </c>
      <c r="T867" t="str">
        <f t="shared" si="42"/>
        <v>苏州2017-07</v>
      </c>
      <c r="U867">
        <f t="shared" ca="1" si="43"/>
        <v>8715</v>
      </c>
    </row>
    <row r="868" spans="1:21" x14ac:dyDescent="0.15">
      <c r="A868" t="str">
        <f>公司整体!A868</f>
        <v>中山</v>
      </c>
      <c r="B868" t="str">
        <f>公司整体!B868</f>
        <v>2017-07</v>
      </c>
      <c r="C868">
        <f ca="1">INDIRECT(ADDRESS(ROW(C868),MATCH(公司各渠道指标可视化!$C$4,公司整体!$1:$1,0),3,1,"公司整体"),TRUE)</f>
        <v>4690</v>
      </c>
      <c r="T868" t="str">
        <f t="shared" si="42"/>
        <v>中山2017-07</v>
      </c>
      <c r="U868">
        <f t="shared" ca="1" si="43"/>
        <v>4690</v>
      </c>
    </row>
    <row r="869" spans="1:21" x14ac:dyDescent="0.15">
      <c r="A869" t="str">
        <f>公司整体!A869</f>
        <v>珠海</v>
      </c>
      <c r="B869" t="str">
        <f>公司整体!B869</f>
        <v>2017-07</v>
      </c>
      <c r="C869">
        <f ca="1">INDIRECT(ADDRESS(ROW(C869),MATCH(公司各渠道指标可视化!$C$4,公司整体!$1:$1,0),3,1,"公司整体"),TRUE)</f>
        <v>4068</v>
      </c>
      <c r="T869" t="str">
        <f t="shared" si="42"/>
        <v>珠海2017-07</v>
      </c>
      <c r="U869">
        <f t="shared" ca="1" si="43"/>
        <v>4068</v>
      </c>
    </row>
    <row r="870" spans="1:21" x14ac:dyDescent="0.15">
      <c r="A870" t="str">
        <f>公司整体!A870</f>
        <v>东莞</v>
      </c>
      <c r="B870" t="str">
        <f>公司整体!B870</f>
        <v>2017-08</v>
      </c>
      <c r="C870">
        <f ca="1">INDIRECT(ADDRESS(ROW(C870),MATCH(公司各渠道指标可视化!$C$4,公司整体!$1:$1,0),3,1,"公司整体"),TRUE)</f>
        <v>5906</v>
      </c>
      <c r="T870" t="str">
        <f t="shared" si="42"/>
        <v>东莞2017-08</v>
      </c>
      <c r="U870">
        <f t="shared" ca="1" si="43"/>
        <v>5906</v>
      </c>
    </row>
    <row r="871" spans="1:21" x14ac:dyDescent="0.15">
      <c r="A871" t="str">
        <f>公司整体!A871</f>
        <v>佛山</v>
      </c>
      <c r="B871" t="str">
        <f>公司整体!B871</f>
        <v>2017-08</v>
      </c>
      <c r="C871">
        <f ca="1">INDIRECT(ADDRESS(ROW(C871),MATCH(公司各渠道指标可视化!$C$4,公司整体!$1:$1,0),3,1,"公司整体"),TRUE)</f>
        <v>7970</v>
      </c>
      <c r="T871" t="str">
        <f t="shared" si="42"/>
        <v>佛山2017-08</v>
      </c>
      <c r="U871">
        <f t="shared" ca="1" si="43"/>
        <v>7970</v>
      </c>
    </row>
    <row r="872" spans="1:21" x14ac:dyDescent="0.15">
      <c r="A872" t="str">
        <f>公司整体!A872</f>
        <v>广东</v>
      </c>
      <c r="B872" t="str">
        <f>公司整体!B872</f>
        <v>2017-08</v>
      </c>
      <c r="C872">
        <f ca="1">INDIRECT(ADDRESS(ROW(C872),MATCH(公司各渠道指标可视化!$C$4,公司整体!$1:$1,0),3,1,"公司整体"),TRUE)</f>
        <v>38111</v>
      </c>
      <c r="T872" t="str">
        <f t="shared" si="42"/>
        <v>广东2017-08</v>
      </c>
      <c r="U872">
        <f t="shared" ca="1" si="43"/>
        <v>38111</v>
      </c>
    </row>
    <row r="873" spans="1:21" x14ac:dyDescent="0.15">
      <c r="A873" t="str">
        <f>公司整体!A873</f>
        <v>广州</v>
      </c>
      <c r="B873" t="str">
        <f>公司整体!B873</f>
        <v>2017-08</v>
      </c>
      <c r="C873">
        <f ca="1">INDIRECT(ADDRESS(ROW(C873),MATCH(公司各渠道指标可视化!$C$4,公司整体!$1:$1,0),3,1,"公司整体"),TRUE)</f>
        <v>7990</v>
      </c>
      <c r="T873" t="str">
        <f t="shared" si="42"/>
        <v>广州2017-08</v>
      </c>
      <c r="U873">
        <f t="shared" ca="1" si="43"/>
        <v>7990</v>
      </c>
    </row>
    <row r="874" spans="1:21" x14ac:dyDescent="0.15">
      <c r="A874" t="str">
        <f>公司整体!A874</f>
        <v>湖北</v>
      </c>
      <c r="B874" t="str">
        <f>公司整体!B874</f>
        <v>2017-08</v>
      </c>
      <c r="C874">
        <f ca="1">INDIRECT(ADDRESS(ROW(C874),MATCH(公司各渠道指标可视化!$C$4,公司整体!$1:$1,0),3,1,"公司整体"),TRUE)</f>
        <v>714</v>
      </c>
      <c r="T874" t="str">
        <f t="shared" si="42"/>
        <v>湖北2017-08</v>
      </c>
      <c r="U874">
        <f t="shared" ca="1" si="43"/>
        <v>714</v>
      </c>
    </row>
    <row r="875" spans="1:21" x14ac:dyDescent="0.15">
      <c r="A875" t="str">
        <f>公司整体!A875</f>
        <v>机构</v>
      </c>
      <c r="B875" t="str">
        <f>公司整体!B875</f>
        <v>2017-08</v>
      </c>
      <c r="C875">
        <f ca="1">INDIRECT(ADDRESS(ROW(C875),MATCH(公司各渠道指标可视化!$C$4,公司整体!$1:$1,0),3,1,"公司整体"),TRUE)</f>
        <v>191666</v>
      </c>
      <c r="T875" t="str">
        <f t="shared" si="42"/>
        <v>机构2017-08</v>
      </c>
      <c r="U875">
        <f t="shared" ca="1" si="43"/>
        <v>191666</v>
      </c>
    </row>
    <row r="876" spans="1:21" x14ac:dyDescent="0.15">
      <c r="A876" t="str">
        <f>公司整体!A876</f>
        <v>江苏</v>
      </c>
      <c r="B876" t="str">
        <f>公司整体!B876</f>
        <v>2017-08</v>
      </c>
      <c r="C876">
        <f ca="1">INDIRECT(ADDRESS(ROW(C876),MATCH(公司各渠道指标可视化!$C$4,公司整体!$1:$1,0),3,1,"公司整体"),TRUE)</f>
        <v>48108</v>
      </c>
      <c r="T876" t="str">
        <f t="shared" si="42"/>
        <v>江苏2017-08</v>
      </c>
      <c r="U876">
        <f t="shared" ca="1" si="43"/>
        <v>48108</v>
      </c>
    </row>
    <row r="877" spans="1:21" x14ac:dyDescent="0.15">
      <c r="A877" t="str">
        <f>公司整体!A877</f>
        <v>山东</v>
      </c>
      <c r="B877" t="str">
        <f>公司整体!B877</f>
        <v>2017-08</v>
      </c>
      <c r="C877">
        <f ca="1">INDIRECT(ADDRESS(ROW(C877),MATCH(公司各渠道指标可视化!$C$4,公司整体!$1:$1,0),3,1,"公司整体"),TRUE)</f>
        <v>4209</v>
      </c>
      <c r="T877" t="str">
        <f t="shared" si="42"/>
        <v>山东2017-08</v>
      </c>
      <c r="U877">
        <f t="shared" ca="1" si="43"/>
        <v>4209</v>
      </c>
    </row>
    <row r="878" spans="1:21" x14ac:dyDescent="0.15">
      <c r="A878" t="str">
        <f>公司整体!A878</f>
        <v>上海</v>
      </c>
      <c r="B878" t="str">
        <f>公司整体!B878</f>
        <v>2017-08</v>
      </c>
      <c r="C878">
        <f ca="1">INDIRECT(ADDRESS(ROW(C878),MATCH(公司各渠道指标可视化!$C$4,公司整体!$1:$1,0),3,1,"公司整体"),TRUE)</f>
        <v>7906</v>
      </c>
      <c r="T878" t="str">
        <f t="shared" si="42"/>
        <v>上海2017-08</v>
      </c>
      <c r="U878">
        <f t="shared" ca="1" si="43"/>
        <v>7906</v>
      </c>
    </row>
    <row r="879" spans="1:21" x14ac:dyDescent="0.15">
      <c r="A879" t="str">
        <f>公司整体!A879</f>
        <v>深圳</v>
      </c>
      <c r="B879" t="str">
        <f>公司整体!B879</f>
        <v>2017-08</v>
      </c>
      <c r="C879">
        <f ca="1">INDIRECT(ADDRESS(ROW(C879),MATCH(公司各渠道指标可视化!$C$4,公司整体!$1:$1,0),3,1,"公司整体"),TRUE)</f>
        <v>14790</v>
      </c>
      <c r="T879" t="str">
        <f t="shared" si="42"/>
        <v>深圳2017-08</v>
      </c>
      <c r="U879">
        <f t="shared" ca="1" si="43"/>
        <v>14790</v>
      </c>
    </row>
    <row r="880" spans="1:21" x14ac:dyDescent="0.15">
      <c r="A880" t="str">
        <f>公司整体!A880</f>
        <v>四川</v>
      </c>
      <c r="B880" t="str">
        <f>公司整体!B880</f>
        <v>2017-08</v>
      </c>
      <c r="C880">
        <f ca="1">INDIRECT(ADDRESS(ROW(C880),MATCH(公司各渠道指标可视化!$C$4,公司整体!$1:$1,0),3,1,"公司整体"),TRUE)</f>
        <v>39455</v>
      </c>
      <c r="T880" t="str">
        <f t="shared" si="42"/>
        <v>四川2017-08</v>
      </c>
      <c r="U880">
        <f t="shared" ca="1" si="43"/>
        <v>39455</v>
      </c>
    </row>
    <row r="881" spans="1:21" x14ac:dyDescent="0.15">
      <c r="A881" t="str">
        <f>公司整体!A881</f>
        <v>苏州</v>
      </c>
      <c r="B881" t="str">
        <f>公司整体!B881</f>
        <v>2017-08</v>
      </c>
      <c r="C881">
        <f ca="1">INDIRECT(ADDRESS(ROW(C881),MATCH(公司各渠道指标可视化!$C$4,公司整体!$1:$1,0),3,1,"公司整体"),TRUE)</f>
        <v>8333</v>
      </c>
      <c r="T881" t="str">
        <f t="shared" si="42"/>
        <v>苏州2017-08</v>
      </c>
      <c r="U881">
        <f t="shared" ca="1" si="43"/>
        <v>8333</v>
      </c>
    </row>
    <row r="882" spans="1:21" x14ac:dyDescent="0.15">
      <c r="A882" t="str">
        <f>公司整体!A882</f>
        <v>中山</v>
      </c>
      <c r="B882" t="str">
        <f>公司整体!B882</f>
        <v>2017-08</v>
      </c>
      <c r="C882">
        <f ca="1">INDIRECT(ADDRESS(ROW(C882),MATCH(公司各渠道指标可视化!$C$4,公司整体!$1:$1,0),3,1,"公司整体"),TRUE)</f>
        <v>4815</v>
      </c>
      <c r="T882" t="str">
        <f t="shared" si="42"/>
        <v>中山2017-08</v>
      </c>
      <c r="U882">
        <f t="shared" ca="1" si="43"/>
        <v>4815</v>
      </c>
    </row>
    <row r="883" spans="1:21" x14ac:dyDescent="0.15">
      <c r="A883" t="str">
        <f>公司整体!A883</f>
        <v>珠海</v>
      </c>
      <c r="B883" t="str">
        <f>公司整体!B883</f>
        <v>2017-08</v>
      </c>
      <c r="C883">
        <f ca="1">INDIRECT(ADDRESS(ROW(C883),MATCH(公司各渠道指标可视化!$C$4,公司整体!$1:$1,0),3,1,"公司整体"),TRUE)</f>
        <v>3358</v>
      </c>
      <c r="T883" t="str">
        <f t="shared" si="42"/>
        <v>珠海2017-08</v>
      </c>
      <c r="U883">
        <f t="shared" ca="1" si="43"/>
        <v>3358</v>
      </c>
    </row>
    <row r="884" spans="1:21" x14ac:dyDescent="0.15">
      <c r="A884" t="str">
        <f>公司整体!A884</f>
        <v>东莞</v>
      </c>
      <c r="B884" t="str">
        <f>公司整体!B884</f>
        <v>2017-09</v>
      </c>
      <c r="C884">
        <f ca="1">INDIRECT(ADDRESS(ROW(C884),MATCH(公司各渠道指标可视化!$C$4,公司整体!$1:$1,0),3,1,"公司整体"),TRUE)</f>
        <v>4462</v>
      </c>
      <c r="T884" t="str">
        <f t="shared" si="42"/>
        <v>东莞2017-09</v>
      </c>
      <c r="U884">
        <f t="shared" ca="1" si="43"/>
        <v>4462</v>
      </c>
    </row>
    <row r="885" spans="1:21" x14ac:dyDescent="0.15">
      <c r="A885" t="str">
        <f>公司整体!A885</f>
        <v>佛山</v>
      </c>
      <c r="B885" t="str">
        <f>公司整体!B885</f>
        <v>2017-09</v>
      </c>
      <c r="C885">
        <f ca="1">INDIRECT(ADDRESS(ROW(C885),MATCH(公司各渠道指标可视化!$C$4,公司整体!$1:$1,0),3,1,"公司整体"),TRUE)</f>
        <v>12162</v>
      </c>
      <c r="T885" t="str">
        <f t="shared" si="42"/>
        <v>佛山2017-09</v>
      </c>
      <c r="U885">
        <f t="shared" ca="1" si="43"/>
        <v>12162</v>
      </c>
    </row>
    <row r="886" spans="1:21" x14ac:dyDescent="0.15">
      <c r="A886" t="str">
        <f>公司整体!A886</f>
        <v>广东</v>
      </c>
      <c r="B886" t="str">
        <f>公司整体!B886</f>
        <v>2017-09</v>
      </c>
      <c r="C886">
        <f ca="1">INDIRECT(ADDRESS(ROW(C886),MATCH(公司各渠道指标可视化!$C$4,公司整体!$1:$1,0),3,1,"公司整体"),TRUE)</f>
        <v>48079</v>
      </c>
      <c r="T886" t="str">
        <f t="shared" si="42"/>
        <v>广东2017-09</v>
      </c>
      <c r="U886">
        <f t="shared" ca="1" si="43"/>
        <v>48079</v>
      </c>
    </row>
    <row r="887" spans="1:21" x14ac:dyDescent="0.15">
      <c r="A887" t="str">
        <f>公司整体!A887</f>
        <v>广州</v>
      </c>
      <c r="B887" t="str">
        <f>公司整体!B887</f>
        <v>2017-09</v>
      </c>
      <c r="C887">
        <f ca="1">INDIRECT(ADDRESS(ROW(C887),MATCH(公司各渠道指标可视化!$C$4,公司整体!$1:$1,0),3,1,"公司整体"),TRUE)</f>
        <v>8661</v>
      </c>
      <c r="T887" t="str">
        <f t="shared" si="42"/>
        <v>广州2017-09</v>
      </c>
      <c r="U887">
        <f t="shared" ca="1" si="43"/>
        <v>8661</v>
      </c>
    </row>
    <row r="888" spans="1:21" x14ac:dyDescent="0.15">
      <c r="A888" t="str">
        <f>公司整体!A888</f>
        <v>湖北</v>
      </c>
      <c r="B888" t="str">
        <f>公司整体!B888</f>
        <v>2017-09</v>
      </c>
      <c r="C888">
        <f ca="1">INDIRECT(ADDRESS(ROW(C888),MATCH(公司各渠道指标可视化!$C$4,公司整体!$1:$1,0),3,1,"公司整体"),TRUE)</f>
        <v>3478</v>
      </c>
      <c r="T888" t="str">
        <f t="shared" si="42"/>
        <v>湖北2017-09</v>
      </c>
      <c r="U888">
        <f t="shared" ca="1" si="43"/>
        <v>3478</v>
      </c>
    </row>
    <row r="889" spans="1:21" x14ac:dyDescent="0.15">
      <c r="A889" t="str">
        <f>公司整体!A889</f>
        <v>机构</v>
      </c>
      <c r="B889" t="str">
        <f>公司整体!B889</f>
        <v>2017-09</v>
      </c>
      <c r="C889">
        <f ca="1">INDIRECT(ADDRESS(ROW(C889),MATCH(公司各渠道指标可视化!$C$4,公司整体!$1:$1,0),3,1,"公司整体"),TRUE)</f>
        <v>177428</v>
      </c>
      <c r="T889" t="str">
        <f t="shared" si="42"/>
        <v>机构2017-09</v>
      </c>
      <c r="U889">
        <f t="shared" ca="1" si="43"/>
        <v>177428</v>
      </c>
    </row>
    <row r="890" spans="1:21" x14ac:dyDescent="0.15">
      <c r="A890" t="str">
        <f>公司整体!A890</f>
        <v>江苏</v>
      </c>
      <c r="B890" t="str">
        <f>公司整体!B890</f>
        <v>2017-09</v>
      </c>
      <c r="C890">
        <f ca="1">INDIRECT(ADDRESS(ROW(C890),MATCH(公司各渠道指标可视化!$C$4,公司整体!$1:$1,0),3,1,"公司整体"),TRUE)</f>
        <v>20987</v>
      </c>
      <c r="T890" t="str">
        <f t="shared" si="42"/>
        <v>江苏2017-09</v>
      </c>
      <c r="U890">
        <f t="shared" ca="1" si="43"/>
        <v>20987</v>
      </c>
    </row>
    <row r="891" spans="1:21" x14ac:dyDescent="0.15">
      <c r="A891" t="str">
        <f>公司整体!A891</f>
        <v>山东</v>
      </c>
      <c r="B891" t="str">
        <f>公司整体!B891</f>
        <v>2017-09</v>
      </c>
      <c r="C891">
        <f ca="1">INDIRECT(ADDRESS(ROW(C891),MATCH(公司各渠道指标可视化!$C$4,公司整体!$1:$1,0),3,1,"公司整体"),TRUE)</f>
        <v>5063</v>
      </c>
      <c r="T891" t="str">
        <f t="shared" si="42"/>
        <v>山东2017-09</v>
      </c>
      <c r="U891">
        <f t="shared" ca="1" si="43"/>
        <v>5063</v>
      </c>
    </row>
    <row r="892" spans="1:21" x14ac:dyDescent="0.15">
      <c r="A892" t="str">
        <f>公司整体!A892</f>
        <v>上海</v>
      </c>
      <c r="B892" t="str">
        <f>公司整体!B892</f>
        <v>2017-09</v>
      </c>
      <c r="C892">
        <f ca="1">INDIRECT(ADDRESS(ROW(C892),MATCH(公司各渠道指标可视化!$C$4,公司整体!$1:$1,0),3,1,"公司整体"),TRUE)</f>
        <v>5351</v>
      </c>
      <c r="T892" t="str">
        <f t="shared" si="42"/>
        <v>上海2017-09</v>
      </c>
      <c r="U892">
        <f t="shared" ca="1" si="43"/>
        <v>5351</v>
      </c>
    </row>
    <row r="893" spans="1:21" x14ac:dyDescent="0.15">
      <c r="A893" t="str">
        <f>公司整体!A893</f>
        <v>深圳</v>
      </c>
      <c r="B893" t="str">
        <f>公司整体!B893</f>
        <v>2017-09</v>
      </c>
      <c r="C893">
        <f ca="1">INDIRECT(ADDRESS(ROW(C893),MATCH(公司各渠道指标可视化!$C$4,公司整体!$1:$1,0),3,1,"公司整体"),TRUE)</f>
        <v>12390</v>
      </c>
      <c r="T893" t="str">
        <f t="shared" si="42"/>
        <v>深圳2017-09</v>
      </c>
      <c r="U893">
        <f t="shared" ca="1" si="43"/>
        <v>12390</v>
      </c>
    </row>
    <row r="894" spans="1:21" x14ac:dyDescent="0.15">
      <c r="A894" t="str">
        <f>公司整体!A894</f>
        <v>四川</v>
      </c>
      <c r="B894" t="str">
        <f>公司整体!B894</f>
        <v>2017-09</v>
      </c>
      <c r="C894">
        <f ca="1">INDIRECT(ADDRESS(ROW(C894),MATCH(公司各渠道指标可视化!$C$4,公司整体!$1:$1,0),3,1,"公司整体"),TRUE)</f>
        <v>41991</v>
      </c>
      <c r="T894" t="str">
        <f t="shared" si="42"/>
        <v>四川2017-09</v>
      </c>
      <c r="U894">
        <f t="shared" ca="1" si="43"/>
        <v>41991</v>
      </c>
    </row>
    <row r="895" spans="1:21" x14ac:dyDescent="0.15">
      <c r="A895" t="str">
        <f>公司整体!A895</f>
        <v>苏州</v>
      </c>
      <c r="B895" t="str">
        <f>公司整体!B895</f>
        <v>2017-09</v>
      </c>
      <c r="C895">
        <f ca="1">INDIRECT(ADDRESS(ROW(C895),MATCH(公司各渠道指标可视化!$C$4,公司整体!$1:$1,0),3,1,"公司整体"),TRUE)</f>
        <v>2895</v>
      </c>
      <c r="T895" t="str">
        <f t="shared" si="42"/>
        <v>苏州2017-09</v>
      </c>
      <c r="U895">
        <f t="shared" ca="1" si="43"/>
        <v>2895</v>
      </c>
    </row>
    <row r="896" spans="1:21" x14ac:dyDescent="0.15">
      <c r="A896" t="str">
        <f>公司整体!A896</f>
        <v>中山</v>
      </c>
      <c r="B896" t="str">
        <f>公司整体!B896</f>
        <v>2017-09</v>
      </c>
      <c r="C896">
        <f ca="1">INDIRECT(ADDRESS(ROW(C896),MATCH(公司各渠道指标可视化!$C$4,公司整体!$1:$1,0),3,1,"公司整体"),TRUE)</f>
        <v>7447</v>
      </c>
      <c r="T896" t="str">
        <f t="shared" si="42"/>
        <v>中山2017-09</v>
      </c>
      <c r="U896">
        <f t="shared" ca="1" si="43"/>
        <v>7447</v>
      </c>
    </row>
    <row r="897" spans="1:21" x14ac:dyDescent="0.15">
      <c r="A897" t="str">
        <f>公司整体!A897</f>
        <v>珠海</v>
      </c>
      <c r="B897" t="str">
        <f>公司整体!B897</f>
        <v>2017-09</v>
      </c>
      <c r="C897">
        <f ca="1">INDIRECT(ADDRESS(ROW(C897),MATCH(公司各渠道指标可视化!$C$4,公司整体!$1:$1,0),3,1,"公司整体"),TRUE)</f>
        <v>4462</v>
      </c>
      <c r="T897" t="str">
        <f t="shared" si="42"/>
        <v>珠海2017-09</v>
      </c>
      <c r="U897">
        <f t="shared" ca="1" si="43"/>
        <v>4462</v>
      </c>
    </row>
    <row r="898" spans="1:21" x14ac:dyDescent="0.15">
      <c r="A898" t="str">
        <f>公司整体!A898</f>
        <v>东莞</v>
      </c>
      <c r="B898" t="str">
        <f>公司整体!B898</f>
        <v>2017-10</v>
      </c>
      <c r="C898">
        <f ca="1">INDIRECT(ADDRESS(ROW(C898),MATCH(公司各渠道指标可视化!$C$4,公司整体!$1:$1,0),3,1,"公司整体"),TRUE)</f>
        <v>3619</v>
      </c>
      <c r="T898" t="str">
        <f t="shared" si="42"/>
        <v>东莞2017-10</v>
      </c>
      <c r="U898">
        <f t="shared" ca="1" si="43"/>
        <v>3619</v>
      </c>
    </row>
    <row r="899" spans="1:21" x14ac:dyDescent="0.15">
      <c r="A899" t="str">
        <f>公司整体!A899</f>
        <v>佛山</v>
      </c>
      <c r="B899" t="str">
        <f>公司整体!B899</f>
        <v>2017-10</v>
      </c>
      <c r="C899">
        <f ca="1">INDIRECT(ADDRESS(ROW(C899),MATCH(公司各渠道指标可视化!$C$4,公司整体!$1:$1,0),3,1,"公司整体"),TRUE)</f>
        <v>2034</v>
      </c>
      <c r="T899" t="str">
        <f t="shared" si="42"/>
        <v>佛山2017-10</v>
      </c>
      <c r="U899">
        <f t="shared" ca="1" si="43"/>
        <v>2034</v>
      </c>
    </row>
    <row r="900" spans="1:21" x14ac:dyDescent="0.15">
      <c r="A900" t="str">
        <f>公司整体!A900</f>
        <v>广东</v>
      </c>
      <c r="B900" t="str">
        <f>公司整体!B900</f>
        <v>2017-10</v>
      </c>
      <c r="C900">
        <f ca="1">INDIRECT(ADDRESS(ROW(C900),MATCH(公司各渠道指标可视化!$C$4,公司整体!$1:$1,0),3,1,"公司整体"),TRUE)</f>
        <v>21053</v>
      </c>
      <c r="T900" t="str">
        <f t="shared" si="42"/>
        <v>广东2017-10</v>
      </c>
      <c r="U900">
        <f t="shared" ca="1" si="43"/>
        <v>21053</v>
      </c>
    </row>
    <row r="901" spans="1:21" x14ac:dyDescent="0.15">
      <c r="A901" t="str">
        <f>公司整体!A901</f>
        <v>广州</v>
      </c>
      <c r="B901" t="str">
        <f>公司整体!B901</f>
        <v>2017-10</v>
      </c>
      <c r="C901">
        <f ca="1">INDIRECT(ADDRESS(ROW(C901),MATCH(公司各渠道指标可视化!$C$4,公司整体!$1:$1,0),3,1,"公司整体"),TRUE)</f>
        <v>706</v>
      </c>
      <c r="T901" t="str">
        <f t="shared" si="42"/>
        <v>广州2017-10</v>
      </c>
      <c r="U901">
        <f t="shared" ca="1" si="43"/>
        <v>706</v>
      </c>
    </row>
    <row r="902" spans="1:21" x14ac:dyDescent="0.15">
      <c r="A902" t="str">
        <f>公司整体!A902</f>
        <v>湖北</v>
      </c>
      <c r="B902" t="str">
        <f>公司整体!B902</f>
        <v>2017-10</v>
      </c>
      <c r="C902">
        <f ca="1">INDIRECT(ADDRESS(ROW(C902),MATCH(公司各渠道指标可视化!$C$4,公司整体!$1:$1,0),3,1,"公司整体"),TRUE)</f>
        <v>76</v>
      </c>
      <c r="T902" t="str">
        <f t="shared" si="42"/>
        <v>湖北2017-10</v>
      </c>
      <c r="U902">
        <f t="shared" ca="1" si="43"/>
        <v>76</v>
      </c>
    </row>
    <row r="903" spans="1:21" x14ac:dyDescent="0.15">
      <c r="A903" t="str">
        <f>公司整体!A903</f>
        <v>机构</v>
      </c>
      <c r="B903" t="str">
        <f>公司整体!B903</f>
        <v>2017-10</v>
      </c>
      <c r="C903">
        <f ca="1">INDIRECT(ADDRESS(ROW(C903),MATCH(公司各渠道指标可视化!$C$4,公司整体!$1:$1,0),3,1,"公司整体"),TRUE)</f>
        <v>39730</v>
      </c>
      <c r="T903" t="str">
        <f t="shared" si="42"/>
        <v>机构2017-10</v>
      </c>
      <c r="U903">
        <f t="shared" ca="1" si="43"/>
        <v>39730</v>
      </c>
    </row>
    <row r="904" spans="1:21" x14ac:dyDescent="0.15">
      <c r="A904" t="str">
        <f>公司整体!A904</f>
        <v>江苏</v>
      </c>
      <c r="B904" t="str">
        <f>公司整体!B904</f>
        <v>2017-10</v>
      </c>
      <c r="C904">
        <f ca="1">INDIRECT(ADDRESS(ROW(C904),MATCH(公司各渠道指标可视化!$C$4,公司整体!$1:$1,0),3,1,"公司整体"),TRUE)</f>
        <v>-13</v>
      </c>
      <c r="T904" t="str">
        <f t="shared" si="42"/>
        <v>江苏2017-10</v>
      </c>
      <c r="U904">
        <f t="shared" ca="1" si="43"/>
        <v>-13</v>
      </c>
    </row>
    <row r="905" spans="1:21" x14ac:dyDescent="0.15">
      <c r="A905" t="str">
        <f>公司整体!A905</f>
        <v>山东</v>
      </c>
      <c r="B905" t="str">
        <f>公司整体!B905</f>
        <v>2017-10</v>
      </c>
      <c r="C905">
        <f ca="1">INDIRECT(ADDRESS(ROW(C905),MATCH(公司各渠道指标可视化!$C$4,公司整体!$1:$1,0),3,1,"公司整体"),TRUE)</f>
        <v>444</v>
      </c>
      <c r="T905" t="str">
        <f t="shared" si="42"/>
        <v>山东2017-10</v>
      </c>
      <c r="U905">
        <f t="shared" ca="1" si="43"/>
        <v>444</v>
      </c>
    </row>
    <row r="906" spans="1:21" x14ac:dyDescent="0.15">
      <c r="A906" t="str">
        <f>公司整体!A906</f>
        <v>上海</v>
      </c>
      <c r="B906" t="str">
        <f>公司整体!B906</f>
        <v>2017-10</v>
      </c>
      <c r="C906">
        <f ca="1">INDIRECT(ADDRESS(ROW(C906),MATCH(公司各渠道指标可视化!$C$4,公司整体!$1:$1,0),3,1,"公司整体"),TRUE)</f>
        <v>2932</v>
      </c>
      <c r="T906" t="str">
        <f t="shared" si="42"/>
        <v>上海2017-10</v>
      </c>
      <c r="U906">
        <f t="shared" ca="1" si="43"/>
        <v>2932</v>
      </c>
    </row>
    <row r="907" spans="1:21" x14ac:dyDescent="0.15">
      <c r="A907" t="str">
        <f>公司整体!A907</f>
        <v>深圳</v>
      </c>
      <c r="B907" t="str">
        <f>公司整体!B907</f>
        <v>2017-10</v>
      </c>
      <c r="C907">
        <f ca="1">INDIRECT(ADDRESS(ROW(C907),MATCH(公司各渠道指标可视化!$C$4,公司整体!$1:$1,0),3,1,"公司整体"),TRUE)</f>
        <v>-97</v>
      </c>
      <c r="T907" t="str">
        <f t="shared" si="42"/>
        <v>深圳2017-10</v>
      </c>
      <c r="U907">
        <f t="shared" ca="1" si="43"/>
        <v>-97</v>
      </c>
    </row>
    <row r="908" spans="1:21" x14ac:dyDescent="0.15">
      <c r="A908" t="str">
        <f>公司整体!A908</f>
        <v>四川</v>
      </c>
      <c r="B908" t="str">
        <f>公司整体!B908</f>
        <v>2017-10</v>
      </c>
      <c r="C908">
        <f ca="1">INDIRECT(ADDRESS(ROW(C908),MATCH(公司各渠道指标可视化!$C$4,公司整体!$1:$1,0),3,1,"公司整体"),TRUE)</f>
        <v>4139</v>
      </c>
      <c r="T908" t="str">
        <f t="shared" si="42"/>
        <v>四川2017-10</v>
      </c>
      <c r="U908">
        <f t="shared" ca="1" si="43"/>
        <v>4139</v>
      </c>
    </row>
    <row r="909" spans="1:21" x14ac:dyDescent="0.15">
      <c r="A909" t="str">
        <f>公司整体!A909</f>
        <v>苏州</v>
      </c>
      <c r="B909" t="str">
        <f>公司整体!B909</f>
        <v>2017-10</v>
      </c>
      <c r="C909">
        <f ca="1">INDIRECT(ADDRESS(ROW(C909),MATCH(公司各渠道指标可视化!$C$4,公司整体!$1:$1,0),3,1,"公司整体"),TRUE)</f>
        <v>-10</v>
      </c>
      <c r="T909" t="str">
        <f t="shared" si="42"/>
        <v>苏州2017-10</v>
      </c>
      <c r="U909">
        <f t="shared" ca="1" si="43"/>
        <v>-10</v>
      </c>
    </row>
    <row r="910" spans="1:21" x14ac:dyDescent="0.15">
      <c r="A910" t="str">
        <f>公司整体!A910</f>
        <v>中山</v>
      </c>
      <c r="B910" t="str">
        <f>公司整体!B910</f>
        <v>2017-10</v>
      </c>
      <c r="C910">
        <f ca="1">INDIRECT(ADDRESS(ROW(C910),MATCH(公司各渠道指标可视化!$C$4,公司整体!$1:$1,0),3,1,"公司整体"),TRUE)</f>
        <v>2969</v>
      </c>
      <c r="T910" t="str">
        <f t="shared" si="42"/>
        <v>中山2017-10</v>
      </c>
      <c r="U910">
        <f t="shared" ca="1" si="43"/>
        <v>2969</v>
      </c>
    </row>
    <row r="911" spans="1:21" x14ac:dyDescent="0.15">
      <c r="A911" t="str">
        <f>公司整体!A911</f>
        <v>珠海</v>
      </c>
      <c r="B911" t="str">
        <f>公司整体!B911</f>
        <v>2017-10</v>
      </c>
      <c r="C911">
        <f ca="1">INDIRECT(ADDRESS(ROW(C911),MATCH(公司各渠道指标可视化!$C$4,公司整体!$1:$1,0),3,1,"公司整体"),TRUE)</f>
        <v>1878</v>
      </c>
      <c r="T911" t="str">
        <f t="shared" si="42"/>
        <v>珠海2017-10</v>
      </c>
      <c r="U911">
        <f t="shared" ca="1" si="43"/>
        <v>1878</v>
      </c>
    </row>
    <row r="912" spans="1:21" x14ac:dyDescent="0.15">
      <c r="A912" t="str">
        <f>公司整体!A912</f>
        <v>东莞</v>
      </c>
      <c r="B912" t="str">
        <f>公司整体!B912</f>
        <v>2017-11</v>
      </c>
      <c r="C912">
        <f ca="1">INDIRECT(ADDRESS(ROW(C912),MATCH(公司各渠道指标可视化!$C$4,公司整体!$1:$1,0),3,1,"公司整体"),TRUE)</f>
        <v>2740</v>
      </c>
      <c r="T912" t="str">
        <f t="shared" si="42"/>
        <v>东莞2017-11</v>
      </c>
      <c r="U912">
        <f t="shared" ca="1" si="43"/>
        <v>2740</v>
      </c>
    </row>
    <row r="913" spans="1:21" x14ac:dyDescent="0.15">
      <c r="A913" t="str">
        <f>公司整体!A913</f>
        <v>佛山</v>
      </c>
      <c r="B913" t="str">
        <f>公司整体!B913</f>
        <v>2017-11</v>
      </c>
      <c r="C913">
        <f ca="1">INDIRECT(ADDRESS(ROW(C913),MATCH(公司各渠道指标可视化!$C$4,公司整体!$1:$1,0),3,1,"公司整体"),TRUE)</f>
        <v>2584</v>
      </c>
      <c r="T913" t="str">
        <f t="shared" si="42"/>
        <v>佛山2017-11</v>
      </c>
      <c r="U913">
        <f t="shared" ca="1" si="43"/>
        <v>2584</v>
      </c>
    </row>
    <row r="914" spans="1:21" x14ac:dyDescent="0.15">
      <c r="A914" t="str">
        <f>公司整体!A914</f>
        <v>广东</v>
      </c>
      <c r="B914" t="str">
        <f>公司整体!B914</f>
        <v>2017-11</v>
      </c>
      <c r="C914">
        <f ca="1">INDIRECT(ADDRESS(ROW(C914),MATCH(公司各渠道指标可视化!$C$4,公司整体!$1:$1,0),3,1,"公司整体"),TRUE)</f>
        <v>17545</v>
      </c>
      <c r="T914" t="str">
        <f t="shared" si="42"/>
        <v>广东2017-11</v>
      </c>
      <c r="U914">
        <f t="shared" ca="1" si="43"/>
        <v>17545</v>
      </c>
    </row>
    <row r="915" spans="1:21" x14ac:dyDescent="0.15">
      <c r="A915" t="str">
        <f>公司整体!A915</f>
        <v>广州</v>
      </c>
      <c r="B915" t="str">
        <f>公司整体!B915</f>
        <v>2017-11</v>
      </c>
      <c r="C915">
        <f ca="1">INDIRECT(ADDRESS(ROW(C915),MATCH(公司各渠道指标可视化!$C$4,公司整体!$1:$1,0),3,1,"公司整体"),TRUE)</f>
        <v>1649</v>
      </c>
      <c r="T915" t="str">
        <f t="shared" si="42"/>
        <v>广州2017-11</v>
      </c>
      <c r="U915">
        <f t="shared" ca="1" si="43"/>
        <v>1649</v>
      </c>
    </row>
    <row r="916" spans="1:21" x14ac:dyDescent="0.15">
      <c r="A916" t="str">
        <f>公司整体!A916</f>
        <v>湖北</v>
      </c>
      <c r="B916" t="str">
        <f>公司整体!B916</f>
        <v>2017-11</v>
      </c>
      <c r="C916">
        <f ca="1">INDIRECT(ADDRESS(ROW(C916),MATCH(公司各渠道指标可视化!$C$4,公司整体!$1:$1,0),3,1,"公司整体"),TRUE)</f>
        <v>199</v>
      </c>
      <c r="T916" t="str">
        <f t="shared" si="42"/>
        <v>湖北2017-11</v>
      </c>
      <c r="U916">
        <f t="shared" ca="1" si="43"/>
        <v>199</v>
      </c>
    </row>
    <row r="917" spans="1:21" x14ac:dyDescent="0.15">
      <c r="A917" t="str">
        <f>公司整体!A917</f>
        <v>机构</v>
      </c>
      <c r="B917" t="str">
        <f>公司整体!B917</f>
        <v>2017-11</v>
      </c>
      <c r="C917">
        <f ca="1">INDIRECT(ADDRESS(ROW(C917),MATCH(公司各渠道指标可视化!$C$4,公司整体!$1:$1,0),3,1,"公司整体"),TRUE)</f>
        <v>61104</v>
      </c>
      <c r="T917" t="str">
        <f t="shared" si="42"/>
        <v>机构2017-11</v>
      </c>
      <c r="U917">
        <f t="shared" ca="1" si="43"/>
        <v>61104</v>
      </c>
    </row>
    <row r="918" spans="1:21" x14ac:dyDescent="0.15">
      <c r="A918" t="str">
        <f>公司整体!A918</f>
        <v>江苏</v>
      </c>
      <c r="B918" t="str">
        <f>公司整体!B918</f>
        <v>2017-11</v>
      </c>
      <c r="C918">
        <f ca="1">INDIRECT(ADDRESS(ROW(C918),MATCH(公司各渠道指标可视化!$C$4,公司整体!$1:$1,0),3,1,"公司整体"),TRUE)</f>
        <v>1596</v>
      </c>
      <c r="T918" t="str">
        <f t="shared" si="42"/>
        <v>江苏2017-11</v>
      </c>
      <c r="U918">
        <f t="shared" ca="1" si="43"/>
        <v>1596</v>
      </c>
    </row>
    <row r="919" spans="1:21" x14ac:dyDescent="0.15">
      <c r="A919" t="str">
        <f>公司整体!A919</f>
        <v>山东</v>
      </c>
      <c r="B919" t="str">
        <f>公司整体!B919</f>
        <v>2017-11</v>
      </c>
      <c r="C919">
        <f ca="1">INDIRECT(ADDRESS(ROW(C919),MATCH(公司各渠道指标可视化!$C$4,公司整体!$1:$1,0),3,1,"公司整体"),TRUE)</f>
        <v>1069</v>
      </c>
      <c r="T919" t="str">
        <f t="shared" ref="T919:T982" si="44">A919&amp;B919</f>
        <v>山东2017-11</v>
      </c>
      <c r="U919">
        <f t="shared" ref="U919:U982" ca="1" si="45">C919</f>
        <v>1069</v>
      </c>
    </row>
    <row r="920" spans="1:21" x14ac:dyDescent="0.15">
      <c r="A920" t="str">
        <f>公司整体!A920</f>
        <v>上海</v>
      </c>
      <c r="B920" t="str">
        <f>公司整体!B920</f>
        <v>2017-11</v>
      </c>
      <c r="C920">
        <f ca="1">INDIRECT(ADDRESS(ROW(C920),MATCH(公司各渠道指标可视化!$C$4,公司整体!$1:$1,0),3,1,"公司整体"),TRUE)</f>
        <v>2139</v>
      </c>
      <c r="T920" t="str">
        <f t="shared" si="44"/>
        <v>上海2017-11</v>
      </c>
      <c r="U920">
        <f t="shared" ca="1" si="45"/>
        <v>2139</v>
      </c>
    </row>
    <row r="921" spans="1:21" x14ac:dyDescent="0.15">
      <c r="A921" t="str">
        <f>公司整体!A921</f>
        <v>深圳</v>
      </c>
      <c r="B921" t="str">
        <f>公司整体!B921</f>
        <v>2017-11</v>
      </c>
      <c r="C921">
        <f ca="1">INDIRECT(ADDRESS(ROW(C921),MATCH(公司各渠道指标可视化!$C$4,公司整体!$1:$1,0),3,1,"公司整体"),TRUE)</f>
        <v>3920</v>
      </c>
      <c r="T921" t="str">
        <f t="shared" si="44"/>
        <v>深圳2017-11</v>
      </c>
      <c r="U921">
        <f t="shared" ca="1" si="45"/>
        <v>3920</v>
      </c>
    </row>
    <row r="922" spans="1:21" x14ac:dyDescent="0.15">
      <c r="A922" t="str">
        <f>公司整体!A922</f>
        <v>四川</v>
      </c>
      <c r="B922" t="str">
        <f>公司整体!B922</f>
        <v>2017-11</v>
      </c>
      <c r="C922">
        <f ca="1">INDIRECT(ADDRESS(ROW(C922),MATCH(公司各渠道指标可视化!$C$4,公司整体!$1:$1,0),3,1,"公司整体"),TRUE)</f>
        <v>20514</v>
      </c>
      <c r="T922" t="str">
        <f t="shared" si="44"/>
        <v>四川2017-11</v>
      </c>
      <c r="U922">
        <f t="shared" ca="1" si="45"/>
        <v>20514</v>
      </c>
    </row>
    <row r="923" spans="1:21" x14ac:dyDescent="0.15">
      <c r="A923" t="str">
        <f>公司整体!A923</f>
        <v>苏州</v>
      </c>
      <c r="B923" t="str">
        <f>公司整体!B923</f>
        <v>2017-11</v>
      </c>
      <c r="C923">
        <f ca="1">INDIRECT(ADDRESS(ROW(C923),MATCH(公司各渠道指标可视化!$C$4,公司整体!$1:$1,0),3,1,"公司整体"),TRUE)</f>
        <v>180</v>
      </c>
      <c r="T923" t="str">
        <f t="shared" si="44"/>
        <v>苏州2017-11</v>
      </c>
      <c r="U923">
        <f t="shared" ca="1" si="45"/>
        <v>180</v>
      </c>
    </row>
    <row r="924" spans="1:21" x14ac:dyDescent="0.15">
      <c r="A924" t="str">
        <f>公司整体!A924</f>
        <v>中山</v>
      </c>
      <c r="B924" t="str">
        <f>公司整体!B924</f>
        <v>2017-11</v>
      </c>
      <c r="C924">
        <f ca="1">INDIRECT(ADDRESS(ROW(C924),MATCH(公司各渠道指标可视化!$C$4,公司整体!$1:$1,0),3,1,"公司整体"),TRUE)</f>
        <v>4551</v>
      </c>
      <c r="T924" t="str">
        <f t="shared" si="44"/>
        <v>中山2017-11</v>
      </c>
      <c r="U924">
        <f t="shared" ca="1" si="45"/>
        <v>4551</v>
      </c>
    </row>
    <row r="925" spans="1:21" x14ac:dyDescent="0.15">
      <c r="A925" t="str">
        <f>公司整体!A925</f>
        <v>珠海</v>
      </c>
      <c r="B925" t="str">
        <f>公司整体!B925</f>
        <v>2017-11</v>
      </c>
      <c r="C925">
        <f ca="1">INDIRECT(ADDRESS(ROW(C925),MATCH(公司各渠道指标可视化!$C$4,公司整体!$1:$1,0),3,1,"公司整体"),TRUE)</f>
        <v>2419</v>
      </c>
      <c r="T925" t="str">
        <f t="shared" si="44"/>
        <v>珠海2017-11</v>
      </c>
      <c r="U925">
        <f t="shared" ca="1" si="45"/>
        <v>2419</v>
      </c>
    </row>
    <row r="926" spans="1:21" x14ac:dyDescent="0.15">
      <c r="A926" t="str">
        <f>公司整体!A926</f>
        <v>东莞</v>
      </c>
      <c r="B926" t="str">
        <f>公司整体!B926</f>
        <v>2017-12</v>
      </c>
      <c r="C926">
        <f ca="1">INDIRECT(ADDRESS(ROW(C926),MATCH(公司各渠道指标可视化!$C$4,公司整体!$1:$1,0),3,1,"公司整体"),TRUE)</f>
        <v>2803</v>
      </c>
      <c r="T926" t="str">
        <f t="shared" si="44"/>
        <v>东莞2017-12</v>
      </c>
      <c r="U926">
        <f t="shared" ca="1" si="45"/>
        <v>2803</v>
      </c>
    </row>
    <row r="927" spans="1:21" x14ac:dyDescent="0.15">
      <c r="A927" t="str">
        <f>公司整体!A927</f>
        <v>佛山</v>
      </c>
      <c r="B927" t="str">
        <f>公司整体!B927</f>
        <v>2017-12</v>
      </c>
      <c r="C927">
        <f ca="1">INDIRECT(ADDRESS(ROW(C927),MATCH(公司各渠道指标可视化!$C$4,公司整体!$1:$1,0),3,1,"公司整体"),TRUE)</f>
        <v>1394</v>
      </c>
      <c r="T927" t="str">
        <f t="shared" si="44"/>
        <v>佛山2017-12</v>
      </c>
      <c r="U927">
        <f t="shared" ca="1" si="45"/>
        <v>1394</v>
      </c>
    </row>
    <row r="928" spans="1:21" x14ac:dyDescent="0.15">
      <c r="A928" t="str">
        <f>公司整体!A928</f>
        <v>广东</v>
      </c>
      <c r="B928" t="str">
        <f>公司整体!B928</f>
        <v>2017-12</v>
      </c>
      <c r="C928">
        <f ca="1">INDIRECT(ADDRESS(ROW(C928),MATCH(公司各渠道指标可视化!$C$4,公司整体!$1:$1,0),3,1,"公司整体"),TRUE)</f>
        <v>7675</v>
      </c>
      <c r="T928" t="str">
        <f t="shared" si="44"/>
        <v>广东2017-12</v>
      </c>
      <c r="U928">
        <f t="shared" ca="1" si="45"/>
        <v>7675</v>
      </c>
    </row>
    <row r="929" spans="1:21" x14ac:dyDescent="0.15">
      <c r="A929" t="str">
        <f>公司整体!A929</f>
        <v>广州</v>
      </c>
      <c r="B929" t="str">
        <f>公司整体!B929</f>
        <v>2017-12</v>
      </c>
      <c r="C929">
        <f ca="1">INDIRECT(ADDRESS(ROW(C929),MATCH(公司各渠道指标可视化!$C$4,公司整体!$1:$1,0),3,1,"公司整体"),TRUE)</f>
        <v>2654</v>
      </c>
      <c r="T929" t="str">
        <f t="shared" si="44"/>
        <v>广州2017-12</v>
      </c>
      <c r="U929">
        <f t="shared" ca="1" si="45"/>
        <v>2654</v>
      </c>
    </row>
    <row r="930" spans="1:21" x14ac:dyDescent="0.15">
      <c r="A930" t="str">
        <f>公司整体!A930</f>
        <v>湖北</v>
      </c>
      <c r="B930" t="str">
        <f>公司整体!B930</f>
        <v>2017-12</v>
      </c>
      <c r="C930">
        <f ca="1">INDIRECT(ADDRESS(ROW(C930),MATCH(公司各渠道指标可视化!$C$4,公司整体!$1:$1,0),3,1,"公司整体"),TRUE)</f>
        <v>119</v>
      </c>
      <c r="T930" t="str">
        <f t="shared" si="44"/>
        <v>湖北2017-12</v>
      </c>
      <c r="U930">
        <f t="shared" ca="1" si="45"/>
        <v>119</v>
      </c>
    </row>
    <row r="931" spans="1:21" x14ac:dyDescent="0.15">
      <c r="A931" t="str">
        <f>公司整体!A931</f>
        <v>机构</v>
      </c>
      <c r="B931" t="str">
        <f>公司整体!B931</f>
        <v>2017-12</v>
      </c>
      <c r="C931">
        <f ca="1">INDIRECT(ADDRESS(ROW(C931),MATCH(公司各渠道指标可视化!$C$4,公司整体!$1:$1,0),3,1,"公司整体"),TRUE)</f>
        <v>47321</v>
      </c>
      <c r="T931" t="str">
        <f t="shared" si="44"/>
        <v>机构2017-12</v>
      </c>
      <c r="U931">
        <f t="shared" ca="1" si="45"/>
        <v>47321</v>
      </c>
    </row>
    <row r="932" spans="1:21" x14ac:dyDescent="0.15">
      <c r="A932" t="str">
        <f>公司整体!A932</f>
        <v>江苏</v>
      </c>
      <c r="B932" t="str">
        <f>公司整体!B932</f>
        <v>2017-12</v>
      </c>
      <c r="C932">
        <f ca="1">INDIRECT(ADDRESS(ROW(C932),MATCH(公司各渠道指标可视化!$C$4,公司整体!$1:$1,0),3,1,"公司整体"),TRUE)</f>
        <v>2440</v>
      </c>
      <c r="T932" t="str">
        <f t="shared" si="44"/>
        <v>江苏2017-12</v>
      </c>
      <c r="U932">
        <f t="shared" ca="1" si="45"/>
        <v>2440</v>
      </c>
    </row>
    <row r="933" spans="1:21" x14ac:dyDescent="0.15">
      <c r="A933" t="str">
        <f>公司整体!A933</f>
        <v>山东</v>
      </c>
      <c r="B933" t="str">
        <f>公司整体!B933</f>
        <v>2017-12</v>
      </c>
      <c r="C933">
        <f ca="1">INDIRECT(ADDRESS(ROW(C933),MATCH(公司各渠道指标可视化!$C$4,公司整体!$1:$1,0),3,1,"公司整体"),TRUE)</f>
        <v>1009</v>
      </c>
      <c r="T933" t="str">
        <f t="shared" si="44"/>
        <v>山东2017-12</v>
      </c>
      <c r="U933">
        <f t="shared" ca="1" si="45"/>
        <v>1009</v>
      </c>
    </row>
    <row r="934" spans="1:21" x14ac:dyDescent="0.15">
      <c r="A934" t="str">
        <f>公司整体!A934</f>
        <v>上海</v>
      </c>
      <c r="B934" t="str">
        <f>公司整体!B934</f>
        <v>2017-12</v>
      </c>
      <c r="C934">
        <f ca="1">INDIRECT(ADDRESS(ROW(C934),MATCH(公司各渠道指标可视化!$C$4,公司整体!$1:$1,0),3,1,"公司整体"),TRUE)</f>
        <v>2061</v>
      </c>
      <c r="T934" t="str">
        <f t="shared" si="44"/>
        <v>上海2017-12</v>
      </c>
      <c r="U934">
        <f t="shared" ca="1" si="45"/>
        <v>2061</v>
      </c>
    </row>
    <row r="935" spans="1:21" x14ac:dyDescent="0.15">
      <c r="A935" t="str">
        <f>公司整体!A935</f>
        <v>深圳</v>
      </c>
      <c r="B935" t="str">
        <f>公司整体!B935</f>
        <v>2017-12</v>
      </c>
      <c r="C935">
        <f ca="1">INDIRECT(ADDRESS(ROW(C935),MATCH(公司各渠道指标可视化!$C$4,公司整体!$1:$1,0),3,1,"公司整体"),TRUE)</f>
        <v>4919</v>
      </c>
      <c r="T935" t="str">
        <f t="shared" si="44"/>
        <v>深圳2017-12</v>
      </c>
      <c r="U935">
        <f t="shared" ca="1" si="45"/>
        <v>4919</v>
      </c>
    </row>
    <row r="936" spans="1:21" x14ac:dyDescent="0.15">
      <c r="A936" t="str">
        <f>公司整体!A936</f>
        <v>四川</v>
      </c>
      <c r="B936" t="str">
        <f>公司整体!B936</f>
        <v>2017-12</v>
      </c>
      <c r="C936">
        <f ca="1">INDIRECT(ADDRESS(ROW(C936),MATCH(公司各渠道指标可视化!$C$4,公司整体!$1:$1,0),3,1,"公司整体"),TRUE)</f>
        <v>18730</v>
      </c>
      <c r="T936" t="str">
        <f t="shared" si="44"/>
        <v>四川2017-12</v>
      </c>
      <c r="U936">
        <f t="shared" ca="1" si="45"/>
        <v>18730</v>
      </c>
    </row>
    <row r="937" spans="1:21" x14ac:dyDescent="0.15">
      <c r="A937" t="str">
        <f>公司整体!A937</f>
        <v>苏州</v>
      </c>
      <c r="B937" t="str">
        <f>公司整体!B937</f>
        <v>2017-12</v>
      </c>
      <c r="C937">
        <f ca="1">INDIRECT(ADDRESS(ROW(C937),MATCH(公司各渠道指标可视化!$C$4,公司整体!$1:$1,0),3,1,"公司整体"),TRUE)</f>
        <v>28</v>
      </c>
      <c r="T937" t="str">
        <f t="shared" si="44"/>
        <v>苏州2017-12</v>
      </c>
      <c r="U937">
        <f t="shared" ca="1" si="45"/>
        <v>28</v>
      </c>
    </row>
    <row r="938" spans="1:21" x14ac:dyDescent="0.15">
      <c r="A938" t="str">
        <f>公司整体!A938</f>
        <v>中山</v>
      </c>
      <c r="B938" t="str">
        <f>公司整体!B938</f>
        <v>2017-12</v>
      </c>
      <c r="C938">
        <f ca="1">INDIRECT(ADDRESS(ROW(C938),MATCH(公司各渠道指标可视化!$C$4,公司整体!$1:$1,0),3,1,"公司整体"),TRUE)</f>
        <v>2053</v>
      </c>
      <c r="T938" t="str">
        <f t="shared" si="44"/>
        <v>中山2017-12</v>
      </c>
      <c r="U938">
        <f t="shared" ca="1" si="45"/>
        <v>2053</v>
      </c>
    </row>
    <row r="939" spans="1:21" x14ac:dyDescent="0.15">
      <c r="A939" t="str">
        <f>公司整体!A939</f>
        <v>珠海</v>
      </c>
      <c r="B939" t="str">
        <f>公司整体!B939</f>
        <v>2017-12</v>
      </c>
      <c r="C939">
        <f ca="1">INDIRECT(ADDRESS(ROW(C939),MATCH(公司各渠道指标可视化!$C$4,公司整体!$1:$1,0),3,1,"公司整体"),TRUE)</f>
        <v>1434</v>
      </c>
      <c r="T939" t="str">
        <f t="shared" si="44"/>
        <v>珠海2017-12</v>
      </c>
      <c r="U939">
        <f t="shared" ca="1" si="45"/>
        <v>1434</v>
      </c>
    </row>
    <row r="940" spans="1:21" x14ac:dyDescent="0.15">
      <c r="A940" t="str">
        <f>公司整体!A940</f>
        <v>东莞</v>
      </c>
      <c r="B940" t="str">
        <f>公司整体!B940</f>
        <v>2018-01</v>
      </c>
      <c r="C940">
        <f ca="1">INDIRECT(ADDRESS(ROW(C940),MATCH(公司各渠道指标可视化!$C$4,公司整体!$1:$1,0),3,1,"公司整体"),TRUE)</f>
        <v>16366</v>
      </c>
      <c r="T940" t="str">
        <f t="shared" si="44"/>
        <v>东莞2018-01</v>
      </c>
      <c r="U940">
        <f t="shared" ca="1" si="45"/>
        <v>16366</v>
      </c>
    </row>
    <row r="941" spans="1:21" x14ac:dyDescent="0.15">
      <c r="A941" t="str">
        <f>公司整体!A941</f>
        <v>佛山</v>
      </c>
      <c r="B941" t="str">
        <f>公司整体!B941</f>
        <v>2018-01</v>
      </c>
      <c r="C941">
        <f ca="1">INDIRECT(ADDRESS(ROW(C941),MATCH(公司各渠道指标可视化!$C$4,公司整体!$1:$1,0),3,1,"公司整体"),TRUE)</f>
        <v>23080</v>
      </c>
      <c r="T941" t="str">
        <f t="shared" si="44"/>
        <v>佛山2018-01</v>
      </c>
      <c r="U941">
        <f t="shared" ca="1" si="45"/>
        <v>23080</v>
      </c>
    </row>
    <row r="942" spans="1:21" x14ac:dyDescent="0.15">
      <c r="A942" t="str">
        <f>公司整体!A942</f>
        <v>广东</v>
      </c>
      <c r="B942" t="str">
        <f>公司整体!B942</f>
        <v>2018-01</v>
      </c>
      <c r="C942">
        <f ca="1">INDIRECT(ADDRESS(ROW(C942),MATCH(公司各渠道指标可视化!$C$4,公司整体!$1:$1,0),3,1,"公司整体"),TRUE)</f>
        <v>111168</v>
      </c>
      <c r="T942" t="str">
        <f t="shared" si="44"/>
        <v>广东2018-01</v>
      </c>
      <c r="U942">
        <f t="shared" ca="1" si="45"/>
        <v>111168</v>
      </c>
    </row>
    <row r="943" spans="1:21" x14ac:dyDescent="0.15">
      <c r="A943" t="str">
        <f>公司整体!A943</f>
        <v>广州</v>
      </c>
      <c r="B943" t="str">
        <f>公司整体!B943</f>
        <v>2018-01</v>
      </c>
      <c r="C943">
        <f ca="1">INDIRECT(ADDRESS(ROW(C943),MATCH(公司各渠道指标可视化!$C$4,公司整体!$1:$1,0),3,1,"公司整体"),TRUE)</f>
        <v>17756</v>
      </c>
      <c r="T943" t="str">
        <f t="shared" si="44"/>
        <v>广州2018-01</v>
      </c>
      <c r="U943">
        <f t="shared" ca="1" si="45"/>
        <v>17756</v>
      </c>
    </row>
    <row r="944" spans="1:21" x14ac:dyDescent="0.15">
      <c r="A944" t="str">
        <f>公司整体!A944</f>
        <v>湖北</v>
      </c>
      <c r="B944" t="str">
        <f>公司整体!B944</f>
        <v>2018-01</v>
      </c>
      <c r="C944">
        <f ca="1">INDIRECT(ADDRESS(ROW(C944),MATCH(公司各渠道指标可视化!$C$4,公司整体!$1:$1,0),3,1,"公司整体"),TRUE)</f>
        <v>4756</v>
      </c>
      <c r="T944" t="str">
        <f t="shared" si="44"/>
        <v>湖北2018-01</v>
      </c>
      <c r="U944">
        <f t="shared" ca="1" si="45"/>
        <v>4756</v>
      </c>
    </row>
    <row r="945" spans="1:21" x14ac:dyDescent="0.15">
      <c r="A945" t="str">
        <f>公司整体!A945</f>
        <v>机构</v>
      </c>
      <c r="B945" t="str">
        <f>公司整体!B945</f>
        <v>2018-01</v>
      </c>
      <c r="C945">
        <f ca="1">INDIRECT(ADDRESS(ROW(C945),MATCH(公司各渠道指标可视化!$C$4,公司整体!$1:$1,0),3,1,"公司整体"),TRUE)</f>
        <v>363082</v>
      </c>
      <c r="T945" t="str">
        <f t="shared" si="44"/>
        <v>机构2018-01</v>
      </c>
      <c r="U945">
        <f t="shared" ca="1" si="45"/>
        <v>363082</v>
      </c>
    </row>
    <row r="946" spans="1:21" x14ac:dyDescent="0.15">
      <c r="A946" t="str">
        <f>公司整体!A946</f>
        <v>江苏</v>
      </c>
      <c r="B946" t="str">
        <f>公司整体!B946</f>
        <v>2018-01</v>
      </c>
      <c r="C946">
        <f ca="1">INDIRECT(ADDRESS(ROW(C946),MATCH(公司各渠道指标可视化!$C$4,公司整体!$1:$1,0),3,1,"公司整体"),TRUE)</f>
        <v>47216</v>
      </c>
      <c r="T946" t="str">
        <f t="shared" si="44"/>
        <v>江苏2018-01</v>
      </c>
      <c r="U946">
        <f t="shared" ca="1" si="45"/>
        <v>47216</v>
      </c>
    </row>
    <row r="947" spans="1:21" x14ac:dyDescent="0.15">
      <c r="A947" t="str">
        <f>公司整体!A947</f>
        <v>山东</v>
      </c>
      <c r="B947" t="str">
        <f>公司整体!B947</f>
        <v>2018-01</v>
      </c>
      <c r="C947">
        <f ca="1">INDIRECT(ADDRESS(ROW(C947),MATCH(公司各渠道指标可视化!$C$4,公司整体!$1:$1,0),3,1,"公司整体"),TRUE)</f>
        <v>4585</v>
      </c>
      <c r="T947" t="str">
        <f t="shared" si="44"/>
        <v>山东2018-01</v>
      </c>
      <c r="U947">
        <f t="shared" ca="1" si="45"/>
        <v>4585</v>
      </c>
    </row>
    <row r="948" spans="1:21" x14ac:dyDescent="0.15">
      <c r="A948" t="str">
        <f>公司整体!A948</f>
        <v>上海</v>
      </c>
      <c r="B948" t="str">
        <f>公司整体!B948</f>
        <v>2018-01</v>
      </c>
      <c r="C948">
        <f ca="1">INDIRECT(ADDRESS(ROW(C948),MATCH(公司各渠道指标可视化!$C$4,公司整体!$1:$1,0),3,1,"公司整体"),TRUE)</f>
        <v>4058</v>
      </c>
      <c r="T948" t="str">
        <f t="shared" si="44"/>
        <v>上海2018-01</v>
      </c>
      <c r="U948">
        <f t="shared" ca="1" si="45"/>
        <v>4058</v>
      </c>
    </row>
    <row r="949" spans="1:21" x14ac:dyDescent="0.15">
      <c r="A949" t="str">
        <f>公司整体!A949</f>
        <v>深圳</v>
      </c>
      <c r="B949" t="str">
        <f>公司整体!B949</f>
        <v>2018-01</v>
      </c>
      <c r="C949">
        <f ca="1">INDIRECT(ADDRESS(ROW(C949),MATCH(公司各渠道指标可视化!$C$4,公司整体!$1:$1,0),3,1,"公司整体"),TRUE)</f>
        <v>26307</v>
      </c>
      <c r="T949" t="str">
        <f t="shared" si="44"/>
        <v>深圳2018-01</v>
      </c>
      <c r="U949">
        <f t="shared" ca="1" si="45"/>
        <v>26307</v>
      </c>
    </row>
    <row r="950" spans="1:21" x14ac:dyDescent="0.15">
      <c r="A950" t="str">
        <f>公司整体!A950</f>
        <v>四川</v>
      </c>
      <c r="B950" t="str">
        <f>公司整体!B950</f>
        <v>2018-01</v>
      </c>
      <c r="C950">
        <f ca="1">INDIRECT(ADDRESS(ROW(C950),MATCH(公司各渠道指标可视化!$C$4,公司整体!$1:$1,0),3,1,"公司整体"),TRUE)</f>
        <v>72332</v>
      </c>
      <c r="T950" t="str">
        <f t="shared" si="44"/>
        <v>四川2018-01</v>
      </c>
      <c r="U950">
        <f t="shared" ca="1" si="45"/>
        <v>72332</v>
      </c>
    </row>
    <row r="951" spans="1:21" x14ac:dyDescent="0.15">
      <c r="A951" t="str">
        <f>公司整体!A951</f>
        <v>苏州</v>
      </c>
      <c r="B951" t="str">
        <f>公司整体!B951</f>
        <v>2018-01</v>
      </c>
      <c r="C951">
        <f ca="1">INDIRECT(ADDRESS(ROW(C951),MATCH(公司各渠道指标可视化!$C$4,公司整体!$1:$1,0),3,1,"公司整体"),TRUE)</f>
        <v>10811</v>
      </c>
      <c r="T951" t="str">
        <f t="shared" si="44"/>
        <v>苏州2018-01</v>
      </c>
      <c r="U951">
        <f t="shared" ca="1" si="45"/>
        <v>10811</v>
      </c>
    </row>
    <row r="952" spans="1:21" x14ac:dyDescent="0.15">
      <c r="A952" t="str">
        <f>公司整体!A952</f>
        <v>中山</v>
      </c>
      <c r="B952" t="str">
        <f>公司整体!B952</f>
        <v>2018-01</v>
      </c>
      <c r="C952">
        <f ca="1">INDIRECT(ADDRESS(ROW(C952),MATCH(公司各渠道指标可视化!$C$4,公司整体!$1:$1,0),3,1,"公司整体"),TRUE)</f>
        <v>15276</v>
      </c>
      <c r="T952" t="str">
        <f t="shared" si="44"/>
        <v>中山2018-01</v>
      </c>
      <c r="U952">
        <f t="shared" ca="1" si="45"/>
        <v>15276</v>
      </c>
    </row>
    <row r="953" spans="1:21" x14ac:dyDescent="0.15">
      <c r="A953" t="str">
        <f>公司整体!A953</f>
        <v>珠海</v>
      </c>
      <c r="B953" t="str">
        <f>公司整体!B953</f>
        <v>2018-01</v>
      </c>
      <c r="C953">
        <f ca="1">INDIRECT(ADDRESS(ROW(C953),MATCH(公司各渠道指标可视化!$C$4,公司整体!$1:$1,0),3,1,"公司整体"),TRUE)</f>
        <v>9373</v>
      </c>
      <c r="T953" t="str">
        <f t="shared" si="44"/>
        <v>珠海2018-01</v>
      </c>
      <c r="U953">
        <f t="shared" ca="1" si="45"/>
        <v>9373</v>
      </c>
    </row>
    <row r="954" spans="1:21" x14ac:dyDescent="0.15">
      <c r="A954" t="str">
        <f>公司整体!A954</f>
        <v>东莞</v>
      </c>
      <c r="B954" t="str">
        <f>公司整体!B954</f>
        <v>2018-02</v>
      </c>
      <c r="C954">
        <f ca="1">INDIRECT(ADDRESS(ROW(C954),MATCH(公司各渠道指标可视化!$C$4,公司整体!$1:$1,0),3,1,"公司整体"),TRUE)</f>
        <v>11487</v>
      </c>
      <c r="T954" t="str">
        <f t="shared" si="44"/>
        <v>东莞2018-02</v>
      </c>
      <c r="U954">
        <f t="shared" ca="1" si="45"/>
        <v>11487</v>
      </c>
    </row>
    <row r="955" spans="1:21" x14ac:dyDescent="0.15">
      <c r="A955" t="str">
        <f>公司整体!A955</f>
        <v>佛山</v>
      </c>
      <c r="B955" t="str">
        <f>公司整体!B955</f>
        <v>2018-02</v>
      </c>
      <c r="C955">
        <f ca="1">INDIRECT(ADDRESS(ROW(C955),MATCH(公司各渠道指标可视化!$C$4,公司整体!$1:$1,0),3,1,"公司整体"),TRUE)</f>
        <v>16074</v>
      </c>
      <c r="T955" t="str">
        <f t="shared" si="44"/>
        <v>佛山2018-02</v>
      </c>
      <c r="U955">
        <f t="shared" ca="1" si="45"/>
        <v>16074</v>
      </c>
    </row>
    <row r="956" spans="1:21" x14ac:dyDescent="0.15">
      <c r="A956" t="str">
        <f>公司整体!A956</f>
        <v>广东</v>
      </c>
      <c r="B956" t="str">
        <f>公司整体!B956</f>
        <v>2018-02</v>
      </c>
      <c r="C956">
        <f ca="1">INDIRECT(ADDRESS(ROW(C956),MATCH(公司各渠道指标可视化!$C$4,公司整体!$1:$1,0),3,1,"公司整体"),TRUE)</f>
        <v>77017</v>
      </c>
      <c r="T956" t="str">
        <f t="shared" si="44"/>
        <v>广东2018-02</v>
      </c>
      <c r="U956">
        <f t="shared" ca="1" si="45"/>
        <v>77017</v>
      </c>
    </row>
    <row r="957" spans="1:21" x14ac:dyDescent="0.15">
      <c r="A957" t="str">
        <f>公司整体!A957</f>
        <v>广州</v>
      </c>
      <c r="B957" t="str">
        <f>公司整体!B957</f>
        <v>2018-02</v>
      </c>
      <c r="C957">
        <f ca="1">INDIRECT(ADDRESS(ROW(C957),MATCH(公司各渠道指标可视化!$C$4,公司整体!$1:$1,0),3,1,"公司整体"),TRUE)</f>
        <v>11463</v>
      </c>
      <c r="T957" t="str">
        <f t="shared" si="44"/>
        <v>广州2018-02</v>
      </c>
      <c r="U957">
        <f t="shared" ca="1" si="45"/>
        <v>11463</v>
      </c>
    </row>
    <row r="958" spans="1:21" x14ac:dyDescent="0.15">
      <c r="A958" t="str">
        <f>公司整体!A958</f>
        <v>湖北</v>
      </c>
      <c r="B958" t="str">
        <f>公司整体!B958</f>
        <v>2018-02</v>
      </c>
      <c r="C958">
        <f ca="1">INDIRECT(ADDRESS(ROW(C958),MATCH(公司各渠道指标可视化!$C$4,公司整体!$1:$1,0),3,1,"公司整体"),TRUE)</f>
        <v>21060</v>
      </c>
      <c r="T958" t="str">
        <f t="shared" si="44"/>
        <v>湖北2018-02</v>
      </c>
      <c r="U958">
        <f t="shared" ca="1" si="45"/>
        <v>21060</v>
      </c>
    </row>
    <row r="959" spans="1:21" x14ac:dyDescent="0.15">
      <c r="A959" t="str">
        <f>公司整体!A959</f>
        <v>机构</v>
      </c>
      <c r="B959" t="str">
        <f>公司整体!B959</f>
        <v>2018-02</v>
      </c>
      <c r="C959">
        <f ca="1">INDIRECT(ADDRESS(ROW(C959),MATCH(公司各渠道指标可视化!$C$4,公司整体!$1:$1,0),3,1,"公司整体"),TRUE)</f>
        <v>583324</v>
      </c>
      <c r="T959" t="str">
        <f t="shared" si="44"/>
        <v>机构2018-02</v>
      </c>
      <c r="U959">
        <f t="shared" ca="1" si="45"/>
        <v>583324</v>
      </c>
    </row>
    <row r="960" spans="1:21" x14ac:dyDescent="0.15">
      <c r="A960" t="str">
        <f>公司整体!A960</f>
        <v>江苏</v>
      </c>
      <c r="B960" t="str">
        <f>公司整体!B960</f>
        <v>2018-02</v>
      </c>
      <c r="C960">
        <f ca="1">INDIRECT(ADDRESS(ROW(C960),MATCH(公司各渠道指标可视化!$C$4,公司整体!$1:$1,0),3,1,"公司整体"),TRUE)</f>
        <v>237398</v>
      </c>
      <c r="T960" t="str">
        <f t="shared" si="44"/>
        <v>江苏2018-02</v>
      </c>
      <c r="U960">
        <f t="shared" ca="1" si="45"/>
        <v>237398</v>
      </c>
    </row>
    <row r="961" spans="1:21" x14ac:dyDescent="0.15">
      <c r="A961" t="str">
        <f>公司整体!A961</f>
        <v>山东</v>
      </c>
      <c r="B961" t="str">
        <f>公司整体!B961</f>
        <v>2018-02</v>
      </c>
      <c r="C961">
        <f ca="1">INDIRECT(ADDRESS(ROW(C961),MATCH(公司各渠道指标可视化!$C$4,公司整体!$1:$1,0),3,1,"公司整体"),TRUE)</f>
        <v>6398</v>
      </c>
      <c r="T961" t="str">
        <f t="shared" si="44"/>
        <v>山东2018-02</v>
      </c>
      <c r="U961">
        <f t="shared" ca="1" si="45"/>
        <v>6398</v>
      </c>
    </row>
    <row r="962" spans="1:21" x14ac:dyDescent="0.15">
      <c r="A962" t="str">
        <f>公司整体!A962</f>
        <v>上海</v>
      </c>
      <c r="B962" t="str">
        <f>公司整体!B962</f>
        <v>2018-02</v>
      </c>
      <c r="C962">
        <f ca="1">INDIRECT(ADDRESS(ROW(C962),MATCH(公司各渠道指标可视化!$C$4,公司整体!$1:$1,0),3,1,"公司整体"),TRUE)</f>
        <v>5695</v>
      </c>
      <c r="T962" t="str">
        <f t="shared" si="44"/>
        <v>上海2018-02</v>
      </c>
      <c r="U962">
        <f t="shared" ca="1" si="45"/>
        <v>5695</v>
      </c>
    </row>
    <row r="963" spans="1:21" x14ac:dyDescent="0.15">
      <c r="A963" t="str">
        <f>公司整体!A963</f>
        <v>深圳</v>
      </c>
      <c r="B963" t="str">
        <f>公司整体!B963</f>
        <v>2018-02</v>
      </c>
      <c r="C963">
        <f ca="1">INDIRECT(ADDRESS(ROW(C963),MATCH(公司各渠道指标可视化!$C$4,公司整体!$1:$1,0),3,1,"公司整体"),TRUE)</f>
        <v>11224</v>
      </c>
      <c r="T963" t="str">
        <f t="shared" si="44"/>
        <v>深圳2018-02</v>
      </c>
      <c r="U963">
        <f t="shared" ca="1" si="45"/>
        <v>11224</v>
      </c>
    </row>
    <row r="964" spans="1:21" x14ac:dyDescent="0.15">
      <c r="A964" t="str">
        <f>公司整体!A964</f>
        <v>四川</v>
      </c>
      <c r="B964" t="str">
        <f>公司整体!B964</f>
        <v>2018-02</v>
      </c>
      <c r="C964">
        <f ca="1">INDIRECT(ADDRESS(ROW(C964),MATCH(公司各渠道指标可视化!$C$4,公司整体!$1:$1,0),3,1,"公司整体"),TRUE)</f>
        <v>160776</v>
      </c>
      <c r="T964" t="str">
        <f t="shared" si="44"/>
        <v>四川2018-02</v>
      </c>
      <c r="U964">
        <f t="shared" ca="1" si="45"/>
        <v>160776</v>
      </c>
    </row>
    <row r="965" spans="1:21" x14ac:dyDescent="0.15">
      <c r="A965" t="str">
        <f>公司整体!A965</f>
        <v>苏州</v>
      </c>
      <c r="B965" t="str">
        <f>公司整体!B965</f>
        <v>2018-02</v>
      </c>
      <c r="C965">
        <f ca="1">INDIRECT(ADDRESS(ROW(C965),MATCH(公司各渠道指标可视化!$C$4,公司整体!$1:$1,0),3,1,"公司整体"),TRUE)</f>
        <v>7889</v>
      </c>
      <c r="T965" t="str">
        <f t="shared" si="44"/>
        <v>苏州2018-02</v>
      </c>
      <c r="U965">
        <f t="shared" ca="1" si="45"/>
        <v>7889</v>
      </c>
    </row>
    <row r="966" spans="1:21" x14ac:dyDescent="0.15">
      <c r="A966" t="str">
        <f>公司整体!A966</f>
        <v>中山</v>
      </c>
      <c r="B966" t="str">
        <f>公司整体!B966</f>
        <v>2018-02</v>
      </c>
      <c r="C966">
        <f ca="1">INDIRECT(ADDRESS(ROW(C966),MATCH(公司各渠道指标可视化!$C$4,公司整体!$1:$1,0),3,1,"公司整体"),TRUE)</f>
        <v>10618</v>
      </c>
      <c r="T966" t="str">
        <f t="shared" si="44"/>
        <v>中山2018-02</v>
      </c>
      <c r="U966">
        <f t="shared" ca="1" si="45"/>
        <v>10618</v>
      </c>
    </row>
    <row r="967" spans="1:21" x14ac:dyDescent="0.15">
      <c r="A967" t="str">
        <f>公司整体!A967</f>
        <v>珠海</v>
      </c>
      <c r="B967" t="str">
        <f>公司整体!B967</f>
        <v>2018-02</v>
      </c>
      <c r="C967">
        <f ca="1">INDIRECT(ADDRESS(ROW(C967),MATCH(公司各渠道指标可视化!$C$4,公司整体!$1:$1,0),3,1,"公司整体"),TRUE)</f>
        <v>6225</v>
      </c>
      <c r="T967" t="str">
        <f t="shared" si="44"/>
        <v>珠海2018-02</v>
      </c>
      <c r="U967">
        <f t="shared" ca="1" si="45"/>
        <v>6225</v>
      </c>
    </row>
    <row r="968" spans="1:21" x14ac:dyDescent="0.15">
      <c r="A968" t="str">
        <f>公司整体!A968</f>
        <v>东莞</v>
      </c>
      <c r="B968" t="str">
        <f>公司整体!B968</f>
        <v>2018-03</v>
      </c>
      <c r="C968">
        <f ca="1">INDIRECT(ADDRESS(ROW(C968),MATCH(公司各渠道指标可视化!$C$4,公司整体!$1:$1,0),3,1,"公司整体"),TRUE)</f>
        <v>22056</v>
      </c>
      <c r="T968" t="str">
        <f t="shared" si="44"/>
        <v>东莞2018-03</v>
      </c>
      <c r="U968">
        <f t="shared" ca="1" si="45"/>
        <v>22056</v>
      </c>
    </row>
    <row r="969" spans="1:21" x14ac:dyDescent="0.15">
      <c r="A969" t="str">
        <f>公司整体!A969</f>
        <v>佛山</v>
      </c>
      <c r="B969" t="str">
        <f>公司整体!B969</f>
        <v>2018-03</v>
      </c>
      <c r="C969">
        <f ca="1">INDIRECT(ADDRESS(ROW(C969),MATCH(公司各渠道指标可视化!$C$4,公司整体!$1:$1,0),3,1,"公司整体"),TRUE)</f>
        <v>18355</v>
      </c>
      <c r="T969" t="str">
        <f t="shared" si="44"/>
        <v>佛山2018-03</v>
      </c>
      <c r="U969">
        <f t="shared" ca="1" si="45"/>
        <v>18355</v>
      </c>
    </row>
    <row r="970" spans="1:21" x14ac:dyDescent="0.15">
      <c r="A970" t="str">
        <f>公司整体!A970</f>
        <v>广东</v>
      </c>
      <c r="B970" t="str">
        <f>公司整体!B970</f>
        <v>2018-03</v>
      </c>
      <c r="C970">
        <f ca="1">INDIRECT(ADDRESS(ROW(C970),MATCH(公司各渠道指标可视化!$C$4,公司整体!$1:$1,0),3,1,"公司整体"),TRUE)</f>
        <v>104386</v>
      </c>
      <c r="T970" t="str">
        <f t="shared" si="44"/>
        <v>广东2018-03</v>
      </c>
      <c r="U970">
        <f t="shared" ca="1" si="45"/>
        <v>104386</v>
      </c>
    </row>
    <row r="971" spans="1:21" x14ac:dyDescent="0.15">
      <c r="A971" t="str">
        <f>公司整体!A971</f>
        <v>广州</v>
      </c>
      <c r="B971" t="str">
        <f>公司整体!B971</f>
        <v>2018-03</v>
      </c>
      <c r="C971">
        <f ca="1">INDIRECT(ADDRESS(ROW(C971),MATCH(公司各渠道指标可视化!$C$4,公司整体!$1:$1,0),3,1,"公司整体"),TRUE)</f>
        <v>30520</v>
      </c>
      <c r="T971" t="str">
        <f t="shared" si="44"/>
        <v>广州2018-03</v>
      </c>
      <c r="U971">
        <f t="shared" ca="1" si="45"/>
        <v>30520</v>
      </c>
    </row>
    <row r="972" spans="1:21" x14ac:dyDescent="0.15">
      <c r="A972" t="str">
        <f>公司整体!A972</f>
        <v>湖北</v>
      </c>
      <c r="B972" t="str">
        <f>公司整体!B972</f>
        <v>2018-03</v>
      </c>
      <c r="C972">
        <f ca="1">INDIRECT(ADDRESS(ROW(C972),MATCH(公司各渠道指标可视化!$C$4,公司整体!$1:$1,0),3,1,"公司整体"),TRUE)</f>
        <v>15377</v>
      </c>
      <c r="T972" t="str">
        <f t="shared" si="44"/>
        <v>湖北2018-03</v>
      </c>
      <c r="U972">
        <f t="shared" ca="1" si="45"/>
        <v>15377</v>
      </c>
    </row>
    <row r="973" spans="1:21" x14ac:dyDescent="0.15">
      <c r="A973" t="str">
        <f>公司整体!A973</f>
        <v>机构</v>
      </c>
      <c r="B973" t="str">
        <f>公司整体!B973</f>
        <v>2018-03</v>
      </c>
      <c r="C973">
        <f ca="1">INDIRECT(ADDRESS(ROW(C973),MATCH(公司各渠道指标可视化!$C$4,公司整体!$1:$1,0),3,1,"公司整体"),TRUE)</f>
        <v>425786</v>
      </c>
      <c r="T973" t="str">
        <f t="shared" si="44"/>
        <v>机构2018-03</v>
      </c>
      <c r="U973">
        <f t="shared" ca="1" si="45"/>
        <v>425786</v>
      </c>
    </row>
    <row r="974" spans="1:21" x14ac:dyDescent="0.15">
      <c r="A974" t="str">
        <f>公司整体!A974</f>
        <v>江苏</v>
      </c>
      <c r="B974" t="str">
        <f>公司整体!B974</f>
        <v>2018-03</v>
      </c>
      <c r="C974">
        <f ca="1">INDIRECT(ADDRESS(ROW(C974),MATCH(公司各渠道指标可视化!$C$4,公司整体!$1:$1,0),3,1,"公司整体"),TRUE)</f>
        <v>70562</v>
      </c>
      <c r="T974" t="str">
        <f t="shared" si="44"/>
        <v>江苏2018-03</v>
      </c>
      <c r="U974">
        <f t="shared" ca="1" si="45"/>
        <v>70562</v>
      </c>
    </row>
    <row r="975" spans="1:21" x14ac:dyDescent="0.15">
      <c r="A975" t="str">
        <f>公司整体!A975</f>
        <v>山东</v>
      </c>
      <c r="B975" t="str">
        <f>公司整体!B975</f>
        <v>2018-03</v>
      </c>
      <c r="C975">
        <f ca="1">INDIRECT(ADDRESS(ROW(C975),MATCH(公司各渠道指标可视化!$C$4,公司整体!$1:$1,0),3,1,"公司整体"),TRUE)</f>
        <v>15802</v>
      </c>
      <c r="T975" t="str">
        <f t="shared" si="44"/>
        <v>山东2018-03</v>
      </c>
      <c r="U975">
        <f t="shared" ca="1" si="45"/>
        <v>15802</v>
      </c>
    </row>
    <row r="976" spans="1:21" x14ac:dyDescent="0.15">
      <c r="A976" t="str">
        <f>公司整体!A976</f>
        <v>上海</v>
      </c>
      <c r="B976" t="str">
        <f>公司整体!B976</f>
        <v>2018-03</v>
      </c>
      <c r="C976">
        <f ca="1">INDIRECT(ADDRESS(ROW(C976),MATCH(公司各渠道指标可视化!$C$4,公司整体!$1:$1,0),3,1,"公司整体"),TRUE)</f>
        <v>5467</v>
      </c>
      <c r="T976" t="str">
        <f t="shared" si="44"/>
        <v>上海2018-03</v>
      </c>
      <c r="U976">
        <f t="shared" ca="1" si="45"/>
        <v>5467</v>
      </c>
    </row>
    <row r="977" spans="1:21" x14ac:dyDescent="0.15">
      <c r="A977" t="str">
        <f>公司整体!A977</f>
        <v>深圳</v>
      </c>
      <c r="B977" t="str">
        <f>公司整体!B977</f>
        <v>2018-03</v>
      </c>
      <c r="C977">
        <f ca="1">INDIRECT(ADDRESS(ROW(C977),MATCH(公司各渠道指标可视化!$C$4,公司整体!$1:$1,0),3,1,"公司整体"),TRUE)</f>
        <v>23206</v>
      </c>
      <c r="T977" t="str">
        <f t="shared" si="44"/>
        <v>深圳2018-03</v>
      </c>
      <c r="U977">
        <f t="shared" ca="1" si="45"/>
        <v>23206</v>
      </c>
    </row>
    <row r="978" spans="1:21" x14ac:dyDescent="0.15">
      <c r="A978" t="str">
        <f>公司整体!A978</f>
        <v>四川</v>
      </c>
      <c r="B978" t="str">
        <f>公司整体!B978</f>
        <v>2018-03</v>
      </c>
      <c r="C978">
        <f ca="1">INDIRECT(ADDRESS(ROW(C978),MATCH(公司各渠道指标可视化!$C$4,公司整体!$1:$1,0),3,1,"公司整体"),TRUE)</f>
        <v>82192</v>
      </c>
      <c r="T978" t="str">
        <f t="shared" si="44"/>
        <v>四川2018-03</v>
      </c>
      <c r="U978">
        <f t="shared" ca="1" si="45"/>
        <v>82192</v>
      </c>
    </row>
    <row r="979" spans="1:21" x14ac:dyDescent="0.15">
      <c r="A979" t="str">
        <f>公司整体!A979</f>
        <v>苏州</v>
      </c>
      <c r="B979" t="str">
        <f>公司整体!B979</f>
        <v>2018-03</v>
      </c>
      <c r="C979">
        <f ca="1">INDIRECT(ADDRESS(ROW(C979),MATCH(公司各渠道指标可视化!$C$4,公司整体!$1:$1,0),3,1,"公司整体"),TRUE)</f>
        <v>4321</v>
      </c>
      <c r="T979" t="str">
        <f t="shared" si="44"/>
        <v>苏州2018-03</v>
      </c>
      <c r="U979">
        <f t="shared" ca="1" si="45"/>
        <v>4321</v>
      </c>
    </row>
    <row r="980" spans="1:21" x14ac:dyDescent="0.15">
      <c r="A980" t="str">
        <f>公司整体!A980</f>
        <v>中山</v>
      </c>
      <c r="B980" t="str">
        <f>公司整体!B980</f>
        <v>2018-03</v>
      </c>
      <c r="C980">
        <f ca="1">INDIRECT(ADDRESS(ROW(C980),MATCH(公司各渠道指标可视化!$C$4,公司整体!$1:$1,0),3,1,"公司整体"),TRUE)</f>
        <v>19026</v>
      </c>
      <c r="T980" t="str">
        <f t="shared" si="44"/>
        <v>中山2018-03</v>
      </c>
      <c r="U980">
        <f t="shared" ca="1" si="45"/>
        <v>19026</v>
      </c>
    </row>
    <row r="981" spans="1:21" x14ac:dyDescent="0.15">
      <c r="A981" t="str">
        <f>公司整体!A981</f>
        <v>珠海</v>
      </c>
      <c r="B981" t="str">
        <f>公司整体!B981</f>
        <v>2018-03</v>
      </c>
      <c r="C981">
        <f ca="1">INDIRECT(ADDRESS(ROW(C981),MATCH(公司各渠道指标可视化!$C$4,公司整体!$1:$1,0),3,1,"公司整体"),TRUE)</f>
        <v>14516</v>
      </c>
      <c r="T981" t="str">
        <f t="shared" si="44"/>
        <v>珠海2018-03</v>
      </c>
      <c r="U981">
        <f t="shared" ca="1" si="45"/>
        <v>14516</v>
      </c>
    </row>
    <row r="982" spans="1:21" x14ac:dyDescent="0.15">
      <c r="A982" t="str">
        <f>公司整体!A982</f>
        <v>东莞</v>
      </c>
      <c r="B982" t="str">
        <f>公司整体!B982</f>
        <v>2018-04</v>
      </c>
      <c r="C982">
        <f ca="1">INDIRECT(ADDRESS(ROW(C982),MATCH(公司各渠道指标可视化!$C$4,公司整体!$1:$1,0),3,1,"公司整体"),TRUE)</f>
        <v>34</v>
      </c>
      <c r="T982" t="str">
        <f t="shared" si="44"/>
        <v>东莞2018-04</v>
      </c>
      <c r="U982">
        <f t="shared" ca="1" si="45"/>
        <v>34</v>
      </c>
    </row>
    <row r="983" spans="1:21" x14ac:dyDescent="0.15">
      <c r="A983" t="str">
        <f>公司整体!A983</f>
        <v>佛山</v>
      </c>
      <c r="B983" t="str">
        <f>公司整体!B983</f>
        <v>2018-04</v>
      </c>
      <c r="C983">
        <f ca="1">INDIRECT(ADDRESS(ROW(C983),MATCH(公司各渠道指标可视化!$C$4,公司整体!$1:$1,0),3,1,"公司整体"),TRUE)</f>
        <v>1828</v>
      </c>
      <c r="T983" t="str">
        <f t="shared" ref="T983:T1046" si="46">A983&amp;B983</f>
        <v>佛山2018-04</v>
      </c>
      <c r="U983">
        <f t="shared" ref="U983:U1046" ca="1" si="47">C983</f>
        <v>1828</v>
      </c>
    </row>
    <row r="984" spans="1:21" x14ac:dyDescent="0.15">
      <c r="A984" t="str">
        <f>公司整体!A984</f>
        <v>广东</v>
      </c>
      <c r="B984" t="str">
        <f>公司整体!B984</f>
        <v>2018-04</v>
      </c>
      <c r="C984">
        <f ca="1">INDIRECT(ADDRESS(ROW(C984),MATCH(公司各渠道指标可视化!$C$4,公司整体!$1:$1,0),3,1,"公司整体"),TRUE)</f>
        <v>40457</v>
      </c>
      <c r="T984" t="str">
        <f t="shared" si="46"/>
        <v>广东2018-04</v>
      </c>
      <c r="U984">
        <f t="shared" ca="1" si="47"/>
        <v>40457</v>
      </c>
    </row>
    <row r="985" spans="1:21" x14ac:dyDescent="0.15">
      <c r="A985" t="str">
        <f>公司整体!A985</f>
        <v>广州</v>
      </c>
      <c r="B985" t="str">
        <f>公司整体!B985</f>
        <v>2018-04</v>
      </c>
      <c r="C985">
        <f ca="1">INDIRECT(ADDRESS(ROW(C985),MATCH(公司各渠道指标可视化!$C$4,公司整体!$1:$1,0),3,1,"公司整体"),TRUE)</f>
        <v>9757</v>
      </c>
      <c r="T985" t="str">
        <f t="shared" si="46"/>
        <v>广州2018-04</v>
      </c>
      <c r="U985">
        <f t="shared" ca="1" si="47"/>
        <v>9757</v>
      </c>
    </row>
    <row r="986" spans="1:21" x14ac:dyDescent="0.15">
      <c r="A986" t="str">
        <f>公司整体!A986</f>
        <v>湖北</v>
      </c>
      <c r="B986" t="str">
        <f>公司整体!B986</f>
        <v>2018-04</v>
      </c>
      <c r="C986">
        <f ca="1">INDIRECT(ADDRESS(ROW(C986),MATCH(公司各渠道指标可视化!$C$4,公司整体!$1:$1,0),3,1,"公司整体"),TRUE)</f>
        <v>-723</v>
      </c>
      <c r="T986" t="str">
        <f t="shared" si="46"/>
        <v>湖北2018-04</v>
      </c>
      <c r="U986">
        <f t="shared" ca="1" si="47"/>
        <v>-723</v>
      </c>
    </row>
    <row r="987" spans="1:21" x14ac:dyDescent="0.15">
      <c r="A987" t="str">
        <f>公司整体!A987</f>
        <v>机构</v>
      </c>
      <c r="B987" t="str">
        <f>公司整体!B987</f>
        <v>2018-04</v>
      </c>
      <c r="C987">
        <f ca="1">INDIRECT(ADDRESS(ROW(C987),MATCH(公司各渠道指标可视化!$C$4,公司整体!$1:$1,0),3,1,"公司整体"),TRUE)</f>
        <v>85753</v>
      </c>
      <c r="T987" t="str">
        <f t="shared" si="46"/>
        <v>机构2018-04</v>
      </c>
      <c r="U987">
        <f t="shared" ca="1" si="47"/>
        <v>85753</v>
      </c>
    </row>
    <row r="988" spans="1:21" x14ac:dyDescent="0.15">
      <c r="A988" t="str">
        <f>公司整体!A988</f>
        <v>江苏</v>
      </c>
      <c r="B988" t="str">
        <f>公司整体!B988</f>
        <v>2018-04</v>
      </c>
      <c r="C988">
        <f ca="1">INDIRECT(ADDRESS(ROW(C988),MATCH(公司各渠道指标可视化!$C$4,公司整体!$1:$1,0),3,1,"公司整体"),TRUE)</f>
        <v>-492</v>
      </c>
      <c r="T988" t="str">
        <f t="shared" si="46"/>
        <v>江苏2018-04</v>
      </c>
      <c r="U988">
        <f t="shared" ca="1" si="47"/>
        <v>-492</v>
      </c>
    </row>
    <row r="989" spans="1:21" x14ac:dyDescent="0.15">
      <c r="A989" t="str">
        <f>公司整体!A989</f>
        <v>山东</v>
      </c>
      <c r="B989" t="str">
        <f>公司整体!B989</f>
        <v>2018-04</v>
      </c>
      <c r="C989">
        <f ca="1">INDIRECT(ADDRESS(ROW(C989),MATCH(公司各渠道指标可视化!$C$4,公司整体!$1:$1,0),3,1,"公司整体"),TRUE)</f>
        <v>-66</v>
      </c>
      <c r="T989" t="str">
        <f t="shared" si="46"/>
        <v>山东2018-04</v>
      </c>
      <c r="U989">
        <f t="shared" ca="1" si="47"/>
        <v>-66</v>
      </c>
    </row>
    <row r="990" spans="1:21" x14ac:dyDescent="0.15">
      <c r="A990" t="str">
        <f>公司整体!A990</f>
        <v>上海</v>
      </c>
      <c r="B990" t="str">
        <f>公司整体!B990</f>
        <v>2018-04</v>
      </c>
      <c r="C990">
        <f ca="1">INDIRECT(ADDRESS(ROW(C990),MATCH(公司各渠道指标可视化!$C$4,公司整体!$1:$1,0),3,1,"公司整体"),TRUE)</f>
        <v>-67</v>
      </c>
      <c r="T990" t="str">
        <f t="shared" si="46"/>
        <v>上海2018-04</v>
      </c>
      <c r="U990">
        <f t="shared" ca="1" si="47"/>
        <v>-67</v>
      </c>
    </row>
    <row r="991" spans="1:21" x14ac:dyDescent="0.15">
      <c r="A991" t="str">
        <f>公司整体!A991</f>
        <v>深圳</v>
      </c>
      <c r="B991" t="str">
        <f>公司整体!B991</f>
        <v>2018-04</v>
      </c>
      <c r="C991">
        <f ca="1">INDIRECT(ADDRESS(ROW(C991),MATCH(公司各渠道指标可视化!$C$4,公司整体!$1:$1,0),3,1,"公司整体"),TRUE)</f>
        <v>17558</v>
      </c>
      <c r="T991" t="str">
        <f t="shared" si="46"/>
        <v>深圳2018-04</v>
      </c>
      <c r="U991">
        <f t="shared" ca="1" si="47"/>
        <v>17558</v>
      </c>
    </row>
    <row r="992" spans="1:21" x14ac:dyDescent="0.15">
      <c r="A992" t="str">
        <f>公司整体!A992</f>
        <v>四川</v>
      </c>
      <c r="B992" t="str">
        <f>公司整体!B992</f>
        <v>2018-04</v>
      </c>
      <c r="C992">
        <f ca="1">INDIRECT(ADDRESS(ROW(C992),MATCH(公司各渠道指标可视化!$C$4,公司整体!$1:$1,0),3,1,"公司整体"),TRUE)</f>
        <v>12997</v>
      </c>
      <c r="T992" t="str">
        <f t="shared" si="46"/>
        <v>四川2018-04</v>
      </c>
      <c r="U992">
        <f t="shared" ca="1" si="47"/>
        <v>12997</v>
      </c>
    </row>
    <row r="993" spans="1:21" x14ac:dyDescent="0.15">
      <c r="A993" t="str">
        <f>公司整体!A993</f>
        <v>苏州</v>
      </c>
      <c r="B993" t="str">
        <f>公司整体!B993</f>
        <v>2018-04</v>
      </c>
      <c r="C993">
        <f ca="1">INDIRECT(ADDRESS(ROW(C993),MATCH(公司各渠道指标可视化!$C$4,公司整体!$1:$1,0),3,1,"公司整体"),TRUE)</f>
        <v>87</v>
      </c>
      <c r="T993" t="str">
        <f t="shared" si="46"/>
        <v>苏州2018-04</v>
      </c>
      <c r="U993">
        <f t="shared" ca="1" si="47"/>
        <v>87</v>
      </c>
    </row>
    <row r="994" spans="1:21" x14ac:dyDescent="0.15">
      <c r="A994" t="str">
        <f>公司整体!A994</f>
        <v>中山</v>
      </c>
      <c r="B994" t="str">
        <f>公司整体!B994</f>
        <v>2018-04</v>
      </c>
      <c r="C994">
        <f ca="1">INDIRECT(ADDRESS(ROW(C994),MATCH(公司各渠道指标可视化!$C$4,公司整体!$1:$1,0),3,1,"公司整体"),TRUE)</f>
        <v>1486</v>
      </c>
      <c r="T994" t="str">
        <f t="shared" si="46"/>
        <v>中山2018-04</v>
      </c>
      <c r="U994">
        <f t="shared" ca="1" si="47"/>
        <v>1486</v>
      </c>
    </row>
    <row r="995" spans="1:21" x14ac:dyDescent="0.15">
      <c r="A995" t="str">
        <f>公司整体!A995</f>
        <v>珠海</v>
      </c>
      <c r="B995" t="str">
        <f>公司整体!B995</f>
        <v>2018-04</v>
      </c>
      <c r="C995">
        <f ca="1">INDIRECT(ADDRESS(ROW(C995),MATCH(公司各渠道指标可视化!$C$4,公司整体!$1:$1,0),3,1,"公司整体"),TRUE)</f>
        <v>2896</v>
      </c>
      <c r="T995" t="str">
        <f t="shared" si="46"/>
        <v>珠海2018-04</v>
      </c>
      <c r="U995">
        <f t="shared" ca="1" si="47"/>
        <v>2896</v>
      </c>
    </row>
    <row r="996" spans="1:21" x14ac:dyDescent="0.15">
      <c r="A996" t="str">
        <f>公司整体!A996</f>
        <v>东莞</v>
      </c>
      <c r="B996" t="str">
        <f>公司整体!B996</f>
        <v>2018-05</v>
      </c>
      <c r="C996">
        <f ca="1">INDIRECT(ADDRESS(ROW(C996),MATCH(公司各渠道指标可视化!$C$4,公司整体!$1:$1,0),3,1,"公司整体"),TRUE)</f>
        <v>2101</v>
      </c>
      <c r="T996" t="str">
        <f t="shared" si="46"/>
        <v>东莞2018-05</v>
      </c>
      <c r="U996">
        <f t="shared" ca="1" si="47"/>
        <v>2101</v>
      </c>
    </row>
    <row r="997" spans="1:21" x14ac:dyDescent="0.15">
      <c r="A997" t="str">
        <f>公司整体!A997</f>
        <v>佛山</v>
      </c>
      <c r="B997" t="str">
        <f>公司整体!B997</f>
        <v>2018-05</v>
      </c>
      <c r="C997">
        <f ca="1">INDIRECT(ADDRESS(ROW(C997),MATCH(公司各渠道指标可视化!$C$4,公司整体!$1:$1,0),3,1,"公司整体"),TRUE)</f>
        <v>5320</v>
      </c>
      <c r="T997" t="str">
        <f t="shared" si="46"/>
        <v>佛山2018-05</v>
      </c>
      <c r="U997">
        <f t="shared" ca="1" si="47"/>
        <v>5320</v>
      </c>
    </row>
    <row r="998" spans="1:21" x14ac:dyDescent="0.15">
      <c r="A998" t="str">
        <f>公司整体!A998</f>
        <v>广东</v>
      </c>
      <c r="B998" t="str">
        <f>公司整体!B998</f>
        <v>2018-05</v>
      </c>
      <c r="C998">
        <f ca="1">INDIRECT(ADDRESS(ROW(C998),MATCH(公司各渠道指标可视化!$C$4,公司整体!$1:$1,0),3,1,"公司整体"),TRUE)</f>
        <v>56488</v>
      </c>
      <c r="T998" t="str">
        <f t="shared" si="46"/>
        <v>广东2018-05</v>
      </c>
      <c r="U998">
        <f t="shared" ca="1" si="47"/>
        <v>56488</v>
      </c>
    </row>
    <row r="999" spans="1:21" x14ac:dyDescent="0.15">
      <c r="A999" t="str">
        <f>公司整体!A999</f>
        <v>广州</v>
      </c>
      <c r="B999" t="str">
        <f>公司整体!B999</f>
        <v>2018-05</v>
      </c>
      <c r="C999">
        <f ca="1">INDIRECT(ADDRESS(ROW(C999),MATCH(公司各渠道指标可视化!$C$4,公司整体!$1:$1,0),3,1,"公司整体"),TRUE)</f>
        <v>29366</v>
      </c>
      <c r="T999" t="str">
        <f t="shared" si="46"/>
        <v>广州2018-05</v>
      </c>
      <c r="U999">
        <f t="shared" ca="1" si="47"/>
        <v>29366</v>
      </c>
    </row>
    <row r="1000" spans="1:21" x14ac:dyDescent="0.15">
      <c r="A1000" t="str">
        <f>公司整体!A1000</f>
        <v>湖北</v>
      </c>
      <c r="B1000" t="str">
        <f>公司整体!B1000</f>
        <v>2018-05</v>
      </c>
      <c r="C1000">
        <f ca="1">INDIRECT(ADDRESS(ROW(C1000),MATCH(公司各渠道指标可视化!$C$4,公司整体!$1:$1,0),3,1,"公司整体"),TRUE)</f>
        <v>3375</v>
      </c>
      <c r="T1000" t="str">
        <f t="shared" si="46"/>
        <v>湖北2018-05</v>
      </c>
      <c r="U1000">
        <f t="shared" ca="1" si="47"/>
        <v>3375</v>
      </c>
    </row>
    <row r="1001" spans="1:21" x14ac:dyDescent="0.15">
      <c r="A1001" t="str">
        <f>公司整体!A1001</f>
        <v>机构</v>
      </c>
      <c r="B1001" t="str">
        <f>公司整体!B1001</f>
        <v>2018-05</v>
      </c>
      <c r="C1001">
        <f ca="1">INDIRECT(ADDRESS(ROW(C1001),MATCH(公司各渠道指标可视化!$C$4,公司整体!$1:$1,0),3,1,"公司整体"),TRUE)</f>
        <v>164714</v>
      </c>
      <c r="T1001" t="str">
        <f t="shared" si="46"/>
        <v>机构2018-05</v>
      </c>
      <c r="U1001">
        <f t="shared" ca="1" si="47"/>
        <v>164714</v>
      </c>
    </row>
    <row r="1002" spans="1:21" x14ac:dyDescent="0.15">
      <c r="A1002" t="str">
        <f>公司整体!A1002</f>
        <v>江苏</v>
      </c>
      <c r="B1002" t="str">
        <f>公司整体!B1002</f>
        <v>2018-05</v>
      </c>
      <c r="C1002">
        <f ca="1">INDIRECT(ADDRESS(ROW(C1002),MATCH(公司各渠道指标可视化!$C$4,公司整体!$1:$1,0),3,1,"公司整体"),TRUE)</f>
        <v>3510</v>
      </c>
      <c r="T1002" t="str">
        <f t="shared" si="46"/>
        <v>江苏2018-05</v>
      </c>
      <c r="U1002">
        <f t="shared" ca="1" si="47"/>
        <v>3510</v>
      </c>
    </row>
    <row r="1003" spans="1:21" x14ac:dyDescent="0.15">
      <c r="A1003" t="str">
        <f>公司整体!A1003</f>
        <v>山东</v>
      </c>
      <c r="B1003" t="str">
        <f>公司整体!B1003</f>
        <v>2018-05</v>
      </c>
      <c r="C1003">
        <f ca="1">INDIRECT(ADDRESS(ROW(C1003),MATCH(公司各渠道指标可视化!$C$4,公司整体!$1:$1,0),3,1,"公司整体"),TRUE)</f>
        <v>1321</v>
      </c>
      <c r="T1003" t="str">
        <f t="shared" si="46"/>
        <v>山东2018-05</v>
      </c>
      <c r="U1003">
        <f t="shared" ca="1" si="47"/>
        <v>1321</v>
      </c>
    </row>
    <row r="1004" spans="1:21" x14ac:dyDescent="0.15">
      <c r="A1004" t="str">
        <f>公司整体!A1004</f>
        <v>上海</v>
      </c>
      <c r="B1004" t="str">
        <f>公司整体!B1004</f>
        <v>2018-05</v>
      </c>
      <c r="C1004">
        <f ca="1">INDIRECT(ADDRESS(ROW(C1004),MATCH(公司各渠道指标可视化!$C$4,公司整体!$1:$1,0),3,1,"公司整体"),TRUE)</f>
        <v>160</v>
      </c>
      <c r="T1004" t="str">
        <f t="shared" si="46"/>
        <v>上海2018-05</v>
      </c>
      <c r="U1004">
        <f t="shared" ca="1" si="47"/>
        <v>160</v>
      </c>
    </row>
    <row r="1005" spans="1:21" x14ac:dyDescent="0.15">
      <c r="A1005" t="str">
        <f>公司整体!A1005</f>
        <v>深圳</v>
      </c>
      <c r="B1005" t="str">
        <f>公司整体!B1005</f>
        <v>2018-05</v>
      </c>
      <c r="C1005">
        <f ca="1">INDIRECT(ADDRESS(ROW(C1005),MATCH(公司各渠道指标可视化!$C$4,公司整体!$1:$1,0),3,1,"公司整体"),TRUE)</f>
        <v>27681</v>
      </c>
      <c r="T1005" t="str">
        <f t="shared" si="46"/>
        <v>深圳2018-05</v>
      </c>
      <c r="U1005">
        <f t="shared" ca="1" si="47"/>
        <v>27681</v>
      </c>
    </row>
    <row r="1006" spans="1:21" x14ac:dyDescent="0.15">
      <c r="A1006" t="str">
        <f>公司整体!A1006</f>
        <v>四川</v>
      </c>
      <c r="B1006" t="str">
        <f>公司整体!B1006</f>
        <v>2018-05</v>
      </c>
      <c r="C1006">
        <f ca="1">INDIRECT(ADDRESS(ROW(C1006),MATCH(公司各渠道指标可视化!$C$4,公司整体!$1:$1,0),3,1,"公司整体"),TRUE)</f>
        <v>22607</v>
      </c>
      <c r="T1006" t="str">
        <f t="shared" si="46"/>
        <v>四川2018-05</v>
      </c>
      <c r="U1006">
        <f t="shared" ca="1" si="47"/>
        <v>22607</v>
      </c>
    </row>
    <row r="1007" spans="1:21" x14ac:dyDescent="0.15">
      <c r="A1007" t="str">
        <f>公司整体!A1007</f>
        <v>苏州</v>
      </c>
      <c r="B1007" t="str">
        <f>公司整体!B1007</f>
        <v>2018-05</v>
      </c>
      <c r="C1007">
        <f ca="1">INDIRECT(ADDRESS(ROW(C1007),MATCH(公司各渠道指标可视化!$C$4,公司整体!$1:$1,0),3,1,"公司整体"),TRUE)</f>
        <v>3940</v>
      </c>
      <c r="T1007" t="str">
        <f t="shared" si="46"/>
        <v>苏州2018-05</v>
      </c>
      <c r="U1007">
        <f t="shared" ca="1" si="47"/>
        <v>3940</v>
      </c>
    </row>
    <row r="1008" spans="1:21" x14ac:dyDescent="0.15">
      <c r="A1008" t="str">
        <f>公司整体!A1008</f>
        <v>中山</v>
      </c>
      <c r="B1008" t="str">
        <f>公司整体!B1008</f>
        <v>2018-05</v>
      </c>
      <c r="C1008">
        <f ca="1">INDIRECT(ADDRESS(ROW(C1008),MATCH(公司各渠道指标可视化!$C$4,公司整体!$1:$1,0),3,1,"公司整体"),TRUE)</f>
        <v>2945</v>
      </c>
      <c r="T1008" t="str">
        <f t="shared" si="46"/>
        <v>中山2018-05</v>
      </c>
      <c r="U1008">
        <f t="shared" ca="1" si="47"/>
        <v>2945</v>
      </c>
    </row>
    <row r="1009" spans="1:21" x14ac:dyDescent="0.15">
      <c r="A1009" t="str">
        <f>公司整体!A1009</f>
        <v>珠海</v>
      </c>
      <c r="B1009" t="str">
        <f>公司整体!B1009</f>
        <v>2018-05</v>
      </c>
      <c r="C1009">
        <f ca="1">INDIRECT(ADDRESS(ROW(C1009),MATCH(公司各渠道指标可视化!$C$4,公司整体!$1:$1,0),3,1,"公司整体"),TRUE)</f>
        <v>5899</v>
      </c>
      <c r="T1009" t="str">
        <f t="shared" si="46"/>
        <v>珠海2018-05</v>
      </c>
      <c r="U1009">
        <f t="shared" ca="1" si="47"/>
        <v>5899</v>
      </c>
    </row>
    <row r="1010" spans="1:21" x14ac:dyDescent="0.15">
      <c r="A1010" t="str">
        <f>公司整体!A1010</f>
        <v>东莞</v>
      </c>
      <c r="B1010" t="str">
        <f>公司整体!B1010</f>
        <v>2018-06</v>
      </c>
      <c r="C1010">
        <f ca="1">INDIRECT(ADDRESS(ROW(C1010),MATCH(公司各渠道指标可视化!$C$4,公司整体!$1:$1,0),3,1,"公司整体"),TRUE)</f>
        <v>4535</v>
      </c>
      <c r="T1010" t="str">
        <f t="shared" si="46"/>
        <v>东莞2018-06</v>
      </c>
      <c r="U1010">
        <f t="shared" ca="1" si="47"/>
        <v>4535</v>
      </c>
    </row>
    <row r="1011" spans="1:21" x14ac:dyDescent="0.15">
      <c r="A1011" t="str">
        <f>公司整体!A1011</f>
        <v>佛山</v>
      </c>
      <c r="B1011" t="str">
        <f>公司整体!B1011</f>
        <v>2018-06</v>
      </c>
      <c r="C1011">
        <f ca="1">INDIRECT(ADDRESS(ROW(C1011),MATCH(公司各渠道指标可视化!$C$4,公司整体!$1:$1,0),3,1,"公司整体"),TRUE)</f>
        <v>7323</v>
      </c>
      <c r="T1011" t="str">
        <f t="shared" si="46"/>
        <v>佛山2018-06</v>
      </c>
      <c r="U1011">
        <f t="shared" ca="1" si="47"/>
        <v>7323</v>
      </c>
    </row>
    <row r="1012" spans="1:21" x14ac:dyDescent="0.15">
      <c r="A1012" t="str">
        <f>公司整体!A1012</f>
        <v>广东</v>
      </c>
      <c r="B1012" t="str">
        <f>公司整体!B1012</f>
        <v>2018-06</v>
      </c>
      <c r="C1012">
        <f ca="1">INDIRECT(ADDRESS(ROW(C1012),MATCH(公司各渠道指标可视化!$C$4,公司整体!$1:$1,0),3,1,"公司整体"),TRUE)</f>
        <v>49520</v>
      </c>
      <c r="T1012" t="str">
        <f t="shared" si="46"/>
        <v>广东2018-06</v>
      </c>
      <c r="U1012">
        <f t="shared" ca="1" si="47"/>
        <v>49520</v>
      </c>
    </row>
    <row r="1013" spans="1:21" x14ac:dyDescent="0.15">
      <c r="A1013" t="str">
        <f>公司整体!A1013</f>
        <v>广州</v>
      </c>
      <c r="B1013" t="str">
        <f>公司整体!B1013</f>
        <v>2018-06</v>
      </c>
      <c r="C1013">
        <f ca="1">INDIRECT(ADDRESS(ROW(C1013),MATCH(公司各渠道指标可视化!$C$4,公司整体!$1:$1,0),3,1,"公司整体"),TRUE)</f>
        <v>28600</v>
      </c>
      <c r="T1013" t="str">
        <f t="shared" si="46"/>
        <v>广州2018-06</v>
      </c>
      <c r="U1013">
        <f t="shared" ca="1" si="47"/>
        <v>28600</v>
      </c>
    </row>
    <row r="1014" spans="1:21" x14ac:dyDescent="0.15">
      <c r="A1014" t="str">
        <f>公司整体!A1014</f>
        <v>湖北</v>
      </c>
      <c r="B1014" t="str">
        <f>公司整体!B1014</f>
        <v>2018-06</v>
      </c>
      <c r="C1014">
        <f ca="1">INDIRECT(ADDRESS(ROW(C1014),MATCH(公司各渠道指标可视化!$C$4,公司整体!$1:$1,0),3,1,"公司整体"),TRUE)</f>
        <v>6246</v>
      </c>
      <c r="T1014" t="str">
        <f t="shared" si="46"/>
        <v>湖北2018-06</v>
      </c>
      <c r="U1014">
        <f t="shared" ca="1" si="47"/>
        <v>6246</v>
      </c>
    </row>
    <row r="1015" spans="1:21" x14ac:dyDescent="0.15">
      <c r="A1015" t="str">
        <f>公司整体!A1015</f>
        <v>机构</v>
      </c>
      <c r="B1015" t="str">
        <f>公司整体!B1015</f>
        <v>2018-06</v>
      </c>
      <c r="C1015">
        <f ca="1">INDIRECT(ADDRESS(ROW(C1015),MATCH(公司各渠道指标可视化!$C$4,公司整体!$1:$1,0),3,1,"公司整体"),TRUE)</f>
        <v>147840</v>
      </c>
      <c r="T1015" t="str">
        <f t="shared" si="46"/>
        <v>机构2018-06</v>
      </c>
      <c r="U1015">
        <f t="shared" ca="1" si="47"/>
        <v>147840</v>
      </c>
    </row>
    <row r="1016" spans="1:21" x14ac:dyDescent="0.15">
      <c r="A1016" t="str">
        <f>公司整体!A1016</f>
        <v>江苏</v>
      </c>
      <c r="B1016" t="str">
        <f>公司整体!B1016</f>
        <v>2018-06</v>
      </c>
      <c r="C1016">
        <f ca="1">INDIRECT(ADDRESS(ROW(C1016),MATCH(公司各渠道指标可视化!$C$4,公司整体!$1:$1,0),3,1,"公司整体"),TRUE)</f>
        <v>2905</v>
      </c>
      <c r="T1016" t="str">
        <f t="shared" si="46"/>
        <v>江苏2018-06</v>
      </c>
      <c r="U1016">
        <f t="shared" ca="1" si="47"/>
        <v>2905</v>
      </c>
    </row>
    <row r="1017" spans="1:21" x14ac:dyDescent="0.15">
      <c r="A1017" t="str">
        <f>公司整体!A1017</f>
        <v>山东</v>
      </c>
      <c r="B1017" t="str">
        <f>公司整体!B1017</f>
        <v>2018-06</v>
      </c>
      <c r="C1017">
        <f ca="1">INDIRECT(ADDRESS(ROW(C1017),MATCH(公司各渠道指标可视化!$C$4,公司整体!$1:$1,0),3,1,"公司整体"),TRUE)</f>
        <v>1172</v>
      </c>
      <c r="T1017" t="str">
        <f t="shared" si="46"/>
        <v>山东2018-06</v>
      </c>
      <c r="U1017">
        <f t="shared" ca="1" si="47"/>
        <v>1172</v>
      </c>
    </row>
    <row r="1018" spans="1:21" x14ac:dyDescent="0.15">
      <c r="A1018" t="str">
        <f>公司整体!A1018</f>
        <v>上海</v>
      </c>
      <c r="B1018" t="str">
        <f>公司整体!B1018</f>
        <v>2018-06</v>
      </c>
      <c r="C1018">
        <f ca="1">INDIRECT(ADDRESS(ROW(C1018),MATCH(公司各渠道指标可视化!$C$4,公司整体!$1:$1,0),3,1,"公司整体"),TRUE)</f>
        <v>170</v>
      </c>
      <c r="T1018" t="str">
        <f t="shared" si="46"/>
        <v>上海2018-06</v>
      </c>
      <c r="U1018">
        <f t="shared" ca="1" si="47"/>
        <v>170</v>
      </c>
    </row>
    <row r="1019" spans="1:21" x14ac:dyDescent="0.15">
      <c r="A1019" t="str">
        <f>公司整体!A1019</f>
        <v>深圳</v>
      </c>
      <c r="B1019" t="str">
        <f>公司整体!B1019</f>
        <v>2018-06</v>
      </c>
      <c r="C1019">
        <f ca="1">INDIRECT(ADDRESS(ROW(C1019),MATCH(公司各渠道指标可视化!$C$4,公司整体!$1:$1,0),3,1,"公司整体"),TRUE)</f>
        <v>17216</v>
      </c>
      <c r="T1019" t="str">
        <f t="shared" si="46"/>
        <v>深圳2018-06</v>
      </c>
      <c r="U1019">
        <f t="shared" ca="1" si="47"/>
        <v>17216</v>
      </c>
    </row>
    <row r="1020" spans="1:21" x14ac:dyDescent="0.15">
      <c r="A1020" t="str">
        <f>公司整体!A1020</f>
        <v>四川</v>
      </c>
      <c r="B1020" t="str">
        <f>公司整体!B1020</f>
        <v>2018-06</v>
      </c>
      <c r="C1020">
        <f ca="1">INDIRECT(ADDRESS(ROW(C1020),MATCH(公司各渠道指标可视化!$C$4,公司整体!$1:$1,0),3,1,"公司整体"),TRUE)</f>
        <v>18199</v>
      </c>
      <c r="T1020" t="str">
        <f t="shared" si="46"/>
        <v>四川2018-06</v>
      </c>
      <c r="U1020">
        <f t="shared" ca="1" si="47"/>
        <v>18199</v>
      </c>
    </row>
    <row r="1021" spans="1:21" x14ac:dyDescent="0.15">
      <c r="A1021" t="str">
        <f>公司整体!A1021</f>
        <v>苏州</v>
      </c>
      <c r="B1021" t="str">
        <f>公司整体!B1021</f>
        <v>2018-06</v>
      </c>
      <c r="C1021">
        <f ca="1">INDIRECT(ADDRESS(ROW(C1021),MATCH(公司各渠道指标可视化!$C$4,公司整体!$1:$1,0),3,1,"公司整体"),TRUE)</f>
        <v>2015</v>
      </c>
      <c r="T1021" t="str">
        <f t="shared" si="46"/>
        <v>苏州2018-06</v>
      </c>
      <c r="U1021">
        <f t="shared" ca="1" si="47"/>
        <v>2015</v>
      </c>
    </row>
    <row r="1022" spans="1:21" x14ac:dyDescent="0.15">
      <c r="A1022" t="str">
        <f>公司整体!A1022</f>
        <v>中山</v>
      </c>
      <c r="B1022" t="str">
        <f>公司整体!B1022</f>
        <v>2018-06</v>
      </c>
      <c r="C1022">
        <f ca="1">INDIRECT(ADDRESS(ROW(C1022),MATCH(公司各渠道指标可视化!$C$4,公司整体!$1:$1,0),3,1,"公司整体"),TRUE)</f>
        <v>2842</v>
      </c>
      <c r="T1022" t="str">
        <f t="shared" si="46"/>
        <v>中山2018-06</v>
      </c>
      <c r="U1022">
        <f t="shared" ca="1" si="47"/>
        <v>2842</v>
      </c>
    </row>
    <row r="1023" spans="1:21" x14ac:dyDescent="0.15">
      <c r="A1023" t="str">
        <f>公司整体!A1023</f>
        <v>珠海</v>
      </c>
      <c r="B1023" t="str">
        <f>公司整体!B1023</f>
        <v>2018-06</v>
      </c>
      <c r="C1023">
        <f ca="1">INDIRECT(ADDRESS(ROW(C1023),MATCH(公司各渠道指标可视化!$C$4,公司整体!$1:$1,0),3,1,"公司整体"),TRUE)</f>
        <v>7097</v>
      </c>
      <c r="T1023" t="str">
        <f t="shared" si="46"/>
        <v>珠海2018-06</v>
      </c>
      <c r="U1023">
        <f t="shared" ca="1" si="47"/>
        <v>7097</v>
      </c>
    </row>
    <row r="1024" spans="1:21" x14ac:dyDescent="0.15">
      <c r="A1024" t="str">
        <f>公司整体!A1024</f>
        <v>东莞</v>
      </c>
      <c r="B1024" t="str">
        <f>公司整体!B1024</f>
        <v>2018-07</v>
      </c>
      <c r="C1024">
        <f ca="1">INDIRECT(ADDRESS(ROW(C1024),MATCH(公司各渠道指标可视化!$C$4,公司整体!$1:$1,0),3,1,"公司整体"),TRUE)</f>
        <v>4142</v>
      </c>
      <c r="T1024" t="str">
        <f t="shared" si="46"/>
        <v>东莞2018-07</v>
      </c>
      <c r="U1024">
        <f t="shared" ca="1" si="47"/>
        <v>4142</v>
      </c>
    </row>
    <row r="1025" spans="1:21" x14ac:dyDescent="0.15">
      <c r="A1025" t="str">
        <f>公司整体!A1025</f>
        <v>佛山</v>
      </c>
      <c r="B1025" t="str">
        <f>公司整体!B1025</f>
        <v>2018-07</v>
      </c>
      <c r="C1025">
        <f ca="1">INDIRECT(ADDRESS(ROW(C1025),MATCH(公司各渠道指标可视化!$C$4,公司整体!$1:$1,0),3,1,"公司整体"),TRUE)</f>
        <v>11738</v>
      </c>
      <c r="T1025" t="str">
        <f t="shared" si="46"/>
        <v>佛山2018-07</v>
      </c>
      <c r="U1025">
        <f t="shared" ca="1" si="47"/>
        <v>11738</v>
      </c>
    </row>
    <row r="1026" spans="1:21" x14ac:dyDescent="0.15">
      <c r="A1026" t="str">
        <f>公司整体!A1026</f>
        <v>广东</v>
      </c>
      <c r="B1026" t="str">
        <f>公司整体!B1026</f>
        <v>2018-07</v>
      </c>
      <c r="C1026">
        <f ca="1">INDIRECT(ADDRESS(ROW(C1026),MATCH(公司各渠道指标可视化!$C$4,公司整体!$1:$1,0),3,1,"公司整体"),TRUE)</f>
        <v>45928</v>
      </c>
      <c r="T1026" t="str">
        <f t="shared" si="46"/>
        <v>广东2018-07</v>
      </c>
      <c r="U1026">
        <f t="shared" ca="1" si="47"/>
        <v>45928</v>
      </c>
    </row>
    <row r="1027" spans="1:21" x14ac:dyDescent="0.15">
      <c r="A1027" t="str">
        <f>公司整体!A1027</f>
        <v>广州</v>
      </c>
      <c r="B1027" t="str">
        <f>公司整体!B1027</f>
        <v>2018-07</v>
      </c>
      <c r="C1027">
        <f ca="1">INDIRECT(ADDRESS(ROW(C1027),MATCH(公司各渠道指标可视化!$C$4,公司整体!$1:$1,0),3,1,"公司整体"),TRUE)</f>
        <v>25479</v>
      </c>
      <c r="T1027" t="str">
        <f t="shared" si="46"/>
        <v>广州2018-07</v>
      </c>
      <c r="U1027">
        <f t="shared" ca="1" si="47"/>
        <v>25479</v>
      </c>
    </row>
    <row r="1028" spans="1:21" x14ac:dyDescent="0.15">
      <c r="A1028" t="str">
        <f>公司整体!A1028</f>
        <v>湖北</v>
      </c>
      <c r="B1028" t="str">
        <f>公司整体!B1028</f>
        <v>2018-07</v>
      </c>
      <c r="C1028">
        <f ca="1">INDIRECT(ADDRESS(ROW(C1028),MATCH(公司各渠道指标可视化!$C$4,公司整体!$1:$1,0),3,1,"公司整体"),TRUE)</f>
        <v>7914</v>
      </c>
      <c r="T1028" t="str">
        <f t="shared" si="46"/>
        <v>湖北2018-07</v>
      </c>
      <c r="U1028">
        <f t="shared" ca="1" si="47"/>
        <v>7914</v>
      </c>
    </row>
    <row r="1029" spans="1:21" x14ac:dyDescent="0.15">
      <c r="A1029" t="str">
        <f>公司整体!A1029</f>
        <v>机构</v>
      </c>
      <c r="B1029" t="str">
        <f>公司整体!B1029</f>
        <v>2018-07</v>
      </c>
      <c r="C1029">
        <f ca="1">INDIRECT(ADDRESS(ROW(C1029),MATCH(公司各渠道指标可视化!$C$4,公司整体!$1:$1,0),3,1,"公司整体"),TRUE)</f>
        <v>138496</v>
      </c>
      <c r="T1029" t="str">
        <f t="shared" si="46"/>
        <v>机构2018-07</v>
      </c>
      <c r="U1029">
        <f t="shared" ca="1" si="47"/>
        <v>138496</v>
      </c>
    </row>
    <row r="1030" spans="1:21" x14ac:dyDescent="0.15">
      <c r="A1030" t="str">
        <f>公司整体!A1030</f>
        <v>江苏</v>
      </c>
      <c r="B1030" t="str">
        <f>公司整体!B1030</f>
        <v>2018-07</v>
      </c>
      <c r="C1030">
        <f ca="1">INDIRECT(ADDRESS(ROW(C1030),MATCH(公司各渠道指标可视化!$C$4,公司整体!$1:$1,0),3,1,"公司整体"),TRUE)</f>
        <v>2685</v>
      </c>
      <c r="T1030" t="str">
        <f t="shared" si="46"/>
        <v>江苏2018-07</v>
      </c>
      <c r="U1030">
        <f t="shared" ca="1" si="47"/>
        <v>2685</v>
      </c>
    </row>
    <row r="1031" spans="1:21" x14ac:dyDescent="0.15">
      <c r="A1031" t="str">
        <f>公司整体!A1031</f>
        <v>山东</v>
      </c>
      <c r="B1031" t="str">
        <f>公司整体!B1031</f>
        <v>2018-07</v>
      </c>
      <c r="C1031">
        <f ca="1">INDIRECT(ADDRESS(ROW(C1031),MATCH(公司各渠道指标可视化!$C$4,公司整体!$1:$1,0),3,1,"公司整体"),TRUE)</f>
        <v>1321</v>
      </c>
      <c r="T1031" t="str">
        <f t="shared" si="46"/>
        <v>山东2018-07</v>
      </c>
      <c r="U1031">
        <f t="shared" ca="1" si="47"/>
        <v>1321</v>
      </c>
    </row>
    <row r="1032" spans="1:21" x14ac:dyDescent="0.15">
      <c r="A1032" t="str">
        <f>公司整体!A1032</f>
        <v>上海</v>
      </c>
      <c r="B1032" t="str">
        <f>公司整体!B1032</f>
        <v>2018-07</v>
      </c>
      <c r="C1032">
        <f ca="1">INDIRECT(ADDRESS(ROW(C1032),MATCH(公司各渠道指标可视化!$C$4,公司整体!$1:$1,0),3,1,"公司整体"),TRUE)</f>
        <v>112</v>
      </c>
      <c r="T1032" t="str">
        <f t="shared" si="46"/>
        <v>上海2018-07</v>
      </c>
      <c r="U1032">
        <f t="shared" ca="1" si="47"/>
        <v>112</v>
      </c>
    </row>
    <row r="1033" spans="1:21" x14ac:dyDescent="0.15">
      <c r="A1033" t="str">
        <f>公司整体!A1033</f>
        <v>深圳</v>
      </c>
      <c r="B1033" t="str">
        <f>公司整体!B1033</f>
        <v>2018-07</v>
      </c>
      <c r="C1033">
        <f ca="1">INDIRECT(ADDRESS(ROW(C1033),MATCH(公司各渠道指标可视化!$C$4,公司整体!$1:$1,0),3,1,"公司整体"),TRUE)</f>
        <v>7109</v>
      </c>
      <c r="T1033" t="str">
        <f t="shared" si="46"/>
        <v>深圳2018-07</v>
      </c>
      <c r="U1033">
        <f t="shared" ca="1" si="47"/>
        <v>7109</v>
      </c>
    </row>
    <row r="1034" spans="1:21" x14ac:dyDescent="0.15">
      <c r="A1034" t="str">
        <f>公司整体!A1034</f>
        <v>四川</v>
      </c>
      <c r="B1034" t="str">
        <f>公司整体!B1034</f>
        <v>2018-07</v>
      </c>
      <c r="C1034">
        <f ca="1">INDIRECT(ADDRESS(ROW(C1034),MATCH(公司各渠道指标可视化!$C$4,公司整体!$1:$1,0),3,1,"公司整体"),TRUE)</f>
        <v>21523</v>
      </c>
      <c r="T1034" t="str">
        <f t="shared" si="46"/>
        <v>四川2018-07</v>
      </c>
      <c r="U1034">
        <f t="shared" ca="1" si="47"/>
        <v>21523</v>
      </c>
    </row>
    <row r="1035" spans="1:21" x14ac:dyDescent="0.15">
      <c r="A1035" t="str">
        <f>公司整体!A1035</f>
        <v>苏州</v>
      </c>
      <c r="B1035" t="str">
        <f>公司整体!B1035</f>
        <v>2018-07</v>
      </c>
      <c r="C1035">
        <f ca="1">INDIRECT(ADDRESS(ROW(C1035),MATCH(公司各渠道指标可视化!$C$4,公司整体!$1:$1,0),3,1,"公司整体"),TRUE)</f>
        <v>1207</v>
      </c>
      <c r="T1035" t="str">
        <f t="shared" si="46"/>
        <v>苏州2018-07</v>
      </c>
      <c r="U1035">
        <f t="shared" ca="1" si="47"/>
        <v>1207</v>
      </c>
    </row>
    <row r="1036" spans="1:21" x14ac:dyDescent="0.15">
      <c r="A1036" t="str">
        <f>公司整体!A1036</f>
        <v>中山</v>
      </c>
      <c r="B1036" t="str">
        <f>公司整体!B1036</f>
        <v>2018-07</v>
      </c>
      <c r="C1036">
        <f ca="1">INDIRECT(ADDRESS(ROW(C1036),MATCH(公司各渠道指标可视化!$C$4,公司整体!$1:$1,0),3,1,"公司整体"),TRUE)</f>
        <v>2763</v>
      </c>
      <c r="T1036" t="str">
        <f t="shared" si="46"/>
        <v>中山2018-07</v>
      </c>
      <c r="U1036">
        <f t="shared" ca="1" si="47"/>
        <v>2763</v>
      </c>
    </row>
    <row r="1037" spans="1:21" x14ac:dyDescent="0.15">
      <c r="A1037" t="str">
        <f>公司整体!A1037</f>
        <v>珠海</v>
      </c>
      <c r="B1037" t="str">
        <f>公司整体!B1037</f>
        <v>2018-07</v>
      </c>
      <c r="C1037">
        <f ca="1">INDIRECT(ADDRESS(ROW(C1037),MATCH(公司各渠道指标可视化!$C$4,公司整体!$1:$1,0),3,1,"公司整体"),TRUE)</f>
        <v>6577</v>
      </c>
      <c r="T1037" t="str">
        <f t="shared" si="46"/>
        <v>珠海2018-07</v>
      </c>
      <c r="U1037">
        <f t="shared" ca="1" si="47"/>
        <v>6577</v>
      </c>
    </row>
    <row r="1038" spans="1:21" x14ac:dyDescent="0.15">
      <c r="A1038" t="str">
        <f>公司整体!A1038</f>
        <v>东莞</v>
      </c>
      <c r="B1038" t="str">
        <f>公司整体!B1038</f>
        <v>2018-08</v>
      </c>
      <c r="C1038">
        <f ca="1">INDIRECT(ADDRESS(ROW(C1038),MATCH(公司各渠道指标可视化!$C$4,公司整体!$1:$1,0),3,1,"公司整体"),TRUE)</f>
        <v>2688</v>
      </c>
      <c r="T1038" t="str">
        <f t="shared" si="46"/>
        <v>东莞2018-08</v>
      </c>
      <c r="U1038">
        <f t="shared" ca="1" si="47"/>
        <v>2688</v>
      </c>
    </row>
    <row r="1039" spans="1:21" x14ac:dyDescent="0.15">
      <c r="A1039" t="str">
        <f>公司整体!A1039</f>
        <v>佛山</v>
      </c>
      <c r="B1039" t="str">
        <f>公司整体!B1039</f>
        <v>2018-08</v>
      </c>
      <c r="C1039">
        <f ca="1">INDIRECT(ADDRESS(ROW(C1039),MATCH(公司各渠道指标可视化!$C$4,公司整体!$1:$1,0),3,1,"公司整体"),TRUE)</f>
        <v>10495</v>
      </c>
      <c r="T1039" t="str">
        <f t="shared" si="46"/>
        <v>佛山2018-08</v>
      </c>
      <c r="U1039">
        <f t="shared" ca="1" si="47"/>
        <v>10495</v>
      </c>
    </row>
    <row r="1040" spans="1:21" x14ac:dyDescent="0.15">
      <c r="A1040" t="str">
        <f>公司整体!A1040</f>
        <v>广东</v>
      </c>
      <c r="B1040" t="str">
        <f>公司整体!B1040</f>
        <v>2018-08</v>
      </c>
      <c r="C1040">
        <f ca="1">INDIRECT(ADDRESS(ROW(C1040),MATCH(公司各渠道指标可视化!$C$4,公司整体!$1:$1,0),3,1,"公司整体"),TRUE)</f>
        <v>56066</v>
      </c>
      <c r="T1040" t="str">
        <f t="shared" si="46"/>
        <v>广东2018-08</v>
      </c>
      <c r="U1040">
        <f t="shared" ca="1" si="47"/>
        <v>56066</v>
      </c>
    </row>
    <row r="1041" spans="1:21" x14ac:dyDescent="0.15">
      <c r="A1041" t="str">
        <f>公司整体!A1041</f>
        <v>广州</v>
      </c>
      <c r="B1041" t="str">
        <f>公司整体!B1041</f>
        <v>2018-08</v>
      </c>
      <c r="C1041">
        <f ca="1">INDIRECT(ADDRESS(ROW(C1041),MATCH(公司各渠道指标可视化!$C$4,公司整体!$1:$1,0),3,1,"公司整体"),TRUE)</f>
        <v>19468</v>
      </c>
      <c r="T1041" t="str">
        <f t="shared" si="46"/>
        <v>广州2018-08</v>
      </c>
      <c r="U1041">
        <f t="shared" ca="1" si="47"/>
        <v>19468</v>
      </c>
    </row>
    <row r="1042" spans="1:21" x14ac:dyDescent="0.15">
      <c r="A1042" t="str">
        <f>公司整体!A1042</f>
        <v>湖北</v>
      </c>
      <c r="B1042" t="str">
        <f>公司整体!B1042</f>
        <v>2018-08</v>
      </c>
      <c r="C1042">
        <f ca="1">INDIRECT(ADDRESS(ROW(C1042),MATCH(公司各渠道指标可视化!$C$4,公司整体!$1:$1,0),3,1,"公司整体"),TRUE)</f>
        <v>11218</v>
      </c>
      <c r="T1042" t="str">
        <f t="shared" si="46"/>
        <v>湖北2018-08</v>
      </c>
      <c r="U1042">
        <f t="shared" ca="1" si="47"/>
        <v>11218</v>
      </c>
    </row>
    <row r="1043" spans="1:21" x14ac:dyDescent="0.15">
      <c r="A1043" t="str">
        <f>公司整体!A1043</f>
        <v>机构</v>
      </c>
      <c r="B1043" t="str">
        <f>公司整体!B1043</f>
        <v>2018-08</v>
      </c>
      <c r="C1043">
        <f ca="1">INDIRECT(ADDRESS(ROW(C1043),MATCH(公司各渠道指标可视化!$C$4,公司整体!$1:$1,0),3,1,"公司整体"),TRUE)</f>
        <v>143763</v>
      </c>
      <c r="T1043" t="str">
        <f t="shared" si="46"/>
        <v>机构2018-08</v>
      </c>
      <c r="U1043">
        <f t="shared" ca="1" si="47"/>
        <v>143763</v>
      </c>
    </row>
    <row r="1044" spans="1:21" x14ac:dyDescent="0.15">
      <c r="A1044" t="str">
        <f>公司整体!A1044</f>
        <v>江苏</v>
      </c>
      <c r="B1044" t="str">
        <f>公司整体!B1044</f>
        <v>2018-08</v>
      </c>
      <c r="C1044">
        <f ca="1">INDIRECT(ADDRESS(ROW(C1044),MATCH(公司各渠道指标可视化!$C$4,公司整体!$1:$1,0),3,1,"公司整体"),TRUE)</f>
        <v>3585</v>
      </c>
      <c r="T1044" t="str">
        <f t="shared" si="46"/>
        <v>江苏2018-08</v>
      </c>
      <c r="U1044">
        <f t="shared" ca="1" si="47"/>
        <v>3585</v>
      </c>
    </row>
    <row r="1045" spans="1:21" x14ac:dyDescent="0.15">
      <c r="A1045" t="str">
        <f>公司整体!A1045</f>
        <v>山东</v>
      </c>
      <c r="B1045" t="str">
        <f>公司整体!B1045</f>
        <v>2018-08</v>
      </c>
      <c r="C1045">
        <f ca="1">INDIRECT(ADDRESS(ROW(C1045),MATCH(公司各渠道指标可视化!$C$4,公司整体!$1:$1,0),3,1,"公司整体"),TRUE)</f>
        <v>797</v>
      </c>
      <c r="T1045" t="str">
        <f t="shared" si="46"/>
        <v>山东2018-08</v>
      </c>
      <c r="U1045">
        <f t="shared" ca="1" si="47"/>
        <v>797</v>
      </c>
    </row>
    <row r="1046" spans="1:21" x14ac:dyDescent="0.15">
      <c r="A1046" t="str">
        <f>公司整体!A1046</f>
        <v>上海</v>
      </c>
      <c r="B1046" t="str">
        <f>公司整体!B1046</f>
        <v>2018-08</v>
      </c>
      <c r="C1046">
        <f ca="1">INDIRECT(ADDRESS(ROW(C1046),MATCH(公司各渠道指标可视化!$C$4,公司整体!$1:$1,0),3,1,"公司整体"),TRUE)</f>
        <v>76</v>
      </c>
      <c r="T1046" t="str">
        <f t="shared" si="46"/>
        <v>上海2018-08</v>
      </c>
      <c r="U1046">
        <f t="shared" ca="1" si="47"/>
        <v>76</v>
      </c>
    </row>
    <row r="1047" spans="1:21" x14ac:dyDescent="0.15">
      <c r="A1047" t="str">
        <f>公司整体!A1047</f>
        <v>深圳</v>
      </c>
      <c r="B1047" t="str">
        <f>公司整体!B1047</f>
        <v>2018-08</v>
      </c>
      <c r="C1047">
        <f ca="1">INDIRECT(ADDRESS(ROW(C1047),MATCH(公司各渠道指标可视化!$C$4,公司整体!$1:$1,0),3,1,"公司整体"),TRUE)</f>
        <v>9473</v>
      </c>
      <c r="T1047" t="str">
        <f t="shared" ref="T1047:T1051" si="48">A1047&amp;B1047</f>
        <v>深圳2018-08</v>
      </c>
      <c r="U1047">
        <f t="shared" ref="U1047:U1051" ca="1" si="49">C1047</f>
        <v>9473</v>
      </c>
    </row>
    <row r="1048" spans="1:21" x14ac:dyDescent="0.15">
      <c r="A1048" t="str">
        <f>公司整体!A1048</f>
        <v>四川</v>
      </c>
      <c r="B1048" t="str">
        <f>公司整体!B1048</f>
        <v>2018-08</v>
      </c>
      <c r="C1048">
        <f ca="1">INDIRECT(ADDRESS(ROW(C1048),MATCH(公司各渠道指标可视化!$C$4,公司整体!$1:$1,0),3,1,"公司整体"),TRUE)</f>
        <v>19862</v>
      </c>
      <c r="T1048" t="str">
        <f t="shared" si="48"/>
        <v>四川2018-08</v>
      </c>
      <c r="U1048">
        <f t="shared" ca="1" si="49"/>
        <v>19862</v>
      </c>
    </row>
    <row r="1049" spans="1:21" x14ac:dyDescent="0.15">
      <c r="A1049" t="str">
        <f>公司整体!A1049</f>
        <v>苏州</v>
      </c>
      <c r="B1049" t="str">
        <f>公司整体!B1049</f>
        <v>2018-08</v>
      </c>
      <c r="C1049">
        <f ca="1">INDIRECT(ADDRESS(ROW(C1049),MATCH(公司各渠道指标可视化!$C$4,公司整体!$1:$1,0),3,1,"公司整体"),TRUE)</f>
        <v>1165</v>
      </c>
      <c r="T1049" t="str">
        <f t="shared" si="48"/>
        <v>苏州2018-08</v>
      </c>
      <c r="U1049">
        <f t="shared" ca="1" si="49"/>
        <v>1165</v>
      </c>
    </row>
    <row r="1050" spans="1:21" x14ac:dyDescent="0.15">
      <c r="A1050" t="str">
        <f>公司整体!A1050</f>
        <v>中山</v>
      </c>
      <c r="B1050" t="str">
        <f>公司整体!B1050</f>
        <v>2018-08</v>
      </c>
      <c r="C1050">
        <f ca="1">INDIRECT(ADDRESS(ROW(C1050),MATCH(公司各渠道指标可视化!$C$4,公司整体!$1:$1,0),3,1,"公司整体"),TRUE)</f>
        <v>2329</v>
      </c>
      <c r="T1050" t="str">
        <f t="shared" si="48"/>
        <v>中山2018-08</v>
      </c>
      <c r="U1050">
        <f t="shared" ca="1" si="49"/>
        <v>2329</v>
      </c>
    </row>
    <row r="1051" spans="1:21" x14ac:dyDescent="0.15">
      <c r="A1051" t="str">
        <f>公司整体!A1051</f>
        <v>珠海</v>
      </c>
      <c r="B1051" t="str">
        <f>公司整体!B1051</f>
        <v>2018-08</v>
      </c>
      <c r="C1051">
        <f ca="1">INDIRECT(ADDRESS(ROW(C1051),MATCH(公司各渠道指标可视化!$C$4,公司整体!$1:$1,0),3,1,"公司整体"),TRUE)</f>
        <v>6539</v>
      </c>
      <c r="T1051" t="str">
        <f t="shared" si="48"/>
        <v>珠海2018-08</v>
      </c>
      <c r="U1051">
        <f t="shared" ca="1" si="49"/>
        <v>6539</v>
      </c>
    </row>
    <row r="1052" spans="1:21" x14ac:dyDescent="0.15">
      <c r="A1052" t="str">
        <f>公司整体!A1052</f>
        <v>东莞</v>
      </c>
      <c r="B1052" t="str">
        <f>公司整体!B1052</f>
        <v>2018-09</v>
      </c>
      <c r="C1052">
        <f ca="1">INDIRECT(ADDRESS(ROW(C1052),MATCH(公司各渠道指标可视化!$C$4,公司整体!$1:$1,0),3,1,"公司整体"),TRUE)</f>
        <v>2270</v>
      </c>
      <c r="T1052" t="str">
        <f t="shared" ref="T1052:T1065" si="50">A1052&amp;B1052</f>
        <v>东莞2018-09</v>
      </c>
      <c r="U1052">
        <f t="shared" ref="U1052:U1065" ca="1" si="51">C1052</f>
        <v>2270</v>
      </c>
    </row>
    <row r="1053" spans="1:21" x14ac:dyDescent="0.15">
      <c r="A1053" t="str">
        <f>公司整体!A1053</f>
        <v>佛山</v>
      </c>
      <c r="B1053" t="str">
        <f>公司整体!B1053</f>
        <v>2018-09</v>
      </c>
      <c r="C1053">
        <f ca="1">INDIRECT(ADDRESS(ROW(C1053),MATCH(公司各渠道指标可视化!$C$4,公司整体!$1:$1,0),3,1,"公司整体"),TRUE)</f>
        <v>21122</v>
      </c>
      <c r="T1053" t="str">
        <f t="shared" si="50"/>
        <v>佛山2018-09</v>
      </c>
      <c r="U1053">
        <f t="shared" ca="1" si="51"/>
        <v>21122</v>
      </c>
    </row>
    <row r="1054" spans="1:21" x14ac:dyDescent="0.15">
      <c r="A1054" t="str">
        <f>公司整体!A1054</f>
        <v>广东</v>
      </c>
      <c r="B1054" t="str">
        <f>公司整体!B1054</f>
        <v>2018-09</v>
      </c>
      <c r="C1054">
        <f ca="1">INDIRECT(ADDRESS(ROW(C1054),MATCH(公司各渠道指标可视化!$C$4,公司整体!$1:$1,0),3,1,"公司整体"),TRUE)</f>
        <v>49008</v>
      </c>
      <c r="T1054" t="str">
        <f t="shared" si="50"/>
        <v>广东2018-09</v>
      </c>
      <c r="U1054">
        <f t="shared" ca="1" si="51"/>
        <v>49008</v>
      </c>
    </row>
    <row r="1055" spans="1:21" x14ac:dyDescent="0.15">
      <c r="A1055" t="str">
        <f>公司整体!A1055</f>
        <v>广州</v>
      </c>
      <c r="B1055" t="str">
        <f>公司整体!B1055</f>
        <v>2018-09</v>
      </c>
      <c r="C1055">
        <f ca="1">INDIRECT(ADDRESS(ROW(C1055),MATCH(公司各渠道指标可视化!$C$4,公司整体!$1:$1,0),3,1,"公司整体"),TRUE)</f>
        <v>21362</v>
      </c>
      <c r="T1055" t="str">
        <f t="shared" si="50"/>
        <v>广州2018-09</v>
      </c>
      <c r="U1055">
        <f t="shared" ca="1" si="51"/>
        <v>21362</v>
      </c>
    </row>
    <row r="1056" spans="1:21" x14ac:dyDescent="0.15">
      <c r="A1056" t="str">
        <f>公司整体!A1056</f>
        <v>湖北</v>
      </c>
      <c r="B1056" t="str">
        <f>公司整体!B1056</f>
        <v>2018-09</v>
      </c>
      <c r="C1056">
        <f ca="1">INDIRECT(ADDRESS(ROW(C1056),MATCH(公司各渠道指标可视化!$C$4,公司整体!$1:$1,0),3,1,"公司整体"),TRUE)</f>
        <v>13603</v>
      </c>
      <c r="T1056" t="str">
        <f t="shared" si="50"/>
        <v>湖北2018-09</v>
      </c>
      <c r="U1056">
        <f t="shared" ca="1" si="51"/>
        <v>13603</v>
      </c>
    </row>
    <row r="1057" spans="1:21" x14ac:dyDescent="0.15">
      <c r="A1057" t="str">
        <f>公司整体!A1057</f>
        <v>机构</v>
      </c>
      <c r="B1057" t="str">
        <f>公司整体!B1057</f>
        <v>2018-09</v>
      </c>
      <c r="C1057">
        <f ca="1">INDIRECT(ADDRESS(ROW(C1057),MATCH(公司各渠道指标可视化!$C$4,公司整体!$1:$1,0),3,1,"公司整体"),TRUE)</f>
        <v>158725</v>
      </c>
      <c r="T1057" t="str">
        <f t="shared" si="50"/>
        <v>机构2018-09</v>
      </c>
      <c r="U1057">
        <f t="shared" ca="1" si="51"/>
        <v>158725</v>
      </c>
    </row>
    <row r="1058" spans="1:21" x14ac:dyDescent="0.15">
      <c r="A1058" t="str">
        <f>公司整体!A1058</f>
        <v>江苏</v>
      </c>
      <c r="B1058" t="str">
        <f>公司整体!B1058</f>
        <v>2018-09</v>
      </c>
      <c r="C1058">
        <f ca="1">INDIRECT(ADDRESS(ROW(C1058),MATCH(公司各渠道指标可视化!$C$4,公司整体!$1:$1,0),3,1,"公司整体"),TRUE)</f>
        <v>3988</v>
      </c>
      <c r="T1058" t="str">
        <f t="shared" si="50"/>
        <v>江苏2018-09</v>
      </c>
      <c r="U1058">
        <f t="shared" ca="1" si="51"/>
        <v>3988</v>
      </c>
    </row>
    <row r="1059" spans="1:21" x14ac:dyDescent="0.15">
      <c r="A1059" t="str">
        <f>公司整体!A1059</f>
        <v>山东</v>
      </c>
      <c r="B1059" t="str">
        <f>公司整体!B1059</f>
        <v>2018-09</v>
      </c>
      <c r="C1059">
        <f ca="1">INDIRECT(ADDRESS(ROW(C1059),MATCH(公司各渠道指标可视化!$C$4,公司整体!$1:$1,0),3,1,"公司整体"),TRUE)</f>
        <v>912</v>
      </c>
      <c r="T1059" t="str">
        <f t="shared" si="50"/>
        <v>山东2018-09</v>
      </c>
      <c r="U1059">
        <f t="shared" ca="1" si="51"/>
        <v>912</v>
      </c>
    </row>
    <row r="1060" spans="1:21" x14ac:dyDescent="0.15">
      <c r="A1060" t="str">
        <f>公司整体!A1060</f>
        <v>上海</v>
      </c>
      <c r="B1060" t="str">
        <f>公司整体!B1060</f>
        <v>2018-09</v>
      </c>
      <c r="C1060">
        <f ca="1">INDIRECT(ADDRESS(ROW(C1060),MATCH(公司各渠道指标可视化!$C$4,公司整体!$1:$1,0),3,1,"公司整体"),TRUE)</f>
        <v>372</v>
      </c>
      <c r="T1060" t="str">
        <f t="shared" si="50"/>
        <v>上海2018-09</v>
      </c>
      <c r="U1060">
        <f t="shared" ca="1" si="51"/>
        <v>372</v>
      </c>
    </row>
    <row r="1061" spans="1:21" x14ac:dyDescent="0.15">
      <c r="A1061" t="str">
        <f>公司整体!A1061</f>
        <v>深圳</v>
      </c>
      <c r="B1061" t="str">
        <f>公司整体!B1061</f>
        <v>2018-09</v>
      </c>
      <c r="C1061">
        <f ca="1">INDIRECT(ADDRESS(ROW(C1061),MATCH(公司各渠道指标可视化!$C$4,公司整体!$1:$1,0),3,1,"公司整体"),TRUE)</f>
        <v>8890</v>
      </c>
      <c r="T1061" t="str">
        <f t="shared" si="50"/>
        <v>深圳2018-09</v>
      </c>
      <c r="U1061">
        <f t="shared" ca="1" si="51"/>
        <v>8890</v>
      </c>
    </row>
    <row r="1062" spans="1:21" x14ac:dyDescent="0.15">
      <c r="A1062" t="str">
        <f>公司整体!A1062</f>
        <v>四川</v>
      </c>
      <c r="B1062" t="str">
        <f>公司整体!B1062</f>
        <v>2018-09</v>
      </c>
      <c r="C1062">
        <f ca="1">INDIRECT(ADDRESS(ROW(C1062),MATCH(公司各渠道指标可视化!$C$4,公司整体!$1:$1,0),3,1,"公司整体"),TRUE)</f>
        <v>21439</v>
      </c>
      <c r="T1062" t="str">
        <f t="shared" si="50"/>
        <v>四川2018-09</v>
      </c>
      <c r="U1062">
        <f t="shared" ca="1" si="51"/>
        <v>21439</v>
      </c>
    </row>
    <row r="1063" spans="1:21" x14ac:dyDescent="0.15">
      <c r="A1063" t="str">
        <f>公司整体!A1063</f>
        <v>苏州</v>
      </c>
      <c r="B1063" t="str">
        <f>公司整体!B1063</f>
        <v>2018-09</v>
      </c>
      <c r="C1063">
        <f ca="1">INDIRECT(ADDRESS(ROW(C1063),MATCH(公司各渠道指标可视化!$C$4,公司整体!$1:$1,0),3,1,"公司整体"),TRUE)</f>
        <v>5683</v>
      </c>
      <c r="T1063" t="str">
        <f t="shared" si="50"/>
        <v>苏州2018-09</v>
      </c>
      <c r="U1063">
        <f t="shared" ca="1" si="51"/>
        <v>5683</v>
      </c>
    </row>
    <row r="1064" spans="1:21" x14ac:dyDescent="0.15">
      <c r="A1064" t="str">
        <f>公司整体!A1064</f>
        <v>中山</v>
      </c>
      <c r="B1064" t="str">
        <f>公司整体!B1064</f>
        <v>2018-09</v>
      </c>
      <c r="C1064">
        <f ca="1">INDIRECT(ADDRESS(ROW(C1064),MATCH(公司各渠道指标可视化!$C$4,公司整体!$1:$1,0),3,1,"公司整体"),TRUE)</f>
        <v>4188</v>
      </c>
      <c r="T1064" t="str">
        <f t="shared" si="50"/>
        <v>中山2018-09</v>
      </c>
      <c r="U1064">
        <f t="shared" ca="1" si="51"/>
        <v>4188</v>
      </c>
    </row>
    <row r="1065" spans="1:21" x14ac:dyDescent="0.15">
      <c r="A1065" t="str">
        <f>公司整体!A1065</f>
        <v>珠海</v>
      </c>
      <c r="B1065" t="str">
        <f>公司整体!B1065</f>
        <v>2018-09</v>
      </c>
      <c r="C1065">
        <f ca="1">INDIRECT(ADDRESS(ROW(C1065),MATCH(公司各渠道指标可视化!$C$4,公司整体!$1:$1,0),3,1,"公司整体"),TRUE)</f>
        <v>5889</v>
      </c>
      <c r="T1065" t="str">
        <f t="shared" si="50"/>
        <v>珠海2018-09</v>
      </c>
      <c r="U1065">
        <f t="shared" ca="1" si="51"/>
        <v>5889</v>
      </c>
    </row>
    <row r="1066" spans="1:21" x14ac:dyDescent="0.15">
      <c r="A1066" t="str">
        <f>公司整体!A1066</f>
        <v>东莞</v>
      </c>
      <c r="B1066" t="str">
        <f>公司整体!B1066</f>
        <v>2018-10</v>
      </c>
      <c r="C1066">
        <f ca="1">INDIRECT(ADDRESS(ROW(C1066),MATCH(公司各渠道指标可视化!$C$4,公司整体!$1:$1,0),3,1,"公司整体"),TRUE)</f>
        <v>7226</v>
      </c>
      <c r="T1066" t="str">
        <f t="shared" ref="T1066:T1115" si="52">A1066&amp;B1066</f>
        <v>东莞2018-10</v>
      </c>
      <c r="U1066">
        <f t="shared" ref="U1066:U1115" ca="1" si="53">C1066</f>
        <v>7226</v>
      </c>
    </row>
    <row r="1067" spans="1:21" x14ac:dyDescent="0.15">
      <c r="A1067" t="str">
        <f>公司整体!A1067</f>
        <v>佛山</v>
      </c>
      <c r="B1067" t="str">
        <f>公司整体!B1067</f>
        <v>2018-10</v>
      </c>
      <c r="C1067">
        <f ca="1">INDIRECT(ADDRESS(ROW(C1067),MATCH(公司各渠道指标可视化!$C$4,公司整体!$1:$1,0),3,1,"公司整体"),TRUE)</f>
        <v>22578</v>
      </c>
      <c r="T1067" t="str">
        <f t="shared" si="52"/>
        <v>佛山2018-10</v>
      </c>
      <c r="U1067">
        <f t="shared" ca="1" si="53"/>
        <v>22578</v>
      </c>
    </row>
    <row r="1068" spans="1:21" x14ac:dyDescent="0.15">
      <c r="A1068" t="str">
        <f>公司整体!A1068</f>
        <v>广东</v>
      </c>
      <c r="B1068" t="str">
        <f>公司整体!B1068</f>
        <v>2018-10</v>
      </c>
      <c r="C1068">
        <f ca="1">INDIRECT(ADDRESS(ROW(C1068),MATCH(公司各渠道指标可视化!$C$4,公司整体!$1:$1,0),3,1,"公司整体"),TRUE)</f>
        <v>45810</v>
      </c>
      <c r="T1068" t="str">
        <f t="shared" si="52"/>
        <v>广东2018-10</v>
      </c>
      <c r="U1068">
        <f t="shared" ca="1" si="53"/>
        <v>45810</v>
      </c>
    </row>
    <row r="1069" spans="1:21" x14ac:dyDescent="0.15">
      <c r="A1069" t="str">
        <f>公司整体!A1069</f>
        <v>广州</v>
      </c>
      <c r="B1069" t="str">
        <f>公司整体!B1069</f>
        <v>2018-10</v>
      </c>
      <c r="C1069">
        <f ca="1">INDIRECT(ADDRESS(ROW(C1069),MATCH(公司各渠道指标可视化!$C$4,公司整体!$1:$1,0),3,1,"公司整体"),TRUE)</f>
        <v>24257</v>
      </c>
      <c r="T1069" t="str">
        <f t="shared" si="52"/>
        <v>广州2018-10</v>
      </c>
      <c r="U1069">
        <f t="shared" ca="1" si="53"/>
        <v>24257</v>
      </c>
    </row>
    <row r="1070" spans="1:21" x14ac:dyDescent="0.15">
      <c r="A1070" t="str">
        <f>公司整体!A1070</f>
        <v>湖北</v>
      </c>
      <c r="B1070" t="str">
        <f>公司整体!B1070</f>
        <v>2018-10</v>
      </c>
      <c r="C1070">
        <f ca="1">INDIRECT(ADDRESS(ROW(C1070),MATCH(公司各渠道指标可视化!$C$4,公司整体!$1:$1,0),3,1,"公司整体"),TRUE)</f>
        <v>11601</v>
      </c>
      <c r="T1070" t="str">
        <f t="shared" si="52"/>
        <v>湖北2018-10</v>
      </c>
      <c r="U1070">
        <f t="shared" ca="1" si="53"/>
        <v>11601</v>
      </c>
    </row>
    <row r="1071" spans="1:21" x14ac:dyDescent="0.15">
      <c r="A1071" t="str">
        <f>公司整体!A1071</f>
        <v>机构</v>
      </c>
      <c r="B1071" t="str">
        <f>公司整体!B1071</f>
        <v>2018-10</v>
      </c>
      <c r="C1071">
        <f ca="1">INDIRECT(ADDRESS(ROW(C1071),MATCH(公司各渠道指标可视化!$C$4,公司整体!$1:$1,0),3,1,"公司整体"),TRUE)</f>
        <v>209427</v>
      </c>
      <c r="T1071" t="str">
        <f t="shared" si="52"/>
        <v>机构2018-10</v>
      </c>
      <c r="U1071">
        <f t="shared" ca="1" si="53"/>
        <v>209427</v>
      </c>
    </row>
    <row r="1072" spans="1:21" x14ac:dyDescent="0.15">
      <c r="A1072" t="str">
        <f>公司整体!A1072</f>
        <v>江苏</v>
      </c>
      <c r="B1072" t="str">
        <f>公司整体!B1072</f>
        <v>2018-10</v>
      </c>
      <c r="C1072">
        <f ca="1">INDIRECT(ADDRESS(ROW(C1072),MATCH(公司各渠道指标可视化!$C$4,公司整体!$1:$1,0),3,1,"公司整体"),TRUE)</f>
        <v>14051</v>
      </c>
      <c r="T1072" t="str">
        <f t="shared" si="52"/>
        <v>江苏2018-10</v>
      </c>
      <c r="U1072">
        <f t="shared" ca="1" si="53"/>
        <v>14051</v>
      </c>
    </row>
    <row r="1073" spans="1:21" x14ac:dyDescent="0.15">
      <c r="A1073" t="str">
        <f>公司整体!A1073</f>
        <v>山东</v>
      </c>
      <c r="B1073" t="str">
        <f>公司整体!B1073</f>
        <v>2018-10</v>
      </c>
      <c r="C1073">
        <f ca="1">INDIRECT(ADDRESS(ROW(C1073),MATCH(公司各渠道指标可视化!$C$4,公司整体!$1:$1,0),3,1,"公司整体"),TRUE)</f>
        <v>3073</v>
      </c>
      <c r="T1073" t="str">
        <f t="shared" si="52"/>
        <v>山东2018-10</v>
      </c>
      <c r="U1073">
        <f t="shared" ca="1" si="53"/>
        <v>3073</v>
      </c>
    </row>
    <row r="1074" spans="1:21" x14ac:dyDescent="0.15">
      <c r="A1074" t="str">
        <f>公司整体!A1074</f>
        <v>上海</v>
      </c>
      <c r="B1074" t="str">
        <f>公司整体!B1074</f>
        <v>2018-10</v>
      </c>
      <c r="C1074">
        <f ca="1">INDIRECT(ADDRESS(ROW(C1074),MATCH(公司各渠道指标可视化!$C$4,公司整体!$1:$1,0),3,1,"公司整体"),TRUE)</f>
        <v>339</v>
      </c>
      <c r="T1074" t="str">
        <f t="shared" si="52"/>
        <v>上海2018-10</v>
      </c>
      <c r="U1074">
        <f t="shared" ca="1" si="53"/>
        <v>339</v>
      </c>
    </row>
    <row r="1075" spans="1:21" x14ac:dyDescent="0.15">
      <c r="A1075" t="str">
        <f>公司整体!A1075</f>
        <v>深圳</v>
      </c>
      <c r="B1075" t="str">
        <f>公司整体!B1075</f>
        <v>2018-10</v>
      </c>
      <c r="C1075">
        <f ca="1">INDIRECT(ADDRESS(ROW(C1075),MATCH(公司各渠道指标可视化!$C$4,公司整体!$1:$1,0),3,1,"公司整体"),TRUE)</f>
        <v>17282</v>
      </c>
      <c r="T1075" t="str">
        <f t="shared" si="52"/>
        <v>深圳2018-10</v>
      </c>
      <c r="U1075">
        <f t="shared" ca="1" si="53"/>
        <v>17282</v>
      </c>
    </row>
    <row r="1076" spans="1:21" x14ac:dyDescent="0.15">
      <c r="A1076" t="str">
        <f>公司整体!A1076</f>
        <v>四川</v>
      </c>
      <c r="B1076" t="str">
        <f>公司整体!B1076</f>
        <v>2018-10</v>
      </c>
      <c r="C1076">
        <f ca="1">INDIRECT(ADDRESS(ROW(C1076),MATCH(公司各渠道指标可视化!$C$4,公司整体!$1:$1,0),3,1,"公司整体"),TRUE)</f>
        <v>47766</v>
      </c>
      <c r="T1076" t="str">
        <f t="shared" si="52"/>
        <v>四川2018-10</v>
      </c>
      <c r="U1076">
        <f t="shared" ca="1" si="53"/>
        <v>47766</v>
      </c>
    </row>
    <row r="1077" spans="1:21" x14ac:dyDescent="0.15">
      <c r="A1077" t="str">
        <f>公司整体!A1077</f>
        <v>苏州</v>
      </c>
      <c r="B1077" t="str">
        <f>公司整体!B1077</f>
        <v>2018-10</v>
      </c>
      <c r="C1077">
        <f ca="1">INDIRECT(ADDRESS(ROW(C1077),MATCH(公司各渠道指标可视化!$C$4,公司整体!$1:$1,0),3,1,"公司整体"),TRUE)</f>
        <v>6448</v>
      </c>
      <c r="T1077" t="str">
        <f t="shared" si="52"/>
        <v>苏州2018-10</v>
      </c>
      <c r="U1077">
        <f t="shared" ca="1" si="53"/>
        <v>6448</v>
      </c>
    </row>
    <row r="1078" spans="1:21" x14ac:dyDescent="0.15">
      <c r="A1078" t="str">
        <f>公司整体!A1078</f>
        <v>中山</v>
      </c>
      <c r="B1078" t="str">
        <f>公司整体!B1078</f>
        <v>2018-10</v>
      </c>
      <c r="C1078">
        <f ca="1">INDIRECT(ADDRESS(ROW(C1078),MATCH(公司各渠道指标可视化!$C$4,公司整体!$1:$1,0),3,1,"公司整体"),TRUE)</f>
        <v>3174</v>
      </c>
      <c r="T1078" t="str">
        <f t="shared" si="52"/>
        <v>中山2018-10</v>
      </c>
      <c r="U1078">
        <f t="shared" ca="1" si="53"/>
        <v>3174</v>
      </c>
    </row>
    <row r="1079" spans="1:21" x14ac:dyDescent="0.15">
      <c r="A1079" t="str">
        <f>公司整体!A1079</f>
        <v>珠海</v>
      </c>
      <c r="B1079" t="str">
        <f>公司整体!B1079</f>
        <v>2018-10</v>
      </c>
      <c r="C1079">
        <f ca="1">INDIRECT(ADDRESS(ROW(C1079),MATCH(公司各渠道指标可视化!$C$4,公司整体!$1:$1,0),3,1,"公司整体"),TRUE)</f>
        <v>5820</v>
      </c>
      <c r="T1079" t="str">
        <f t="shared" si="52"/>
        <v>珠海2018-10</v>
      </c>
      <c r="U1079">
        <f t="shared" ca="1" si="53"/>
        <v>5820</v>
      </c>
    </row>
    <row r="1080" spans="1:21" x14ac:dyDescent="0.15">
      <c r="A1080" t="str">
        <f>公司整体!A1080</f>
        <v>东莞</v>
      </c>
      <c r="B1080" t="str">
        <f>公司整体!B1080</f>
        <v>2018-11</v>
      </c>
      <c r="C1080">
        <f ca="1">INDIRECT(ADDRESS(ROW(C1080),MATCH(公司各渠道指标可视化!$C$4,公司整体!$1:$1,0),3,1,"公司整体"),TRUE)</f>
        <v>10158</v>
      </c>
      <c r="T1080" t="str">
        <f t="shared" si="52"/>
        <v>东莞2018-11</v>
      </c>
      <c r="U1080">
        <f t="shared" ca="1" si="53"/>
        <v>10158</v>
      </c>
    </row>
    <row r="1081" spans="1:21" x14ac:dyDescent="0.15">
      <c r="A1081" t="str">
        <f>公司整体!A1081</f>
        <v>佛山</v>
      </c>
      <c r="B1081" t="str">
        <f>公司整体!B1081</f>
        <v>2018-11</v>
      </c>
      <c r="C1081">
        <f ca="1">INDIRECT(ADDRESS(ROW(C1081),MATCH(公司各渠道指标可视化!$C$4,公司整体!$1:$1,0),3,1,"公司整体"),TRUE)</f>
        <v>33720</v>
      </c>
      <c r="T1081" t="str">
        <f t="shared" si="52"/>
        <v>佛山2018-11</v>
      </c>
      <c r="U1081">
        <f t="shared" ca="1" si="53"/>
        <v>33720</v>
      </c>
    </row>
    <row r="1082" spans="1:21" x14ac:dyDescent="0.15">
      <c r="A1082" t="str">
        <f>公司整体!A1082</f>
        <v>广东</v>
      </c>
      <c r="B1082" t="str">
        <f>公司整体!B1082</f>
        <v>2018-11</v>
      </c>
      <c r="C1082">
        <f ca="1">INDIRECT(ADDRESS(ROW(C1082),MATCH(公司各渠道指标可视化!$C$4,公司整体!$1:$1,0),3,1,"公司整体"),TRUE)</f>
        <v>44296</v>
      </c>
      <c r="T1082" t="str">
        <f t="shared" si="52"/>
        <v>广东2018-11</v>
      </c>
      <c r="U1082">
        <f t="shared" ca="1" si="53"/>
        <v>44296</v>
      </c>
    </row>
    <row r="1083" spans="1:21" x14ac:dyDescent="0.15">
      <c r="A1083" t="str">
        <f>公司整体!A1083</f>
        <v>广州</v>
      </c>
      <c r="B1083" t="str">
        <f>公司整体!B1083</f>
        <v>2018-11</v>
      </c>
      <c r="C1083">
        <f ca="1">INDIRECT(ADDRESS(ROW(C1083),MATCH(公司各渠道指标可视化!$C$4,公司整体!$1:$1,0),3,1,"公司整体"),TRUE)</f>
        <v>24496</v>
      </c>
      <c r="T1083" t="str">
        <f t="shared" si="52"/>
        <v>广州2018-11</v>
      </c>
      <c r="U1083">
        <f t="shared" ca="1" si="53"/>
        <v>24496</v>
      </c>
    </row>
    <row r="1084" spans="1:21" x14ac:dyDescent="0.15">
      <c r="A1084" t="str">
        <f>公司整体!A1084</f>
        <v>湖北</v>
      </c>
      <c r="B1084" t="str">
        <f>公司整体!B1084</f>
        <v>2018-11</v>
      </c>
      <c r="C1084">
        <f ca="1">INDIRECT(ADDRESS(ROW(C1084),MATCH(公司各渠道指标可视化!$C$4,公司整体!$1:$1,0),3,1,"公司整体"),TRUE)</f>
        <v>9755</v>
      </c>
      <c r="T1084" t="str">
        <f t="shared" si="52"/>
        <v>湖北2018-11</v>
      </c>
      <c r="U1084">
        <f t="shared" ca="1" si="53"/>
        <v>9755</v>
      </c>
    </row>
    <row r="1085" spans="1:21" x14ac:dyDescent="0.15">
      <c r="A1085" t="str">
        <f>公司整体!A1085</f>
        <v>机构</v>
      </c>
      <c r="B1085" t="str">
        <f>公司整体!B1085</f>
        <v>2018-11</v>
      </c>
      <c r="C1085">
        <f ca="1">INDIRECT(ADDRESS(ROW(C1085),MATCH(公司各渠道指标可视化!$C$4,公司整体!$1:$1,0),3,1,"公司整体"),TRUE)</f>
        <v>239449</v>
      </c>
      <c r="T1085" t="str">
        <f t="shared" si="52"/>
        <v>机构2018-11</v>
      </c>
      <c r="U1085">
        <f t="shared" ca="1" si="53"/>
        <v>239449</v>
      </c>
    </row>
    <row r="1086" spans="1:21" x14ac:dyDescent="0.15">
      <c r="A1086" t="str">
        <f>公司整体!A1086</f>
        <v>江苏</v>
      </c>
      <c r="B1086" t="str">
        <f>公司整体!B1086</f>
        <v>2018-11</v>
      </c>
      <c r="C1086">
        <f ca="1">INDIRECT(ADDRESS(ROW(C1086),MATCH(公司各渠道指标可视化!$C$4,公司整体!$1:$1,0),3,1,"公司整体"),TRUE)</f>
        <v>26815</v>
      </c>
      <c r="T1086" t="str">
        <f t="shared" si="52"/>
        <v>江苏2018-11</v>
      </c>
      <c r="U1086">
        <f t="shared" ca="1" si="53"/>
        <v>26815</v>
      </c>
    </row>
    <row r="1087" spans="1:21" x14ac:dyDescent="0.15">
      <c r="A1087" t="str">
        <f>公司整体!A1087</f>
        <v>山东</v>
      </c>
      <c r="B1087" t="str">
        <f>公司整体!B1087</f>
        <v>2018-11</v>
      </c>
      <c r="C1087">
        <f ca="1">INDIRECT(ADDRESS(ROW(C1087),MATCH(公司各渠道指标可视化!$C$4,公司整体!$1:$1,0),3,1,"公司整体"),TRUE)</f>
        <v>8455</v>
      </c>
      <c r="T1087" t="str">
        <f t="shared" si="52"/>
        <v>山东2018-11</v>
      </c>
      <c r="U1087">
        <f t="shared" ca="1" si="53"/>
        <v>8455</v>
      </c>
    </row>
    <row r="1088" spans="1:21" x14ac:dyDescent="0.15">
      <c r="A1088" t="str">
        <f>公司整体!A1088</f>
        <v>上海</v>
      </c>
      <c r="B1088" t="str">
        <f>公司整体!B1088</f>
        <v>2018-11</v>
      </c>
      <c r="C1088">
        <f ca="1">INDIRECT(ADDRESS(ROW(C1088),MATCH(公司各渠道指标可视化!$C$4,公司整体!$1:$1,0),3,1,"公司整体"),TRUE)</f>
        <v>47</v>
      </c>
      <c r="T1088" t="str">
        <f t="shared" si="52"/>
        <v>上海2018-11</v>
      </c>
      <c r="U1088">
        <f t="shared" ca="1" si="53"/>
        <v>47</v>
      </c>
    </row>
    <row r="1089" spans="1:21" x14ac:dyDescent="0.15">
      <c r="A1089" t="str">
        <f>公司整体!A1089</f>
        <v>深圳</v>
      </c>
      <c r="B1089" t="str">
        <f>公司整体!B1089</f>
        <v>2018-11</v>
      </c>
      <c r="C1089">
        <f ca="1">INDIRECT(ADDRESS(ROW(C1089),MATCH(公司各渠道指标可视化!$C$4,公司整体!$1:$1,0),3,1,"公司整体"),TRUE)</f>
        <v>24641</v>
      </c>
      <c r="T1089" t="str">
        <f t="shared" si="52"/>
        <v>深圳2018-11</v>
      </c>
      <c r="U1089">
        <f t="shared" ca="1" si="53"/>
        <v>24641</v>
      </c>
    </row>
    <row r="1090" spans="1:21" x14ac:dyDescent="0.15">
      <c r="A1090" t="str">
        <f>公司整体!A1090</f>
        <v>四川</v>
      </c>
      <c r="B1090" t="str">
        <f>公司整体!B1090</f>
        <v>2018-11</v>
      </c>
      <c r="C1090">
        <f ca="1">INDIRECT(ADDRESS(ROW(C1090),MATCH(公司各渠道指标可视化!$C$4,公司整体!$1:$1,0),3,1,"公司整体"),TRUE)</f>
        <v>40015</v>
      </c>
      <c r="T1090" t="str">
        <f t="shared" si="52"/>
        <v>四川2018-11</v>
      </c>
      <c r="U1090">
        <f t="shared" ca="1" si="53"/>
        <v>40015</v>
      </c>
    </row>
    <row r="1091" spans="1:21" x14ac:dyDescent="0.15">
      <c r="A1091" t="str">
        <f>公司整体!A1091</f>
        <v>苏州</v>
      </c>
      <c r="B1091" t="str">
        <f>公司整体!B1091</f>
        <v>2018-11</v>
      </c>
      <c r="C1091">
        <f ca="1">INDIRECT(ADDRESS(ROW(C1091),MATCH(公司各渠道指标可视化!$C$4,公司整体!$1:$1,0),3,1,"公司整体"),TRUE)</f>
        <v>4960</v>
      </c>
      <c r="T1091" t="str">
        <f t="shared" si="52"/>
        <v>苏州2018-11</v>
      </c>
      <c r="U1091">
        <f t="shared" ca="1" si="53"/>
        <v>4960</v>
      </c>
    </row>
    <row r="1092" spans="1:21" x14ac:dyDescent="0.15">
      <c r="A1092" t="str">
        <f>公司整体!A1092</f>
        <v>中山</v>
      </c>
      <c r="B1092" t="str">
        <f>公司整体!B1092</f>
        <v>2018-11</v>
      </c>
      <c r="C1092">
        <f ca="1">INDIRECT(ADDRESS(ROW(C1092),MATCH(公司各渠道指标可视化!$C$4,公司整体!$1:$1,0),3,1,"公司整体"),TRUE)</f>
        <v>3720</v>
      </c>
      <c r="T1092" t="str">
        <f t="shared" si="52"/>
        <v>中山2018-11</v>
      </c>
      <c r="U1092">
        <f t="shared" ca="1" si="53"/>
        <v>3720</v>
      </c>
    </row>
    <row r="1093" spans="1:21" x14ac:dyDescent="0.15">
      <c r="A1093" t="str">
        <f>公司整体!A1093</f>
        <v>珠海</v>
      </c>
      <c r="B1093" t="str">
        <f>公司整体!B1093</f>
        <v>2018-11</v>
      </c>
      <c r="C1093">
        <f ca="1">INDIRECT(ADDRESS(ROW(C1093),MATCH(公司各渠道指标可视化!$C$4,公司整体!$1:$1,0),3,1,"公司整体"),TRUE)</f>
        <v>8372</v>
      </c>
      <c r="T1093" t="str">
        <f t="shared" si="52"/>
        <v>珠海2018-11</v>
      </c>
      <c r="U1093">
        <f t="shared" ca="1" si="53"/>
        <v>8372</v>
      </c>
    </row>
    <row r="1094" spans="1:21" x14ac:dyDescent="0.15">
      <c r="A1094" t="str">
        <f>公司整体!A1094</f>
        <v>东莞</v>
      </c>
      <c r="B1094" t="str">
        <f>公司整体!B1094</f>
        <v>2018-12</v>
      </c>
      <c r="C1094">
        <f ca="1">INDIRECT(ADDRESS(ROW(C1094),MATCH(公司各渠道指标可视化!$C$4,公司整体!$1:$1,0),3,1,"公司整体"),TRUE)</f>
        <v>200</v>
      </c>
      <c r="T1094" t="str">
        <f t="shared" si="52"/>
        <v>东莞2018-12</v>
      </c>
      <c r="U1094">
        <f t="shared" ca="1" si="53"/>
        <v>200</v>
      </c>
    </row>
    <row r="1095" spans="1:21" x14ac:dyDescent="0.15">
      <c r="A1095" t="str">
        <f>公司整体!A1095</f>
        <v>佛山</v>
      </c>
      <c r="B1095" t="str">
        <f>公司整体!B1095</f>
        <v>2018-12</v>
      </c>
      <c r="C1095">
        <f ca="1">INDIRECT(ADDRESS(ROW(C1095),MATCH(公司各渠道指标可视化!$C$4,公司整体!$1:$1,0),3,1,"公司整体"),TRUE)</f>
        <v>42</v>
      </c>
      <c r="T1095" t="str">
        <f t="shared" si="52"/>
        <v>佛山2018-12</v>
      </c>
      <c r="U1095">
        <f t="shared" ca="1" si="53"/>
        <v>42</v>
      </c>
    </row>
    <row r="1096" spans="1:21" x14ac:dyDescent="0.15">
      <c r="A1096" t="str">
        <f>公司整体!A1096</f>
        <v>广东</v>
      </c>
      <c r="B1096" t="str">
        <f>公司整体!B1096</f>
        <v>2018-12</v>
      </c>
      <c r="C1096">
        <f ca="1">INDIRECT(ADDRESS(ROW(C1096),MATCH(公司各渠道指标可视化!$C$4,公司整体!$1:$1,0),3,1,"公司整体"),TRUE)</f>
        <v>1593</v>
      </c>
      <c r="T1096" t="str">
        <f t="shared" si="52"/>
        <v>广东2018-12</v>
      </c>
      <c r="U1096">
        <f t="shared" ca="1" si="53"/>
        <v>1593</v>
      </c>
    </row>
    <row r="1097" spans="1:21" x14ac:dyDescent="0.15">
      <c r="A1097" t="str">
        <f>公司整体!A1097</f>
        <v>广州</v>
      </c>
      <c r="B1097" t="str">
        <f>公司整体!B1097</f>
        <v>2018-12</v>
      </c>
      <c r="C1097">
        <f ca="1">INDIRECT(ADDRESS(ROW(C1097),MATCH(公司各渠道指标可视化!$C$4,公司整体!$1:$1,0),3,1,"公司整体"),TRUE)</f>
        <v>454</v>
      </c>
      <c r="T1097" t="str">
        <f t="shared" si="52"/>
        <v>广州2018-12</v>
      </c>
      <c r="U1097">
        <f t="shared" ca="1" si="53"/>
        <v>454</v>
      </c>
    </row>
    <row r="1098" spans="1:21" x14ac:dyDescent="0.15">
      <c r="A1098" t="str">
        <f>公司整体!A1098</f>
        <v>湖北</v>
      </c>
      <c r="B1098" t="str">
        <f>公司整体!B1098</f>
        <v>2018-12</v>
      </c>
      <c r="C1098">
        <f ca="1">INDIRECT(ADDRESS(ROW(C1098),MATCH(公司各渠道指标可视化!$C$4,公司整体!$1:$1,0),3,1,"公司整体"),TRUE)</f>
        <v>165</v>
      </c>
      <c r="T1098" t="str">
        <f t="shared" si="52"/>
        <v>湖北2018-12</v>
      </c>
      <c r="U1098">
        <f t="shared" ca="1" si="53"/>
        <v>165</v>
      </c>
    </row>
    <row r="1099" spans="1:21" x14ac:dyDescent="0.15">
      <c r="A1099" t="str">
        <f>公司整体!A1099</f>
        <v>机构</v>
      </c>
      <c r="B1099" t="str">
        <f>公司整体!B1099</f>
        <v>2018-12</v>
      </c>
      <c r="C1099">
        <f ca="1">INDIRECT(ADDRESS(ROW(C1099),MATCH(公司各渠道指标可视化!$C$4,公司整体!$1:$1,0),3,1,"公司整体"),TRUE)</f>
        <v>4696</v>
      </c>
      <c r="T1099" t="str">
        <f t="shared" si="52"/>
        <v>机构2018-12</v>
      </c>
      <c r="U1099">
        <f t="shared" ca="1" si="53"/>
        <v>4696</v>
      </c>
    </row>
    <row r="1100" spans="1:21" x14ac:dyDescent="0.15">
      <c r="A1100" t="str">
        <f>公司整体!A1100</f>
        <v>江苏</v>
      </c>
      <c r="B1100" t="str">
        <f>公司整体!B1100</f>
        <v>2018-12</v>
      </c>
      <c r="C1100">
        <f ca="1">INDIRECT(ADDRESS(ROW(C1100),MATCH(公司各渠道指标可视化!$C$4,公司整体!$1:$1,0),3,1,"公司整体"),TRUE)</f>
        <v>331</v>
      </c>
      <c r="T1100" t="str">
        <f t="shared" si="52"/>
        <v>江苏2018-12</v>
      </c>
      <c r="U1100">
        <f t="shared" ca="1" si="53"/>
        <v>331</v>
      </c>
    </row>
    <row r="1101" spans="1:21" x14ac:dyDescent="0.15">
      <c r="A1101" t="str">
        <f>公司整体!A1101</f>
        <v>山东</v>
      </c>
      <c r="B1101" t="str">
        <f>公司整体!B1101</f>
        <v>2018-12</v>
      </c>
      <c r="C1101">
        <f ca="1">INDIRECT(ADDRESS(ROW(C1101),MATCH(公司各渠道指标可视化!$C$4,公司整体!$1:$1,0),3,1,"公司整体"),TRUE)</f>
        <v>428</v>
      </c>
      <c r="T1101" t="str">
        <f t="shared" si="52"/>
        <v>山东2018-12</v>
      </c>
      <c r="U1101">
        <f t="shared" ca="1" si="53"/>
        <v>428</v>
      </c>
    </row>
    <row r="1102" spans="1:21" x14ac:dyDescent="0.15">
      <c r="A1102" t="str">
        <f>公司整体!A1102</f>
        <v>上海</v>
      </c>
      <c r="B1102" t="str">
        <f>公司整体!B1102</f>
        <v>2018-12</v>
      </c>
      <c r="C1102">
        <f ca="1">INDIRECT(ADDRESS(ROW(C1102),MATCH(公司各渠道指标可视化!$C$4,公司整体!$1:$1,0),3,1,"公司整体"),TRUE)</f>
        <v>20</v>
      </c>
      <c r="T1102" t="str">
        <f t="shared" si="52"/>
        <v>上海2018-12</v>
      </c>
      <c r="U1102">
        <f t="shared" ca="1" si="53"/>
        <v>20</v>
      </c>
    </row>
    <row r="1103" spans="1:21" x14ac:dyDescent="0.15">
      <c r="A1103" t="str">
        <f>公司整体!A1103</f>
        <v>深圳</v>
      </c>
      <c r="B1103" t="str">
        <f>公司整体!B1103</f>
        <v>2018-12</v>
      </c>
      <c r="C1103">
        <f ca="1">INDIRECT(ADDRESS(ROW(C1103),MATCH(公司各渠道指标可视化!$C$4,公司整体!$1:$1,0),3,1,"公司整体"),TRUE)</f>
        <v>417</v>
      </c>
      <c r="T1103" t="str">
        <f t="shared" si="52"/>
        <v>深圳2018-12</v>
      </c>
      <c r="U1103">
        <f t="shared" ca="1" si="53"/>
        <v>417</v>
      </c>
    </row>
    <row r="1104" spans="1:21" x14ac:dyDescent="0.15">
      <c r="A1104" t="str">
        <f>公司整体!A1104</f>
        <v>四川</v>
      </c>
      <c r="B1104" t="str">
        <f>公司整体!B1104</f>
        <v>2018-12</v>
      </c>
      <c r="C1104">
        <f ca="1">INDIRECT(ADDRESS(ROW(C1104),MATCH(公司各渠道指标可视化!$C$4,公司整体!$1:$1,0),3,1,"公司整体"),TRUE)</f>
        <v>900</v>
      </c>
      <c r="T1104" t="str">
        <f t="shared" si="52"/>
        <v>四川2018-12</v>
      </c>
      <c r="U1104">
        <f t="shared" ca="1" si="53"/>
        <v>900</v>
      </c>
    </row>
    <row r="1105" spans="1:21" x14ac:dyDescent="0.15">
      <c r="A1105" t="str">
        <f>公司整体!A1105</f>
        <v>苏州</v>
      </c>
      <c r="B1105" t="str">
        <f>公司整体!B1105</f>
        <v>2018-12</v>
      </c>
      <c r="C1105">
        <f ca="1">INDIRECT(ADDRESS(ROW(C1105),MATCH(公司各渠道指标可视化!$C$4,公司整体!$1:$1,0),3,1,"公司整体"),TRUE)</f>
        <v>16</v>
      </c>
      <c r="T1105" t="str">
        <f t="shared" si="52"/>
        <v>苏州2018-12</v>
      </c>
      <c r="U1105">
        <f t="shared" ca="1" si="53"/>
        <v>16</v>
      </c>
    </row>
    <row r="1106" spans="1:21" x14ac:dyDescent="0.15">
      <c r="A1106" t="str">
        <f>公司整体!A1106</f>
        <v>中山</v>
      </c>
      <c r="B1106" t="str">
        <f>公司整体!B1106</f>
        <v>2018-12</v>
      </c>
      <c r="C1106">
        <f ca="1">INDIRECT(ADDRESS(ROW(C1106),MATCH(公司各渠道指标可视化!$C$4,公司整体!$1:$1,0),3,1,"公司整体"),TRUE)</f>
        <v>50</v>
      </c>
      <c r="T1106" t="str">
        <f t="shared" si="52"/>
        <v>中山2018-12</v>
      </c>
      <c r="U1106">
        <f t="shared" ca="1" si="53"/>
        <v>50</v>
      </c>
    </row>
    <row r="1107" spans="1:21" x14ac:dyDescent="0.15">
      <c r="A1107" t="str">
        <f>公司整体!A1107</f>
        <v>珠海</v>
      </c>
      <c r="B1107" t="str">
        <f>公司整体!B1107</f>
        <v>2018-12</v>
      </c>
      <c r="C1107">
        <f ca="1">INDIRECT(ADDRESS(ROW(C1107),MATCH(公司各渠道指标可视化!$C$4,公司整体!$1:$1,0),3,1,"公司整体"),TRUE)</f>
        <v>80</v>
      </c>
      <c r="T1107" t="str">
        <f t="shared" si="52"/>
        <v>珠海2018-12</v>
      </c>
      <c r="U1107">
        <f t="shared" ca="1" si="53"/>
        <v>80</v>
      </c>
    </row>
    <row r="1108" spans="1:21" x14ac:dyDescent="0.15">
      <c r="A1108">
        <f>公司整体!A1108</f>
        <v>0</v>
      </c>
      <c r="B1108">
        <f>公司整体!B1108</f>
        <v>0</v>
      </c>
      <c r="C1108">
        <f ca="1">INDIRECT(ADDRESS(ROW(C1108),MATCH(公司各渠道指标可视化!$C$4,公司整体!$1:$1,0),3,1,"公司整体"),TRUE)</f>
        <v>0</v>
      </c>
      <c r="T1108" t="str">
        <f t="shared" si="52"/>
        <v>00</v>
      </c>
      <c r="U1108">
        <f t="shared" ca="1" si="53"/>
        <v>0</v>
      </c>
    </row>
    <row r="1109" spans="1:21" x14ac:dyDescent="0.15">
      <c r="A1109">
        <f>公司整体!A1109</f>
        <v>0</v>
      </c>
      <c r="B1109">
        <f>公司整体!B1109</f>
        <v>0</v>
      </c>
      <c r="C1109">
        <f ca="1">INDIRECT(ADDRESS(ROW(C1109),MATCH(公司各渠道指标可视化!$C$4,公司整体!$1:$1,0),3,1,"公司整体"),TRUE)</f>
        <v>0</v>
      </c>
      <c r="T1109" t="str">
        <f t="shared" si="52"/>
        <v>00</v>
      </c>
      <c r="U1109">
        <f t="shared" ca="1" si="53"/>
        <v>0</v>
      </c>
    </row>
    <row r="1110" spans="1:21" x14ac:dyDescent="0.15">
      <c r="A1110">
        <f>公司整体!A1110</f>
        <v>0</v>
      </c>
      <c r="B1110">
        <f>公司整体!B1110</f>
        <v>0</v>
      </c>
      <c r="C1110">
        <f ca="1">INDIRECT(ADDRESS(ROW(C1110),MATCH(公司各渠道指标可视化!$C$4,公司整体!$1:$1,0),3,1,"公司整体"),TRUE)</f>
        <v>0</v>
      </c>
      <c r="T1110" t="str">
        <f t="shared" si="52"/>
        <v>00</v>
      </c>
      <c r="U1110">
        <f t="shared" ca="1" si="53"/>
        <v>0</v>
      </c>
    </row>
    <row r="1111" spans="1:21" x14ac:dyDescent="0.15">
      <c r="A1111">
        <f>公司整体!A1111</f>
        <v>0</v>
      </c>
      <c r="B1111">
        <f>公司整体!B1111</f>
        <v>0</v>
      </c>
      <c r="C1111">
        <f ca="1">INDIRECT(ADDRESS(ROW(C1111),MATCH(公司各渠道指标可视化!$C$4,公司整体!$1:$1,0),3,1,"公司整体"),TRUE)</f>
        <v>0</v>
      </c>
      <c r="T1111" t="str">
        <f t="shared" si="52"/>
        <v>00</v>
      </c>
      <c r="U1111">
        <f t="shared" ca="1" si="53"/>
        <v>0</v>
      </c>
    </row>
    <row r="1112" spans="1:21" x14ac:dyDescent="0.15">
      <c r="A1112">
        <f>公司整体!A1112</f>
        <v>0</v>
      </c>
      <c r="B1112">
        <f>公司整体!B1112</f>
        <v>0</v>
      </c>
      <c r="C1112">
        <f ca="1">INDIRECT(ADDRESS(ROW(C1112),MATCH(公司各渠道指标可视化!$C$4,公司整体!$1:$1,0),3,1,"公司整体"),TRUE)</f>
        <v>0</v>
      </c>
      <c r="T1112" t="str">
        <f t="shared" si="52"/>
        <v>00</v>
      </c>
      <c r="U1112">
        <f t="shared" ca="1" si="53"/>
        <v>0</v>
      </c>
    </row>
    <row r="1113" spans="1:21" x14ac:dyDescent="0.15">
      <c r="A1113">
        <f>公司整体!A1113</f>
        <v>0</v>
      </c>
      <c r="B1113">
        <f>公司整体!B1113</f>
        <v>0</v>
      </c>
      <c r="C1113">
        <f ca="1">INDIRECT(ADDRESS(ROW(C1113),MATCH(公司各渠道指标可视化!$C$4,公司整体!$1:$1,0),3,1,"公司整体"),TRUE)</f>
        <v>0</v>
      </c>
      <c r="T1113" t="str">
        <f t="shared" si="52"/>
        <v>00</v>
      </c>
      <c r="U1113">
        <f t="shared" ca="1" si="53"/>
        <v>0</v>
      </c>
    </row>
    <row r="1114" spans="1:21" x14ac:dyDescent="0.15">
      <c r="A1114">
        <f>公司整体!A1114</f>
        <v>0</v>
      </c>
      <c r="B1114">
        <f>公司整体!B1114</f>
        <v>0</v>
      </c>
      <c r="C1114">
        <f ca="1">INDIRECT(ADDRESS(ROW(C1114),MATCH(公司各渠道指标可视化!$C$4,公司整体!$1:$1,0),3,1,"公司整体"),TRUE)</f>
        <v>0</v>
      </c>
      <c r="T1114" t="str">
        <f t="shared" si="52"/>
        <v>00</v>
      </c>
      <c r="U1114">
        <f t="shared" ca="1" si="53"/>
        <v>0</v>
      </c>
    </row>
    <row r="1115" spans="1:21" x14ac:dyDescent="0.15">
      <c r="A1115">
        <f>公司整体!A1115</f>
        <v>0</v>
      </c>
      <c r="B1115">
        <f>公司整体!B1115</f>
        <v>0</v>
      </c>
      <c r="C1115">
        <f ca="1">INDIRECT(ADDRESS(ROW(C1115),MATCH(公司各渠道指标可视化!$C$4,公司整体!$1:$1,0),3,1,"公司整体"),TRUE)</f>
        <v>0</v>
      </c>
      <c r="T1115" t="str">
        <f t="shared" si="52"/>
        <v>00</v>
      </c>
      <c r="U1115">
        <f t="shared" ca="1" si="53"/>
        <v>0</v>
      </c>
    </row>
    <row r="1116" spans="1:21" x14ac:dyDescent="0.15">
      <c r="A1116">
        <f>公司整体!A1116</f>
        <v>0</v>
      </c>
      <c r="B1116">
        <f>公司整体!B1116</f>
        <v>0</v>
      </c>
      <c r="C1116">
        <f ca="1">INDIRECT(ADDRESS(ROW(C1116),MATCH(公司各渠道指标可视化!$C$4,公司整体!$1:$1,0),3,1,"公司整体"),TRUE)</f>
        <v>0</v>
      </c>
    </row>
    <row r="1117" spans="1:21" x14ac:dyDescent="0.15">
      <c r="A1117">
        <f>公司整体!A1117</f>
        <v>0</v>
      </c>
      <c r="B1117">
        <f>公司整体!B1117</f>
        <v>0</v>
      </c>
      <c r="C1117">
        <f ca="1">INDIRECT(ADDRESS(ROW(C1117),MATCH(公司各渠道指标可视化!$C$4,公司整体!$1:$1,0),3,1,"公司整体"),TRUE)</f>
        <v>0</v>
      </c>
    </row>
    <row r="1118" spans="1:21" x14ac:dyDescent="0.15">
      <c r="A1118">
        <f>公司整体!A1118</f>
        <v>0</v>
      </c>
      <c r="B1118">
        <f>公司整体!B1118</f>
        <v>0</v>
      </c>
      <c r="C1118">
        <f ca="1">INDIRECT(ADDRESS(ROW(C1118),MATCH(公司各渠道指标可视化!$C$4,公司整体!$1:$1,0),3,1,"公司整体"),TRUE)</f>
        <v>0</v>
      </c>
    </row>
    <row r="1119" spans="1:21" x14ac:dyDescent="0.15">
      <c r="A1119">
        <f>公司整体!A1119</f>
        <v>0</v>
      </c>
      <c r="B1119">
        <f>公司整体!B1119</f>
        <v>0</v>
      </c>
      <c r="C1119">
        <f ca="1">INDIRECT(ADDRESS(ROW(C1119),MATCH(公司各渠道指标可视化!$C$4,公司整体!$1:$1,0),3,1,"公司整体"),TRUE)</f>
        <v>0</v>
      </c>
    </row>
    <row r="1120" spans="1:21" x14ac:dyDescent="0.15">
      <c r="A1120">
        <f>公司整体!A1120</f>
        <v>0</v>
      </c>
      <c r="B1120">
        <f>公司整体!B1120</f>
        <v>0</v>
      </c>
      <c r="C1120">
        <f ca="1">INDIRECT(ADDRESS(ROW(C1120),MATCH(公司各渠道指标可视化!$C$4,公司整体!$1:$1,0),3,1,"公司整体"),TRUE)</f>
        <v>0</v>
      </c>
    </row>
    <row r="1121" spans="1:3" x14ac:dyDescent="0.15">
      <c r="A1121">
        <f>公司整体!A1121</f>
        <v>0</v>
      </c>
      <c r="B1121">
        <f>公司整体!B1121</f>
        <v>0</v>
      </c>
      <c r="C1121">
        <f ca="1">INDIRECT(ADDRESS(ROW(C1121),MATCH(公司各渠道指标可视化!$C$4,公司整体!$1:$1,0),3,1,"公司整体"),TRUE)</f>
        <v>0</v>
      </c>
    </row>
    <row r="1122" spans="1:3" x14ac:dyDescent="0.15">
      <c r="A1122">
        <f>公司整体!A1122</f>
        <v>0</v>
      </c>
      <c r="B1122">
        <f>公司整体!B1122</f>
        <v>0</v>
      </c>
      <c r="C1122">
        <f ca="1">INDIRECT(ADDRESS(ROW(C1122),MATCH(公司各渠道指标可视化!$C$4,公司整体!$1:$1,0),3,1,"公司整体"),TRUE)</f>
        <v>0</v>
      </c>
    </row>
    <row r="1123" spans="1:3" x14ac:dyDescent="0.15">
      <c r="A1123">
        <f>公司整体!A1123</f>
        <v>0</v>
      </c>
      <c r="B1123">
        <f>公司整体!B1123</f>
        <v>0</v>
      </c>
      <c r="C1123">
        <f ca="1">INDIRECT(ADDRESS(ROW(C1123),MATCH(公司各渠道指标可视化!$C$4,公司整体!$1:$1,0),3,1,"公司整体"),TRUE)</f>
        <v>0</v>
      </c>
    </row>
    <row r="1124" spans="1:3" x14ac:dyDescent="0.15">
      <c r="A1124">
        <f>公司整体!A1124</f>
        <v>0</v>
      </c>
      <c r="B1124">
        <f>公司整体!B1124</f>
        <v>0</v>
      </c>
      <c r="C1124">
        <f ca="1">INDIRECT(ADDRESS(ROW(C1124),MATCH(公司各渠道指标可视化!$C$4,公司整体!$1:$1,0),3,1,"公司整体"),TRUE)</f>
        <v>0</v>
      </c>
    </row>
    <row r="1125" spans="1:3" x14ac:dyDescent="0.15">
      <c r="A1125">
        <f>公司整体!A1125</f>
        <v>0</v>
      </c>
      <c r="B1125">
        <f>公司整体!B1125</f>
        <v>0</v>
      </c>
      <c r="C1125">
        <f ca="1">INDIRECT(ADDRESS(ROW(C1125),MATCH(公司各渠道指标可视化!$C$4,公司整体!$1:$1,0),3,1,"公司整体"),TRUE)</f>
        <v>0</v>
      </c>
    </row>
    <row r="1126" spans="1:3" x14ac:dyDescent="0.15">
      <c r="A1126">
        <f>公司整体!A1126</f>
        <v>0</v>
      </c>
      <c r="B1126">
        <f>公司整体!B1126</f>
        <v>0</v>
      </c>
      <c r="C1126">
        <f ca="1">INDIRECT(ADDRESS(ROW(C1126),MATCH(公司各渠道指标可视化!$C$4,公司整体!$1:$1,0),3,1,"公司整体"),TRUE)</f>
        <v>0</v>
      </c>
    </row>
    <row r="1127" spans="1:3" x14ac:dyDescent="0.15">
      <c r="A1127">
        <f>公司整体!A1127</f>
        <v>0</v>
      </c>
      <c r="B1127">
        <f>公司整体!B1127</f>
        <v>0</v>
      </c>
      <c r="C1127">
        <f ca="1">INDIRECT(ADDRESS(ROW(C1127),MATCH(公司各渠道指标可视化!$C$4,公司整体!$1:$1,0),3,1,"公司整体"),TRUE)</f>
        <v>0</v>
      </c>
    </row>
    <row r="1128" spans="1:3" x14ac:dyDescent="0.15">
      <c r="A1128">
        <f>公司整体!A1128</f>
        <v>0</v>
      </c>
      <c r="B1128">
        <f>公司整体!B1128</f>
        <v>0</v>
      </c>
      <c r="C1128">
        <f ca="1">INDIRECT(ADDRESS(ROW(C1128),MATCH(公司各渠道指标可视化!$C$4,公司整体!$1:$1,0),3,1,"公司整体"),TRUE)</f>
        <v>0</v>
      </c>
    </row>
    <row r="1129" spans="1:3" x14ac:dyDescent="0.15">
      <c r="A1129">
        <f>公司整体!A1129</f>
        <v>0</v>
      </c>
      <c r="B1129">
        <f>公司整体!B1129</f>
        <v>0</v>
      </c>
      <c r="C1129">
        <f ca="1">INDIRECT(ADDRESS(ROW(C1129),MATCH(公司各渠道指标可视化!$C$4,公司整体!$1:$1,0),3,1,"公司整体"),TRUE)</f>
        <v>0</v>
      </c>
    </row>
    <row r="1130" spans="1:3" x14ac:dyDescent="0.15">
      <c r="A1130">
        <f>公司整体!A1130</f>
        <v>0</v>
      </c>
      <c r="B1130">
        <f>公司整体!B1130</f>
        <v>0</v>
      </c>
      <c r="C1130">
        <f ca="1">INDIRECT(ADDRESS(ROW(C1130),MATCH(公司各渠道指标可视化!$C$4,公司整体!$1:$1,0),3,1,"公司整体"),TRUE)</f>
        <v>0</v>
      </c>
    </row>
    <row r="1131" spans="1:3" x14ac:dyDescent="0.15">
      <c r="A1131">
        <f>公司整体!A1131</f>
        <v>0</v>
      </c>
      <c r="B1131">
        <f>公司整体!B1131</f>
        <v>0</v>
      </c>
      <c r="C1131">
        <f ca="1">INDIRECT(ADDRESS(ROW(C1131),MATCH(公司各渠道指标可视化!$C$4,公司整体!$1:$1,0),3,1,"公司整体"),TRUE)</f>
        <v>0</v>
      </c>
    </row>
    <row r="1132" spans="1:3" x14ac:dyDescent="0.15">
      <c r="A1132">
        <f>公司整体!A1132</f>
        <v>0</v>
      </c>
      <c r="B1132">
        <f>公司整体!B1132</f>
        <v>0</v>
      </c>
      <c r="C1132">
        <f ca="1">INDIRECT(ADDRESS(ROW(C1132),MATCH(公司各渠道指标可视化!$C$4,公司整体!$1:$1,0),3,1,"公司整体"),TRUE)</f>
        <v>0</v>
      </c>
    </row>
    <row r="1133" spans="1:3" x14ac:dyDescent="0.15">
      <c r="A1133">
        <f>公司整体!A1133</f>
        <v>0</v>
      </c>
      <c r="B1133">
        <f>公司整体!B1133</f>
        <v>0</v>
      </c>
      <c r="C1133">
        <f ca="1">INDIRECT(ADDRESS(ROW(C1133),MATCH(公司各渠道指标可视化!$C$4,公司整体!$1:$1,0),3,1,"公司整体"),TRUE)</f>
        <v>0</v>
      </c>
    </row>
    <row r="1134" spans="1:3" x14ac:dyDescent="0.15">
      <c r="A1134">
        <f>公司整体!A1134</f>
        <v>0</v>
      </c>
      <c r="B1134">
        <f>公司整体!B1134</f>
        <v>0</v>
      </c>
      <c r="C1134">
        <f ca="1">INDIRECT(ADDRESS(ROW(C1134),MATCH(公司各渠道指标可视化!$C$4,公司整体!$1:$1,0),3,1,"公司整体"),TRUE)</f>
        <v>0</v>
      </c>
    </row>
    <row r="1135" spans="1:3" x14ac:dyDescent="0.15">
      <c r="A1135">
        <f>公司整体!A1135</f>
        <v>0</v>
      </c>
      <c r="B1135">
        <f>公司整体!B1135</f>
        <v>0</v>
      </c>
      <c r="C1135">
        <f ca="1">INDIRECT(ADDRESS(ROW(C1135),MATCH(公司各渠道指标可视化!$C$4,公司整体!$1:$1,0),3,1,"公司整体"),TRUE)</f>
        <v>0</v>
      </c>
    </row>
    <row r="1136" spans="1:3" x14ac:dyDescent="0.15">
      <c r="A1136">
        <f>公司整体!A1136</f>
        <v>0</v>
      </c>
      <c r="B1136">
        <f>公司整体!B1136</f>
        <v>0</v>
      </c>
      <c r="C1136">
        <f ca="1">INDIRECT(ADDRESS(ROW(C1136),MATCH(公司各渠道指标可视化!$C$4,公司整体!$1:$1,0),3,1,"公司整体"),TRUE)</f>
        <v>0</v>
      </c>
    </row>
    <row r="1137" spans="1:3" x14ac:dyDescent="0.15">
      <c r="A1137">
        <f>公司整体!A1137</f>
        <v>0</v>
      </c>
      <c r="B1137">
        <f>公司整体!B1137</f>
        <v>0</v>
      </c>
      <c r="C1137">
        <f ca="1">INDIRECT(ADDRESS(ROW(C1137),MATCH(公司各渠道指标可视化!$C$4,公司整体!$1:$1,0),3,1,"公司整体"),TRUE)</f>
        <v>0</v>
      </c>
    </row>
    <row r="1138" spans="1:3" x14ac:dyDescent="0.15">
      <c r="A1138">
        <f>公司整体!A1138</f>
        <v>0</v>
      </c>
      <c r="B1138">
        <f>公司整体!B1138</f>
        <v>0</v>
      </c>
      <c r="C1138">
        <f ca="1">INDIRECT(ADDRESS(ROW(C1138),MATCH(公司各渠道指标可视化!$C$4,公司整体!$1:$1,0),3,1,"公司整体"),TRUE)</f>
        <v>0</v>
      </c>
    </row>
    <row r="1139" spans="1:3" x14ac:dyDescent="0.15">
      <c r="A1139">
        <f>公司整体!A1139</f>
        <v>0</v>
      </c>
      <c r="B1139">
        <f>公司整体!B1139</f>
        <v>0</v>
      </c>
      <c r="C1139">
        <f ca="1">INDIRECT(ADDRESS(ROW(C1139),MATCH(公司各渠道指标可视化!$C$4,公司整体!$1:$1,0),3,1,"公司整体"),TRUE)</f>
        <v>0</v>
      </c>
    </row>
    <row r="1140" spans="1:3" x14ac:dyDescent="0.15">
      <c r="A1140">
        <f>公司整体!A1140</f>
        <v>0</v>
      </c>
      <c r="B1140">
        <f>公司整体!B1140</f>
        <v>0</v>
      </c>
      <c r="C1140">
        <f ca="1">INDIRECT(ADDRESS(ROW(C1140),MATCH(公司各渠道指标可视化!$C$4,公司整体!$1:$1,0),3,1,"公司整体"),TRUE)</f>
        <v>0</v>
      </c>
    </row>
    <row r="1141" spans="1:3" x14ac:dyDescent="0.15">
      <c r="A1141">
        <f>公司整体!A1141</f>
        <v>0</v>
      </c>
      <c r="B1141">
        <f>公司整体!B1141</f>
        <v>0</v>
      </c>
      <c r="C1141">
        <f ca="1">INDIRECT(ADDRESS(ROW(C1141),MATCH(公司各渠道指标可视化!$C$4,公司整体!$1:$1,0),3,1,"公司整体"),TRUE)</f>
        <v>0</v>
      </c>
    </row>
    <row r="1142" spans="1:3" x14ac:dyDescent="0.15">
      <c r="A1142">
        <f>公司整体!A1142</f>
        <v>0</v>
      </c>
      <c r="B1142">
        <f>公司整体!B1142</f>
        <v>0</v>
      </c>
      <c r="C1142">
        <f ca="1">INDIRECT(ADDRESS(ROW(C1142),MATCH(公司各渠道指标可视化!$C$4,公司整体!$1:$1,0),3,1,"公司整体"),TRUE)</f>
        <v>0</v>
      </c>
    </row>
    <row r="1143" spans="1:3" x14ac:dyDescent="0.15">
      <c r="A1143">
        <f>公司整体!A1143</f>
        <v>0</v>
      </c>
      <c r="B1143">
        <f>公司整体!B1143</f>
        <v>0</v>
      </c>
      <c r="C1143">
        <f ca="1">INDIRECT(ADDRESS(ROW(C1143),MATCH(公司各渠道指标可视化!$C$4,公司整体!$1:$1,0),3,1,"公司整体"),TRUE)</f>
        <v>0</v>
      </c>
    </row>
    <row r="1144" spans="1:3" x14ac:dyDescent="0.15">
      <c r="A1144">
        <f>公司整体!A1144</f>
        <v>0</v>
      </c>
      <c r="B1144">
        <f>公司整体!B1144</f>
        <v>0</v>
      </c>
      <c r="C1144">
        <f ca="1">INDIRECT(ADDRESS(ROW(C1144),MATCH(公司各渠道指标可视化!$C$4,公司整体!$1:$1,0),3,1,"公司整体"),TRUE)</f>
        <v>0</v>
      </c>
    </row>
    <row r="1145" spans="1:3" x14ac:dyDescent="0.15">
      <c r="A1145">
        <f>公司整体!A1145</f>
        <v>0</v>
      </c>
      <c r="B1145">
        <f>公司整体!B1145</f>
        <v>0</v>
      </c>
      <c r="C1145">
        <f ca="1">INDIRECT(ADDRESS(ROW(C1145),MATCH(公司各渠道指标可视化!$C$4,公司整体!$1:$1,0),3,1,"公司整体"),TRUE)</f>
        <v>0</v>
      </c>
    </row>
    <row r="1146" spans="1:3" x14ac:dyDescent="0.15">
      <c r="A1146">
        <f>公司整体!A1146</f>
        <v>0</v>
      </c>
      <c r="B1146">
        <f>公司整体!B1146</f>
        <v>0</v>
      </c>
      <c r="C1146">
        <f ca="1">INDIRECT(ADDRESS(ROW(C1146),MATCH(公司各渠道指标可视化!$C$4,公司整体!$1:$1,0),3,1,"公司整体"),TRUE)</f>
        <v>0</v>
      </c>
    </row>
    <row r="1147" spans="1:3" x14ac:dyDescent="0.15">
      <c r="A1147">
        <f>公司整体!A1147</f>
        <v>0</v>
      </c>
      <c r="B1147">
        <f>公司整体!B1147</f>
        <v>0</v>
      </c>
      <c r="C1147">
        <f ca="1">INDIRECT(ADDRESS(ROW(C1147),MATCH(公司各渠道指标可视化!$C$4,公司整体!$1:$1,0),3,1,"公司整体"),TRUE)</f>
        <v>0</v>
      </c>
    </row>
    <row r="1148" spans="1:3" x14ac:dyDescent="0.15">
      <c r="A1148">
        <f>公司整体!A1148</f>
        <v>0</v>
      </c>
      <c r="B1148">
        <f>公司整体!B1148</f>
        <v>0</v>
      </c>
      <c r="C1148">
        <f ca="1">INDIRECT(ADDRESS(ROW(C1148),MATCH(公司各渠道指标可视化!$C$4,公司整体!$1:$1,0),3,1,"公司整体"),TRUE)</f>
        <v>0</v>
      </c>
    </row>
    <row r="1149" spans="1:3" x14ac:dyDescent="0.15">
      <c r="A1149">
        <f>公司整体!A1149</f>
        <v>0</v>
      </c>
      <c r="B1149">
        <f>公司整体!B1149</f>
        <v>0</v>
      </c>
      <c r="C1149">
        <f ca="1">INDIRECT(ADDRESS(ROW(C1149),MATCH(公司各渠道指标可视化!$C$4,公司整体!$1:$1,0),3,1,"公司整体"),TRUE)</f>
        <v>0</v>
      </c>
    </row>
    <row r="1150" spans="1:3" x14ac:dyDescent="0.15">
      <c r="A1150">
        <f>公司整体!A1150</f>
        <v>0</v>
      </c>
      <c r="B1150">
        <f>公司整体!B1150</f>
        <v>0</v>
      </c>
      <c r="C1150">
        <f ca="1">INDIRECT(ADDRESS(ROW(C1150),MATCH(公司各渠道指标可视化!$C$4,公司整体!$1:$1,0),3,1,"公司整体"),TRUE)</f>
        <v>0</v>
      </c>
    </row>
    <row r="1151" spans="1:3" x14ac:dyDescent="0.15">
      <c r="A1151">
        <f>公司整体!A1151</f>
        <v>0</v>
      </c>
      <c r="B1151">
        <f>公司整体!B1151</f>
        <v>0</v>
      </c>
      <c r="C1151">
        <f ca="1">INDIRECT(ADDRESS(ROW(C1151),MATCH(公司各渠道指标可视化!$C$4,公司整体!$1:$1,0),3,1,"公司整体"),TRUE)</f>
        <v>0</v>
      </c>
    </row>
    <row r="1152" spans="1:3" x14ac:dyDescent="0.15">
      <c r="A1152">
        <f>公司整体!A1152</f>
        <v>0</v>
      </c>
      <c r="B1152">
        <f>公司整体!B1152</f>
        <v>0</v>
      </c>
      <c r="C1152">
        <f ca="1">INDIRECT(ADDRESS(ROW(C1152),MATCH(公司各渠道指标可视化!$C$4,公司整体!$1:$1,0),3,1,"公司整体"),TRUE)</f>
        <v>0</v>
      </c>
    </row>
    <row r="1153" spans="1:3" x14ac:dyDescent="0.15">
      <c r="A1153">
        <f>公司整体!A1153</f>
        <v>0</v>
      </c>
      <c r="B1153">
        <f>公司整体!B1153</f>
        <v>0</v>
      </c>
      <c r="C1153">
        <f ca="1">INDIRECT(ADDRESS(ROW(C1153),MATCH(公司各渠道指标可视化!$C$4,公司整体!$1:$1,0),3,1,"公司整体"),TRUE)</f>
        <v>0</v>
      </c>
    </row>
    <row r="1154" spans="1:3" x14ac:dyDescent="0.15">
      <c r="A1154">
        <f>公司整体!A1154</f>
        <v>0</v>
      </c>
      <c r="B1154">
        <f>公司整体!B1154</f>
        <v>0</v>
      </c>
      <c r="C1154">
        <f ca="1">INDIRECT(ADDRESS(ROW(C1154),MATCH(公司各渠道指标可视化!$C$4,公司整体!$1:$1,0),3,1,"公司整体"),TRUE)</f>
        <v>0</v>
      </c>
    </row>
    <row r="1155" spans="1:3" x14ac:dyDescent="0.15">
      <c r="A1155">
        <f>公司整体!A1155</f>
        <v>0</v>
      </c>
      <c r="B1155">
        <f>公司整体!B1155</f>
        <v>0</v>
      </c>
      <c r="C1155">
        <f ca="1">INDIRECT(ADDRESS(ROW(C1155),MATCH(公司各渠道指标可视化!$C$4,公司整体!$1:$1,0),3,1,"公司整体"),TRUE)</f>
        <v>0</v>
      </c>
    </row>
    <row r="1156" spans="1:3" x14ac:dyDescent="0.15">
      <c r="A1156">
        <f>公司整体!A1156</f>
        <v>0</v>
      </c>
      <c r="B1156">
        <f>公司整体!B1156</f>
        <v>0</v>
      </c>
      <c r="C1156">
        <f ca="1">INDIRECT(ADDRESS(ROW(C1156),MATCH(公司各渠道指标可视化!$C$4,公司整体!$1:$1,0),3,1,"公司整体"),TRUE)</f>
        <v>0</v>
      </c>
    </row>
    <row r="1157" spans="1:3" x14ac:dyDescent="0.15">
      <c r="A1157">
        <f>公司整体!A1157</f>
        <v>0</v>
      </c>
      <c r="B1157">
        <f>公司整体!B1157</f>
        <v>0</v>
      </c>
      <c r="C1157">
        <f ca="1">INDIRECT(ADDRESS(ROW(C1157),MATCH(公司各渠道指标可视化!$C$4,公司整体!$1:$1,0),3,1,"公司整体"),TRUE)</f>
        <v>0</v>
      </c>
    </row>
    <row r="1158" spans="1:3" x14ac:dyDescent="0.15">
      <c r="A1158">
        <f>公司整体!A1158</f>
        <v>0</v>
      </c>
      <c r="B1158">
        <f>公司整体!B1158</f>
        <v>0</v>
      </c>
      <c r="C1158">
        <f ca="1">INDIRECT(ADDRESS(ROW(C1158),MATCH(公司各渠道指标可视化!$C$4,公司整体!$1:$1,0),3,1,"公司整体"),TRUE)</f>
        <v>0</v>
      </c>
    </row>
    <row r="1159" spans="1:3" x14ac:dyDescent="0.15">
      <c r="A1159">
        <f>公司整体!A1159</f>
        <v>0</v>
      </c>
      <c r="B1159">
        <f>公司整体!B1159</f>
        <v>0</v>
      </c>
      <c r="C1159">
        <f ca="1">INDIRECT(ADDRESS(ROW(C1159),MATCH(公司各渠道指标可视化!$C$4,公司整体!$1:$1,0),3,1,"公司整体"),TRUE)</f>
        <v>0</v>
      </c>
    </row>
    <row r="1160" spans="1:3" x14ac:dyDescent="0.15">
      <c r="A1160">
        <f>公司整体!A1160</f>
        <v>0</v>
      </c>
      <c r="B1160">
        <f>公司整体!B1160</f>
        <v>0</v>
      </c>
      <c r="C1160">
        <f ca="1">INDIRECT(ADDRESS(ROW(C1160),MATCH(公司各渠道指标可视化!$C$4,公司整体!$1:$1,0),3,1,"公司整体"),TRUE)</f>
        <v>0</v>
      </c>
    </row>
    <row r="1161" spans="1:3" x14ac:dyDescent="0.15">
      <c r="A1161">
        <f>公司整体!A1161</f>
        <v>0</v>
      </c>
      <c r="B1161">
        <f>公司整体!B1161</f>
        <v>0</v>
      </c>
      <c r="C1161">
        <f ca="1">INDIRECT(ADDRESS(ROW(C1161),MATCH(公司各渠道指标可视化!$C$4,公司整体!$1:$1,0),3,1,"公司整体"),TRUE)</f>
        <v>0</v>
      </c>
    </row>
    <row r="1162" spans="1:3" x14ac:dyDescent="0.15">
      <c r="A1162">
        <f>公司整体!A1162</f>
        <v>0</v>
      </c>
      <c r="B1162">
        <f>公司整体!B1162</f>
        <v>0</v>
      </c>
      <c r="C1162">
        <f ca="1">INDIRECT(ADDRESS(ROW(C1162),MATCH(公司各渠道指标可视化!$C$4,公司整体!$1:$1,0),3,1,"公司整体"),TRUE)</f>
        <v>0</v>
      </c>
    </row>
    <row r="1163" spans="1:3" x14ac:dyDescent="0.15">
      <c r="A1163">
        <f>公司整体!A1163</f>
        <v>0</v>
      </c>
      <c r="B1163">
        <f>公司整体!B1163</f>
        <v>0</v>
      </c>
      <c r="C1163">
        <f ca="1">INDIRECT(ADDRESS(ROW(C1163),MATCH(公司各渠道指标可视化!$C$4,公司整体!$1:$1,0),3,1,"公司整体"),TRUE)</f>
        <v>0</v>
      </c>
    </row>
    <row r="1164" spans="1:3" x14ac:dyDescent="0.15">
      <c r="A1164">
        <f>公司整体!A1164</f>
        <v>0</v>
      </c>
      <c r="B1164">
        <f>公司整体!B1164</f>
        <v>0</v>
      </c>
      <c r="C1164">
        <f ca="1">INDIRECT(ADDRESS(ROW(C1164),MATCH(公司各渠道指标可视化!$C$4,公司整体!$1:$1,0),3,1,"公司整体"),TRUE)</f>
        <v>0</v>
      </c>
    </row>
    <row r="1165" spans="1:3" x14ac:dyDescent="0.15">
      <c r="A1165">
        <f>公司整体!A1165</f>
        <v>0</v>
      </c>
      <c r="B1165">
        <f>公司整体!B1165</f>
        <v>0</v>
      </c>
      <c r="C1165">
        <f ca="1">INDIRECT(ADDRESS(ROW(C1165),MATCH(公司各渠道指标可视化!$C$4,公司整体!$1:$1,0),3,1,"公司整体"),TRUE)</f>
        <v>0</v>
      </c>
    </row>
    <row r="1166" spans="1:3" x14ac:dyDescent="0.15">
      <c r="A1166">
        <f>公司整体!A1166</f>
        <v>0</v>
      </c>
      <c r="B1166">
        <f>公司整体!B1166</f>
        <v>0</v>
      </c>
      <c r="C1166">
        <f ca="1">INDIRECT(ADDRESS(ROW(C1166),MATCH(公司各渠道指标可视化!$C$4,公司整体!$1:$1,0),3,1,"公司整体"),TRUE)</f>
        <v>0</v>
      </c>
    </row>
    <row r="1167" spans="1:3" x14ac:dyDescent="0.15">
      <c r="A1167">
        <f>公司整体!A1167</f>
        <v>0</v>
      </c>
      <c r="B1167">
        <f>公司整体!B1167</f>
        <v>0</v>
      </c>
      <c r="C1167">
        <f ca="1">INDIRECT(ADDRESS(ROW(C1167),MATCH(公司各渠道指标可视化!$C$4,公司整体!$1:$1,0),3,1,"公司整体"),TRUE)</f>
        <v>0</v>
      </c>
    </row>
    <row r="1168" spans="1:3" x14ac:dyDescent="0.15">
      <c r="A1168">
        <f>公司整体!A1168</f>
        <v>0</v>
      </c>
      <c r="B1168">
        <f>公司整体!B1168</f>
        <v>0</v>
      </c>
      <c r="C1168">
        <f ca="1">INDIRECT(ADDRESS(ROW(C1168),MATCH(公司各渠道指标可视化!$C$4,公司整体!$1:$1,0),3,1,"公司整体"),TRUE)</f>
        <v>0</v>
      </c>
    </row>
    <row r="1169" spans="1:3" x14ac:dyDescent="0.15">
      <c r="A1169">
        <f>公司整体!A1169</f>
        <v>0</v>
      </c>
      <c r="B1169">
        <f>公司整体!B1169</f>
        <v>0</v>
      </c>
      <c r="C1169">
        <f ca="1">INDIRECT(ADDRESS(ROW(C1169),MATCH(公司各渠道指标可视化!$C$4,公司整体!$1:$1,0),3,1,"公司整体"),TRUE)</f>
        <v>0</v>
      </c>
    </row>
    <row r="1170" spans="1:3" x14ac:dyDescent="0.15">
      <c r="A1170">
        <f>公司整体!A1170</f>
        <v>0</v>
      </c>
      <c r="B1170">
        <f>公司整体!B1170</f>
        <v>0</v>
      </c>
      <c r="C1170">
        <f ca="1">INDIRECT(ADDRESS(ROW(C1170),MATCH(公司各渠道指标可视化!$C$4,公司整体!$1:$1,0),3,1,"公司整体"),TRUE)</f>
        <v>0</v>
      </c>
    </row>
    <row r="1171" spans="1:3" x14ac:dyDescent="0.15">
      <c r="A1171">
        <f>公司整体!A1171</f>
        <v>0</v>
      </c>
      <c r="B1171">
        <f>公司整体!B1171</f>
        <v>0</v>
      </c>
      <c r="C1171">
        <f ca="1">INDIRECT(ADDRESS(ROW(C1171),MATCH(公司各渠道指标可视化!$C$4,公司整体!$1:$1,0),3,1,"公司整体"),TRUE)</f>
        <v>0</v>
      </c>
    </row>
    <row r="1172" spans="1:3" x14ac:dyDescent="0.15">
      <c r="A1172">
        <f>公司整体!A1172</f>
        <v>0</v>
      </c>
      <c r="B1172">
        <f>公司整体!B1172</f>
        <v>0</v>
      </c>
      <c r="C1172">
        <f ca="1">INDIRECT(ADDRESS(ROW(C1172),MATCH(公司各渠道指标可视化!$C$4,公司整体!$1:$1,0),3,1,"公司整体"),TRUE)</f>
        <v>0</v>
      </c>
    </row>
    <row r="1173" spans="1:3" x14ac:dyDescent="0.15">
      <c r="A1173">
        <f>公司整体!A1173</f>
        <v>0</v>
      </c>
      <c r="B1173">
        <f>公司整体!B1173</f>
        <v>0</v>
      </c>
      <c r="C1173">
        <f ca="1">INDIRECT(ADDRESS(ROW(C1173),MATCH(公司各渠道指标可视化!$C$4,公司整体!$1:$1,0),3,1,"公司整体"),TRUE)</f>
        <v>0</v>
      </c>
    </row>
    <row r="1174" spans="1:3" x14ac:dyDescent="0.15">
      <c r="A1174">
        <f>公司整体!A1174</f>
        <v>0</v>
      </c>
      <c r="B1174">
        <f>公司整体!B1174</f>
        <v>0</v>
      </c>
      <c r="C1174">
        <f ca="1">INDIRECT(ADDRESS(ROW(C1174),MATCH(公司各渠道指标可视化!$C$4,公司整体!$1:$1,0),3,1,"公司整体"),TRUE)</f>
        <v>0</v>
      </c>
    </row>
    <row r="1175" spans="1:3" x14ac:dyDescent="0.15">
      <c r="A1175">
        <f>公司整体!A1175</f>
        <v>0</v>
      </c>
      <c r="B1175">
        <f>公司整体!B1175</f>
        <v>0</v>
      </c>
      <c r="C1175">
        <f ca="1">INDIRECT(ADDRESS(ROW(C1175),MATCH(公司各渠道指标可视化!$C$4,公司整体!$1:$1,0),3,1,"公司整体"),TRUE)</f>
        <v>0</v>
      </c>
    </row>
    <row r="1176" spans="1:3" x14ac:dyDescent="0.15">
      <c r="A1176">
        <f>公司整体!A1176</f>
        <v>0</v>
      </c>
      <c r="B1176">
        <f>公司整体!B1176</f>
        <v>0</v>
      </c>
      <c r="C1176">
        <f ca="1">INDIRECT(ADDRESS(ROW(C1176),MATCH(公司各渠道指标可视化!$C$4,公司整体!$1:$1,0),3,1,"公司整体"),TRUE)</f>
        <v>0</v>
      </c>
    </row>
    <row r="1177" spans="1:3" x14ac:dyDescent="0.15">
      <c r="A1177">
        <f>公司整体!A1177</f>
        <v>0</v>
      </c>
      <c r="B1177">
        <f>公司整体!B1177</f>
        <v>0</v>
      </c>
      <c r="C1177">
        <f ca="1">INDIRECT(ADDRESS(ROW(C1177),MATCH(公司各渠道指标可视化!$C$4,公司整体!$1:$1,0),3,1,"公司整体"),TRUE)</f>
        <v>0</v>
      </c>
    </row>
    <row r="1178" spans="1:3" x14ac:dyDescent="0.15">
      <c r="A1178">
        <f>公司整体!A1178</f>
        <v>0</v>
      </c>
      <c r="B1178">
        <f>公司整体!B1178</f>
        <v>0</v>
      </c>
      <c r="C1178">
        <f ca="1">INDIRECT(ADDRESS(ROW(C1178),MATCH(公司各渠道指标可视化!$C$4,公司整体!$1:$1,0),3,1,"公司整体"),TRUE)</f>
        <v>0</v>
      </c>
    </row>
    <row r="1179" spans="1:3" x14ac:dyDescent="0.15">
      <c r="A1179">
        <f>公司整体!A1179</f>
        <v>0</v>
      </c>
      <c r="B1179">
        <f>公司整体!B1179</f>
        <v>0</v>
      </c>
      <c r="C1179">
        <f ca="1">INDIRECT(ADDRESS(ROW(C1179),MATCH(公司各渠道指标可视化!$C$4,公司整体!$1:$1,0),3,1,"公司整体"),TRUE)</f>
        <v>0</v>
      </c>
    </row>
    <row r="1180" spans="1:3" x14ac:dyDescent="0.15">
      <c r="A1180">
        <f>公司整体!A1180</f>
        <v>0</v>
      </c>
      <c r="B1180">
        <f>公司整体!B1180</f>
        <v>0</v>
      </c>
      <c r="C1180">
        <f ca="1">INDIRECT(ADDRESS(ROW(C1180),MATCH(公司各渠道指标可视化!$C$4,公司整体!$1:$1,0),3,1,"公司整体"),TRUE)</f>
        <v>0</v>
      </c>
    </row>
    <row r="1181" spans="1:3" x14ac:dyDescent="0.15">
      <c r="A1181">
        <f>公司整体!A1181</f>
        <v>0</v>
      </c>
      <c r="B1181">
        <f>公司整体!B1181</f>
        <v>0</v>
      </c>
      <c r="C1181">
        <f ca="1">INDIRECT(ADDRESS(ROW(C1181),MATCH(公司各渠道指标可视化!$C$4,公司整体!$1:$1,0),3,1,"公司整体"),TRUE)</f>
        <v>0</v>
      </c>
    </row>
    <row r="1182" spans="1:3" x14ac:dyDescent="0.15">
      <c r="A1182">
        <f>公司整体!A1182</f>
        <v>0</v>
      </c>
      <c r="B1182">
        <f>公司整体!B1182</f>
        <v>0</v>
      </c>
      <c r="C1182">
        <f ca="1">INDIRECT(ADDRESS(ROW(C1182),MATCH(公司各渠道指标可视化!$C$4,公司整体!$1:$1,0),3,1,"公司整体"),TRUE)</f>
        <v>0</v>
      </c>
    </row>
    <row r="1183" spans="1:3" x14ac:dyDescent="0.15">
      <c r="A1183">
        <f>公司整体!A1183</f>
        <v>0</v>
      </c>
      <c r="B1183">
        <f>公司整体!B1183</f>
        <v>0</v>
      </c>
      <c r="C1183">
        <f ca="1">INDIRECT(ADDRESS(ROW(C1183),MATCH(公司各渠道指标可视化!$C$4,公司整体!$1:$1,0),3,1,"公司整体"),TRUE)</f>
        <v>0</v>
      </c>
    </row>
    <row r="1184" spans="1:3" x14ac:dyDescent="0.15">
      <c r="A1184">
        <f>公司整体!A1184</f>
        <v>0</v>
      </c>
      <c r="B1184">
        <f>公司整体!B1184</f>
        <v>0</v>
      </c>
      <c r="C1184">
        <f ca="1">INDIRECT(ADDRESS(ROW(C1184),MATCH(公司各渠道指标可视化!$C$4,公司整体!$1:$1,0),3,1,"公司整体"),TRUE)</f>
        <v>0</v>
      </c>
    </row>
    <row r="1185" spans="1:3" x14ac:dyDescent="0.15">
      <c r="A1185">
        <f>公司整体!A1185</f>
        <v>0</v>
      </c>
      <c r="B1185">
        <f>公司整体!B1185</f>
        <v>0</v>
      </c>
      <c r="C1185">
        <f ca="1">INDIRECT(ADDRESS(ROW(C1185),MATCH(公司各渠道指标可视化!$C$4,公司整体!$1:$1,0),3,1,"公司整体"),TRUE)</f>
        <v>0</v>
      </c>
    </row>
    <row r="1186" spans="1:3" x14ac:dyDescent="0.15">
      <c r="A1186">
        <f>公司整体!A1186</f>
        <v>0</v>
      </c>
      <c r="B1186">
        <f>公司整体!B1186</f>
        <v>0</v>
      </c>
      <c r="C1186">
        <f ca="1">INDIRECT(ADDRESS(ROW(C1186),MATCH(公司各渠道指标可视化!$C$4,公司整体!$1:$1,0),3,1,"公司整体"),TRUE)</f>
        <v>0</v>
      </c>
    </row>
    <row r="1187" spans="1:3" x14ac:dyDescent="0.15">
      <c r="A1187">
        <f>公司整体!A1187</f>
        <v>0</v>
      </c>
      <c r="B1187">
        <f>公司整体!B1187</f>
        <v>0</v>
      </c>
      <c r="C1187">
        <f ca="1">INDIRECT(ADDRESS(ROW(C1187),MATCH(公司各渠道指标可视化!$C$4,公司整体!$1:$1,0),3,1,"公司整体"),TRUE)</f>
        <v>0</v>
      </c>
    </row>
    <row r="1188" spans="1:3" x14ac:dyDescent="0.15">
      <c r="A1188">
        <f>公司整体!A1188</f>
        <v>0</v>
      </c>
      <c r="B1188">
        <f>公司整体!B1188</f>
        <v>0</v>
      </c>
      <c r="C1188">
        <f ca="1">INDIRECT(ADDRESS(ROW(C1188),MATCH(公司各渠道指标可视化!$C$4,公司整体!$1:$1,0),3,1,"公司整体"),TRUE)</f>
        <v>0</v>
      </c>
    </row>
    <row r="1189" spans="1:3" x14ac:dyDescent="0.15">
      <c r="A1189">
        <f>公司整体!A1189</f>
        <v>0</v>
      </c>
      <c r="B1189">
        <f>公司整体!B1189</f>
        <v>0</v>
      </c>
      <c r="C1189">
        <f ca="1">INDIRECT(ADDRESS(ROW(C1189),MATCH(公司各渠道指标可视化!$C$4,公司整体!$1:$1,0),3,1,"公司整体"),TRUE)</f>
        <v>0</v>
      </c>
    </row>
    <row r="1190" spans="1:3" x14ac:dyDescent="0.15">
      <c r="A1190">
        <f>公司整体!A1190</f>
        <v>0</v>
      </c>
      <c r="B1190">
        <f>公司整体!B1190</f>
        <v>0</v>
      </c>
      <c r="C1190">
        <f ca="1">INDIRECT(ADDRESS(ROW(C1190),MATCH(公司各渠道指标可视化!$C$4,公司整体!$1:$1,0),3,1,"公司整体"),TRUE)</f>
        <v>0</v>
      </c>
    </row>
    <row r="1191" spans="1:3" x14ac:dyDescent="0.15">
      <c r="A1191">
        <f>公司整体!A1191</f>
        <v>0</v>
      </c>
      <c r="B1191">
        <f>公司整体!B1191</f>
        <v>0</v>
      </c>
      <c r="C1191">
        <f ca="1">INDIRECT(ADDRESS(ROW(C1191),MATCH(公司各渠道指标可视化!$C$4,公司整体!$1:$1,0),3,1,"公司整体"),TRUE)</f>
        <v>0</v>
      </c>
    </row>
    <row r="1192" spans="1:3" x14ac:dyDescent="0.15">
      <c r="A1192">
        <f>公司整体!A1192</f>
        <v>0</v>
      </c>
      <c r="B1192">
        <f>公司整体!B1192</f>
        <v>0</v>
      </c>
      <c r="C1192">
        <f ca="1">INDIRECT(ADDRESS(ROW(C1192),MATCH(公司各渠道指标可视化!$C$4,公司整体!$1:$1,0),3,1,"公司整体"),TRUE)</f>
        <v>0</v>
      </c>
    </row>
    <row r="1193" spans="1:3" x14ac:dyDescent="0.15">
      <c r="A1193">
        <f>公司整体!A1193</f>
        <v>0</v>
      </c>
      <c r="B1193">
        <f>公司整体!B1193</f>
        <v>0</v>
      </c>
      <c r="C1193">
        <f ca="1">INDIRECT(ADDRESS(ROW(C1193),MATCH(公司各渠道指标可视化!$C$4,公司整体!$1:$1,0),3,1,"公司整体"),TRUE)</f>
        <v>0</v>
      </c>
    </row>
    <row r="1194" spans="1:3" x14ac:dyDescent="0.15">
      <c r="A1194">
        <f>公司整体!A1194</f>
        <v>0</v>
      </c>
      <c r="B1194">
        <f>公司整体!B1194</f>
        <v>0</v>
      </c>
      <c r="C1194">
        <f ca="1">INDIRECT(ADDRESS(ROW(C1194),MATCH(公司各渠道指标可视化!$C$4,公司整体!$1:$1,0),3,1,"公司整体"),TRUE)</f>
        <v>0</v>
      </c>
    </row>
    <row r="1195" spans="1:3" x14ac:dyDescent="0.15">
      <c r="A1195">
        <f>公司整体!A1195</f>
        <v>0</v>
      </c>
      <c r="B1195">
        <f>公司整体!B1195</f>
        <v>0</v>
      </c>
      <c r="C1195">
        <f ca="1">INDIRECT(ADDRESS(ROW(C1195),MATCH(公司各渠道指标可视化!$C$4,公司整体!$1:$1,0),3,1,"公司整体"),TRUE)</f>
        <v>0</v>
      </c>
    </row>
    <row r="1196" spans="1:3" x14ac:dyDescent="0.15">
      <c r="A1196">
        <f>公司整体!A1196</f>
        <v>0</v>
      </c>
      <c r="B1196">
        <f>公司整体!B1196</f>
        <v>0</v>
      </c>
      <c r="C1196">
        <f ca="1">INDIRECT(ADDRESS(ROW(C1196),MATCH(公司各渠道指标可视化!$C$4,公司整体!$1:$1,0),3,1,"公司整体"),TRUE)</f>
        <v>0</v>
      </c>
    </row>
    <row r="1197" spans="1:3" x14ac:dyDescent="0.15">
      <c r="A1197">
        <f>公司整体!A1197</f>
        <v>0</v>
      </c>
      <c r="B1197">
        <f>公司整体!B1197</f>
        <v>0</v>
      </c>
      <c r="C1197">
        <f ca="1">INDIRECT(ADDRESS(ROW(C1197),MATCH(公司各渠道指标可视化!$C$4,公司整体!$1:$1,0),3,1,"公司整体"),TRUE)</f>
        <v>0</v>
      </c>
    </row>
    <row r="1198" spans="1:3" x14ac:dyDescent="0.15">
      <c r="A1198">
        <f>公司整体!A1198</f>
        <v>0</v>
      </c>
      <c r="B1198">
        <f>公司整体!B1198</f>
        <v>0</v>
      </c>
      <c r="C1198">
        <f ca="1">INDIRECT(ADDRESS(ROW(C1198),MATCH(公司各渠道指标可视化!$C$4,公司整体!$1:$1,0),3,1,"公司整体"),TRUE)</f>
        <v>0</v>
      </c>
    </row>
    <row r="1199" spans="1:3" x14ac:dyDescent="0.15">
      <c r="A1199">
        <f>公司整体!A1199</f>
        <v>0</v>
      </c>
      <c r="B1199">
        <f>公司整体!B1199</f>
        <v>0</v>
      </c>
      <c r="C1199">
        <f ca="1">INDIRECT(ADDRESS(ROW(C1199),MATCH(公司各渠道指标可视化!$C$4,公司整体!$1:$1,0),3,1,"公司整体"),TRUE)</f>
        <v>0</v>
      </c>
    </row>
    <row r="1200" spans="1:3" x14ac:dyDescent="0.15">
      <c r="A1200">
        <f>公司整体!A1200</f>
        <v>0</v>
      </c>
      <c r="B1200">
        <f>公司整体!B1200</f>
        <v>0</v>
      </c>
      <c r="C1200">
        <f ca="1">INDIRECT(ADDRESS(ROW(C1200),MATCH(公司各渠道指标可视化!$C$4,公司整体!$1:$1,0),3,1,"公司整体"),TRUE)</f>
        <v>0</v>
      </c>
    </row>
    <row r="1201" spans="1:3" x14ac:dyDescent="0.15">
      <c r="A1201">
        <f>公司整体!A1201</f>
        <v>0</v>
      </c>
      <c r="B1201">
        <f>公司整体!B1201</f>
        <v>0</v>
      </c>
      <c r="C1201">
        <f ca="1">INDIRECT(ADDRESS(ROW(C1201),MATCH(公司各渠道指标可视化!$C$4,公司整体!$1:$1,0),3,1,"公司整体"),TRUE)</f>
        <v>0</v>
      </c>
    </row>
    <row r="1202" spans="1:3" x14ac:dyDescent="0.15">
      <c r="A1202">
        <f>公司整体!A1202</f>
        <v>0</v>
      </c>
      <c r="B1202">
        <f>公司整体!B1202</f>
        <v>0</v>
      </c>
      <c r="C1202">
        <f ca="1">INDIRECT(ADDRESS(ROW(C1202),MATCH(公司各渠道指标可视化!$C$4,公司整体!$1:$1,0),3,1,"公司整体"),TRUE)</f>
        <v>0</v>
      </c>
    </row>
    <row r="1203" spans="1:3" x14ac:dyDescent="0.15">
      <c r="A1203">
        <f>公司整体!A1203</f>
        <v>0</v>
      </c>
      <c r="B1203">
        <f>公司整体!B1203</f>
        <v>0</v>
      </c>
      <c r="C1203">
        <f ca="1">INDIRECT(ADDRESS(ROW(C1203),MATCH(公司各渠道指标可视化!$C$4,公司整体!$1:$1,0),3,1,"公司整体"),TRUE)</f>
        <v>0</v>
      </c>
    </row>
    <row r="1204" spans="1:3" x14ac:dyDescent="0.15">
      <c r="A1204">
        <f>公司整体!A1204</f>
        <v>0</v>
      </c>
      <c r="B1204">
        <f>公司整体!B1204</f>
        <v>0</v>
      </c>
      <c r="C1204">
        <f ca="1">INDIRECT(ADDRESS(ROW(C1204),MATCH(公司各渠道指标可视化!$C$4,公司整体!$1:$1,0),3,1,"公司整体"),TRUE)</f>
        <v>0</v>
      </c>
    </row>
    <row r="1205" spans="1:3" x14ac:dyDescent="0.15">
      <c r="A1205">
        <f>公司整体!A1205</f>
        <v>0</v>
      </c>
      <c r="B1205">
        <f>公司整体!B1205</f>
        <v>0</v>
      </c>
      <c r="C1205">
        <f ca="1">INDIRECT(ADDRESS(ROW(C1205),MATCH(公司各渠道指标可视化!$C$4,公司整体!$1:$1,0),3,1,"公司整体"),TRUE)</f>
        <v>0</v>
      </c>
    </row>
    <row r="1206" spans="1:3" x14ac:dyDescent="0.15">
      <c r="A1206">
        <f>公司整体!A1206</f>
        <v>0</v>
      </c>
      <c r="B1206">
        <f>公司整体!B1206</f>
        <v>0</v>
      </c>
      <c r="C1206">
        <f ca="1">INDIRECT(ADDRESS(ROW(C1206),MATCH(公司各渠道指标可视化!$C$4,公司整体!$1:$1,0),3,1,"公司整体"),TRUE)</f>
        <v>0</v>
      </c>
    </row>
    <row r="1207" spans="1:3" x14ac:dyDescent="0.15">
      <c r="A1207">
        <f>公司整体!A1207</f>
        <v>0</v>
      </c>
      <c r="B1207">
        <f>公司整体!B1207</f>
        <v>0</v>
      </c>
      <c r="C1207">
        <f ca="1">INDIRECT(ADDRESS(ROW(C1207),MATCH(公司各渠道指标可视化!$C$4,公司整体!$1:$1,0),3,1,"公司整体"),TRUE)</f>
        <v>0</v>
      </c>
    </row>
    <row r="1208" spans="1:3" x14ac:dyDescent="0.15">
      <c r="A1208">
        <f>公司整体!A1208</f>
        <v>0</v>
      </c>
      <c r="B1208">
        <f>公司整体!B1208</f>
        <v>0</v>
      </c>
      <c r="C1208">
        <f ca="1">INDIRECT(ADDRESS(ROW(C1208),MATCH(公司各渠道指标可视化!$C$4,公司整体!$1:$1,0),3,1,"公司整体"),TRUE)</f>
        <v>0</v>
      </c>
    </row>
    <row r="1209" spans="1:3" x14ac:dyDescent="0.15">
      <c r="A1209">
        <f>公司整体!A1209</f>
        <v>0</v>
      </c>
      <c r="B1209">
        <f>公司整体!B1209</f>
        <v>0</v>
      </c>
      <c r="C1209">
        <f ca="1">INDIRECT(ADDRESS(ROW(C1209),MATCH(公司各渠道指标可视化!$C$4,公司整体!$1:$1,0),3,1,"公司整体"),TRUE)</f>
        <v>0</v>
      </c>
    </row>
    <row r="1210" spans="1:3" x14ac:dyDescent="0.15">
      <c r="A1210">
        <f>公司整体!A1210</f>
        <v>0</v>
      </c>
      <c r="B1210">
        <f>公司整体!B1210</f>
        <v>0</v>
      </c>
      <c r="C1210">
        <f ca="1">INDIRECT(ADDRESS(ROW(C1210),MATCH(公司各渠道指标可视化!$C$4,公司整体!$1:$1,0),3,1,"公司整体"),TRUE)</f>
        <v>0</v>
      </c>
    </row>
    <row r="1211" spans="1:3" x14ac:dyDescent="0.15">
      <c r="A1211">
        <f>公司整体!A1211</f>
        <v>0</v>
      </c>
      <c r="B1211">
        <f>公司整体!B1211</f>
        <v>0</v>
      </c>
      <c r="C1211">
        <f ca="1">INDIRECT(ADDRESS(ROW(C1211),MATCH(公司各渠道指标可视化!$C$4,公司整体!$1:$1,0),3,1,"公司整体"),TRUE)</f>
        <v>0</v>
      </c>
    </row>
    <row r="1212" spans="1:3" x14ac:dyDescent="0.15">
      <c r="A1212">
        <f>公司整体!A1212</f>
        <v>0</v>
      </c>
      <c r="B1212">
        <f>公司整体!B1212</f>
        <v>0</v>
      </c>
      <c r="C1212">
        <f ca="1">INDIRECT(ADDRESS(ROW(C1212),MATCH(公司各渠道指标可视化!$C$4,公司整体!$1:$1,0),3,1,"公司整体"),TRUE)</f>
        <v>0</v>
      </c>
    </row>
    <row r="1213" spans="1:3" x14ac:dyDescent="0.15">
      <c r="A1213">
        <f>公司整体!A1213</f>
        <v>0</v>
      </c>
      <c r="B1213">
        <f>公司整体!B1213</f>
        <v>0</v>
      </c>
      <c r="C1213">
        <f ca="1">INDIRECT(ADDRESS(ROW(C1213),MATCH(公司各渠道指标可视化!$C$4,公司整体!$1:$1,0),3,1,"公司整体"),TRUE)</f>
        <v>0</v>
      </c>
    </row>
    <row r="1214" spans="1:3" x14ac:dyDescent="0.15">
      <c r="A1214">
        <f>公司整体!A1214</f>
        <v>0</v>
      </c>
      <c r="B1214">
        <f>公司整体!B1214</f>
        <v>0</v>
      </c>
      <c r="C1214">
        <f ca="1">INDIRECT(ADDRESS(ROW(C1214),MATCH(公司各渠道指标可视化!$C$4,公司整体!$1:$1,0),3,1,"公司整体"),TRUE)</f>
        <v>0</v>
      </c>
    </row>
    <row r="1215" spans="1:3" x14ac:dyDescent="0.15">
      <c r="A1215">
        <f>公司整体!A1215</f>
        <v>0</v>
      </c>
      <c r="B1215">
        <f>公司整体!B1215</f>
        <v>0</v>
      </c>
      <c r="C1215">
        <f ca="1">INDIRECT(ADDRESS(ROW(C1215),MATCH(公司各渠道指标可视化!$C$4,公司整体!$1:$1,0),3,1,"公司整体"),TRUE)</f>
        <v>0</v>
      </c>
    </row>
    <row r="1216" spans="1:3" x14ac:dyDescent="0.15">
      <c r="A1216">
        <f>公司整体!A1216</f>
        <v>0</v>
      </c>
      <c r="B1216">
        <f>公司整体!B1216</f>
        <v>0</v>
      </c>
      <c r="C1216">
        <f ca="1">INDIRECT(ADDRESS(ROW(C1216),MATCH(公司各渠道指标可视化!$C$4,公司整体!$1:$1,0),3,1,"公司整体"),TRUE)</f>
        <v>0</v>
      </c>
    </row>
    <row r="1217" spans="1:3" x14ac:dyDescent="0.15">
      <c r="A1217">
        <f>公司整体!A1217</f>
        <v>0</v>
      </c>
      <c r="B1217">
        <f>公司整体!B1217</f>
        <v>0</v>
      </c>
      <c r="C1217">
        <f ca="1">INDIRECT(ADDRESS(ROW(C1217),MATCH(公司各渠道指标可视化!$C$4,公司整体!$1:$1,0),3,1,"公司整体"),TRUE)</f>
        <v>0</v>
      </c>
    </row>
    <row r="1218" spans="1:3" x14ac:dyDescent="0.15">
      <c r="A1218">
        <f>公司整体!A1218</f>
        <v>0</v>
      </c>
      <c r="B1218">
        <f>公司整体!B1218</f>
        <v>0</v>
      </c>
      <c r="C1218">
        <f ca="1">INDIRECT(ADDRESS(ROW(C1218),MATCH(公司各渠道指标可视化!$C$4,公司整体!$1:$1,0),3,1,"公司整体"),TRUE)</f>
        <v>0</v>
      </c>
    </row>
    <row r="1219" spans="1:3" x14ac:dyDescent="0.15">
      <c r="A1219">
        <f>公司整体!A1219</f>
        <v>0</v>
      </c>
      <c r="B1219">
        <f>公司整体!B1219</f>
        <v>0</v>
      </c>
      <c r="C1219">
        <f ca="1">INDIRECT(ADDRESS(ROW(C1219),MATCH(公司各渠道指标可视化!$C$4,公司整体!$1:$1,0),3,1,"公司整体"),TRUE)</f>
        <v>0</v>
      </c>
    </row>
    <row r="1220" spans="1:3" x14ac:dyDescent="0.15">
      <c r="A1220">
        <f>公司整体!A1220</f>
        <v>0</v>
      </c>
      <c r="B1220">
        <f>公司整体!B1220</f>
        <v>0</v>
      </c>
      <c r="C1220">
        <f ca="1">INDIRECT(ADDRESS(ROW(C1220),MATCH(公司各渠道指标可视化!$C$4,公司整体!$1:$1,0),3,1,"公司整体"),TRUE)</f>
        <v>0</v>
      </c>
    </row>
    <row r="1221" spans="1:3" x14ac:dyDescent="0.15">
      <c r="A1221">
        <f>公司整体!A1221</f>
        <v>0</v>
      </c>
      <c r="B1221">
        <f>公司整体!B1221</f>
        <v>0</v>
      </c>
      <c r="C1221">
        <f ca="1">INDIRECT(ADDRESS(ROW(C1221),MATCH(公司各渠道指标可视化!$C$4,公司整体!$1:$1,0),3,1,"公司整体"),TRUE)</f>
        <v>0</v>
      </c>
    </row>
    <row r="1222" spans="1:3" x14ac:dyDescent="0.15">
      <c r="A1222">
        <f>公司整体!A1222</f>
        <v>0</v>
      </c>
      <c r="B1222">
        <f>公司整体!B1222</f>
        <v>0</v>
      </c>
      <c r="C1222">
        <f ca="1">INDIRECT(ADDRESS(ROW(C1222),MATCH(公司各渠道指标可视化!$C$4,公司整体!$1:$1,0),3,1,"公司整体"),TRUE)</f>
        <v>0</v>
      </c>
    </row>
    <row r="1223" spans="1:3" x14ac:dyDescent="0.15">
      <c r="A1223">
        <f>公司整体!A1223</f>
        <v>0</v>
      </c>
      <c r="B1223">
        <f>公司整体!B1223</f>
        <v>0</v>
      </c>
      <c r="C1223">
        <f ca="1">INDIRECT(ADDRESS(ROW(C1223),MATCH(公司各渠道指标可视化!$C$4,公司整体!$1:$1,0),3,1,"公司整体"),TRUE)</f>
        <v>0</v>
      </c>
    </row>
    <row r="1224" spans="1:3" x14ac:dyDescent="0.15">
      <c r="A1224">
        <f>公司整体!A1224</f>
        <v>0</v>
      </c>
      <c r="B1224">
        <f>公司整体!B1224</f>
        <v>0</v>
      </c>
      <c r="C1224">
        <f ca="1">INDIRECT(ADDRESS(ROW(C1224),MATCH(公司各渠道指标可视化!$C$4,公司整体!$1:$1,0),3,1,"公司整体"),TRUE)</f>
        <v>0</v>
      </c>
    </row>
    <row r="1225" spans="1:3" x14ac:dyDescent="0.15">
      <c r="A1225">
        <f>公司整体!A1225</f>
        <v>0</v>
      </c>
      <c r="B1225">
        <f>公司整体!B1225</f>
        <v>0</v>
      </c>
      <c r="C1225">
        <f ca="1">INDIRECT(ADDRESS(ROW(C1225),MATCH(公司各渠道指标可视化!$C$4,公司整体!$1:$1,0),3,1,"公司整体"),TRUE)</f>
        <v>0</v>
      </c>
    </row>
    <row r="1226" spans="1:3" x14ac:dyDescent="0.15">
      <c r="A1226">
        <f>公司整体!A1226</f>
        <v>0</v>
      </c>
      <c r="B1226">
        <f>公司整体!B1226</f>
        <v>0</v>
      </c>
      <c r="C1226">
        <f ca="1">INDIRECT(ADDRESS(ROW(C1226),MATCH(公司各渠道指标可视化!$C$4,公司整体!$1:$1,0),3,1,"公司整体"),TRUE)</f>
        <v>0</v>
      </c>
    </row>
    <row r="1227" spans="1:3" x14ac:dyDescent="0.15">
      <c r="A1227">
        <f>公司整体!A1227</f>
        <v>0</v>
      </c>
      <c r="B1227">
        <f>公司整体!B1227</f>
        <v>0</v>
      </c>
      <c r="C1227">
        <f ca="1">INDIRECT(ADDRESS(ROW(C1227),MATCH(公司各渠道指标可视化!$C$4,公司整体!$1:$1,0),3,1,"公司整体"),TRUE)</f>
        <v>0</v>
      </c>
    </row>
    <row r="1228" spans="1:3" x14ac:dyDescent="0.15">
      <c r="A1228">
        <f>公司整体!A1228</f>
        <v>0</v>
      </c>
      <c r="B1228">
        <f>公司整体!B1228</f>
        <v>0</v>
      </c>
      <c r="C1228">
        <f ca="1">INDIRECT(ADDRESS(ROW(C1228),MATCH(公司各渠道指标可视化!$C$4,公司整体!$1:$1,0),3,1,"公司整体"),TRUE)</f>
        <v>0</v>
      </c>
    </row>
    <row r="1229" spans="1:3" x14ac:dyDescent="0.15">
      <c r="A1229">
        <f>公司整体!A1229</f>
        <v>0</v>
      </c>
      <c r="B1229">
        <f>公司整体!B1229</f>
        <v>0</v>
      </c>
      <c r="C1229">
        <f ca="1">INDIRECT(ADDRESS(ROW(C1229),MATCH(公司各渠道指标可视化!$C$4,公司整体!$1:$1,0),3,1,"公司整体"),TRUE)</f>
        <v>0</v>
      </c>
    </row>
    <row r="1230" spans="1:3" x14ac:dyDescent="0.15">
      <c r="A1230">
        <f>公司整体!A1230</f>
        <v>0</v>
      </c>
      <c r="B1230">
        <f>公司整体!B1230</f>
        <v>0</v>
      </c>
      <c r="C1230">
        <f ca="1">INDIRECT(ADDRESS(ROW(C1230),MATCH(公司各渠道指标可视化!$C$4,公司整体!$1:$1,0),3,1,"公司整体"),TRUE)</f>
        <v>0</v>
      </c>
    </row>
    <row r="1231" spans="1:3" x14ac:dyDescent="0.15">
      <c r="A1231">
        <f>公司整体!A1231</f>
        <v>0</v>
      </c>
      <c r="B1231">
        <f>公司整体!B1231</f>
        <v>0</v>
      </c>
      <c r="C1231">
        <f ca="1">INDIRECT(ADDRESS(ROW(C1231),MATCH(公司各渠道指标可视化!$C$4,公司整体!$1:$1,0),3,1,"公司整体"),TRUE)</f>
        <v>0</v>
      </c>
    </row>
    <row r="1232" spans="1:3" x14ac:dyDescent="0.15">
      <c r="A1232">
        <f>公司整体!A1232</f>
        <v>0</v>
      </c>
      <c r="B1232">
        <f>公司整体!B1232</f>
        <v>0</v>
      </c>
      <c r="C1232">
        <f ca="1">INDIRECT(ADDRESS(ROW(C1232),MATCH(公司各渠道指标可视化!$C$4,公司整体!$1:$1,0),3,1,"公司整体"),TRUE)</f>
        <v>0</v>
      </c>
    </row>
    <row r="1233" spans="1:3" x14ac:dyDescent="0.15">
      <c r="A1233">
        <f>公司整体!A1233</f>
        <v>0</v>
      </c>
      <c r="B1233">
        <f>公司整体!B1233</f>
        <v>0</v>
      </c>
      <c r="C1233">
        <f ca="1">INDIRECT(ADDRESS(ROW(C1233),MATCH(公司各渠道指标可视化!$C$4,公司整体!$1:$1,0),3,1,"公司整体"),TRUE)</f>
        <v>0</v>
      </c>
    </row>
    <row r="1234" spans="1:3" x14ac:dyDescent="0.15">
      <c r="A1234">
        <f>公司整体!A1234</f>
        <v>0</v>
      </c>
      <c r="B1234">
        <f>公司整体!B1234</f>
        <v>0</v>
      </c>
      <c r="C1234">
        <f ca="1">INDIRECT(ADDRESS(ROW(C1234),MATCH(公司各渠道指标可视化!$C$4,公司整体!$1:$1,0),3,1,"公司整体"),TRUE)</f>
        <v>0</v>
      </c>
    </row>
    <row r="1235" spans="1:3" x14ac:dyDescent="0.15">
      <c r="A1235">
        <f>公司整体!A1235</f>
        <v>0</v>
      </c>
      <c r="B1235">
        <f>公司整体!B1235</f>
        <v>0</v>
      </c>
      <c r="C1235">
        <f ca="1">INDIRECT(ADDRESS(ROW(C1235),MATCH(公司各渠道指标可视化!$C$4,公司整体!$1:$1,0),3,1,"公司整体"),TRUE)</f>
        <v>0</v>
      </c>
    </row>
    <row r="1236" spans="1:3" x14ac:dyDescent="0.15">
      <c r="A1236">
        <f>公司整体!A1236</f>
        <v>0</v>
      </c>
      <c r="B1236">
        <f>公司整体!B1236</f>
        <v>0</v>
      </c>
      <c r="C1236">
        <f ca="1">INDIRECT(ADDRESS(ROW(C1236),MATCH(公司各渠道指标可视化!$C$4,公司整体!$1:$1,0),3,1,"公司整体"),TRUE)</f>
        <v>0</v>
      </c>
    </row>
    <row r="1237" spans="1:3" x14ac:dyDescent="0.15">
      <c r="A1237">
        <f>公司整体!A1237</f>
        <v>0</v>
      </c>
      <c r="B1237">
        <f>公司整体!B1237</f>
        <v>0</v>
      </c>
      <c r="C1237">
        <f ca="1">INDIRECT(ADDRESS(ROW(C1237),MATCH(公司各渠道指标可视化!$C$4,公司整体!$1:$1,0),3,1,"公司整体"),TRUE)</f>
        <v>0</v>
      </c>
    </row>
    <row r="1238" spans="1:3" x14ac:dyDescent="0.15">
      <c r="A1238">
        <f>公司整体!A1238</f>
        <v>0</v>
      </c>
      <c r="B1238">
        <f>公司整体!B1238</f>
        <v>0</v>
      </c>
      <c r="C1238">
        <f ca="1">INDIRECT(ADDRESS(ROW(C1238),MATCH(公司各渠道指标可视化!$C$4,公司整体!$1:$1,0),3,1,"公司整体"),TRUE)</f>
        <v>0</v>
      </c>
    </row>
    <row r="1239" spans="1:3" x14ac:dyDescent="0.15">
      <c r="A1239">
        <f>公司整体!A1239</f>
        <v>0</v>
      </c>
      <c r="B1239">
        <f>公司整体!B1239</f>
        <v>0</v>
      </c>
      <c r="C1239">
        <f ca="1">INDIRECT(ADDRESS(ROW(C1239),MATCH(公司各渠道指标可视化!$C$4,公司整体!$1:$1,0),3,1,"公司整体"),TRUE)</f>
        <v>0</v>
      </c>
    </row>
    <row r="1240" spans="1:3" x14ac:dyDescent="0.15">
      <c r="A1240">
        <f>公司整体!A1240</f>
        <v>0</v>
      </c>
      <c r="B1240">
        <f>公司整体!B1240</f>
        <v>0</v>
      </c>
      <c r="C1240">
        <f ca="1">INDIRECT(ADDRESS(ROW(C1240),MATCH(公司各渠道指标可视化!$C$4,公司整体!$1:$1,0),3,1,"公司整体"),TRUE)</f>
        <v>0</v>
      </c>
    </row>
    <row r="1241" spans="1:3" x14ac:dyDescent="0.15">
      <c r="A1241">
        <f>公司整体!A1241</f>
        <v>0</v>
      </c>
      <c r="B1241">
        <f>公司整体!B1241</f>
        <v>0</v>
      </c>
      <c r="C1241">
        <f ca="1">INDIRECT(ADDRESS(ROW(C1241),MATCH(公司各渠道指标可视化!$C$4,公司整体!$1:$1,0),3,1,"公司整体"),TRUE)</f>
        <v>0</v>
      </c>
    </row>
    <row r="1242" spans="1:3" x14ac:dyDescent="0.15">
      <c r="A1242">
        <f>公司整体!A1242</f>
        <v>0</v>
      </c>
      <c r="B1242">
        <f>公司整体!B1242</f>
        <v>0</v>
      </c>
      <c r="C1242">
        <f ca="1">INDIRECT(ADDRESS(ROW(C1242),MATCH(公司各渠道指标可视化!$C$4,公司整体!$1:$1,0),3,1,"公司整体"),TRUE)</f>
        <v>0</v>
      </c>
    </row>
    <row r="1243" spans="1:3" x14ac:dyDescent="0.15">
      <c r="A1243">
        <f>公司整体!A1243</f>
        <v>0</v>
      </c>
      <c r="B1243">
        <f>公司整体!B1243</f>
        <v>0</v>
      </c>
      <c r="C1243">
        <f ca="1">INDIRECT(ADDRESS(ROW(C1243),MATCH(公司各渠道指标可视化!$C$4,公司整体!$1:$1,0),3,1,"公司整体"),TRUE)</f>
        <v>0</v>
      </c>
    </row>
    <row r="1244" spans="1:3" x14ac:dyDescent="0.15">
      <c r="A1244">
        <f>公司整体!A1244</f>
        <v>0</v>
      </c>
      <c r="B1244">
        <f>公司整体!B1244</f>
        <v>0</v>
      </c>
      <c r="C1244">
        <f ca="1">INDIRECT(ADDRESS(ROW(C1244),MATCH(公司各渠道指标可视化!$C$4,公司整体!$1:$1,0),3,1,"公司整体"),TRUE)</f>
        <v>0</v>
      </c>
    </row>
    <row r="1245" spans="1:3" x14ac:dyDescent="0.15">
      <c r="A1245">
        <f>公司整体!A1245</f>
        <v>0</v>
      </c>
      <c r="B1245">
        <f>公司整体!B1245</f>
        <v>0</v>
      </c>
      <c r="C1245">
        <f ca="1">INDIRECT(ADDRESS(ROW(C1245),MATCH(公司各渠道指标可视化!$C$4,公司整体!$1:$1,0),3,1,"公司整体"),TRUE)</f>
        <v>0</v>
      </c>
    </row>
    <row r="1246" spans="1:3" x14ac:dyDescent="0.15">
      <c r="A1246">
        <f>公司整体!A1246</f>
        <v>0</v>
      </c>
      <c r="B1246">
        <f>公司整体!B1246</f>
        <v>0</v>
      </c>
      <c r="C1246">
        <f ca="1">INDIRECT(ADDRESS(ROW(C1246),MATCH(公司各渠道指标可视化!$C$4,公司整体!$1:$1,0),3,1,"公司整体"),TRUE)</f>
        <v>0</v>
      </c>
    </row>
    <row r="1247" spans="1:3" x14ac:dyDescent="0.15">
      <c r="A1247">
        <f>公司整体!A1247</f>
        <v>0</v>
      </c>
      <c r="B1247">
        <f>公司整体!B1247</f>
        <v>0</v>
      </c>
      <c r="C1247">
        <f ca="1">INDIRECT(ADDRESS(ROW(C1247),MATCH(公司各渠道指标可视化!$C$4,公司整体!$1:$1,0),3,1,"公司整体"),TRUE)</f>
        <v>0</v>
      </c>
    </row>
    <row r="1248" spans="1:3" x14ac:dyDescent="0.15">
      <c r="A1248">
        <f>公司整体!A1248</f>
        <v>0</v>
      </c>
      <c r="B1248">
        <f>公司整体!B1248</f>
        <v>0</v>
      </c>
      <c r="C1248">
        <f ca="1">INDIRECT(ADDRESS(ROW(C1248),MATCH(公司各渠道指标可视化!$C$4,公司整体!$1:$1,0),3,1,"公司整体"),TRUE)</f>
        <v>0</v>
      </c>
    </row>
    <row r="1249" spans="1:3" x14ac:dyDescent="0.15">
      <c r="A1249">
        <f>公司整体!A1249</f>
        <v>0</v>
      </c>
      <c r="B1249">
        <f>公司整体!B1249</f>
        <v>0</v>
      </c>
      <c r="C1249">
        <f ca="1">INDIRECT(ADDRESS(ROW(C1249),MATCH(公司各渠道指标可视化!$C$4,公司整体!$1:$1,0),3,1,"公司整体"),TRUE)</f>
        <v>0</v>
      </c>
    </row>
    <row r="1250" spans="1:3" x14ac:dyDescent="0.15">
      <c r="A1250">
        <f>公司整体!A1250</f>
        <v>0</v>
      </c>
      <c r="B1250">
        <f>公司整体!B1250</f>
        <v>0</v>
      </c>
      <c r="C1250">
        <f ca="1">INDIRECT(ADDRESS(ROW(C1250),MATCH(公司各渠道指标可视化!$C$4,公司整体!$1:$1,0),3,1,"公司整体"),TRUE)</f>
        <v>0</v>
      </c>
    </row>
    <row r="1251" spans="1:3" x14ac:dyDescent="0.15">
      <c r="A1251">
        <f>公司整体!A1251</f>
        <v>0</v>
      </c>
      <c r="B1251">
        <f>公司整体!B1251</f>
        <v>0</v>
      </c>
      <c r="C1251">
        <f ca="1">INDIRECT(ADDRESS(ROW(C1251),MATCH(公司各渠道指标可视化!$C$4,公司整体!$1:$1,0),3,1,"公司整体"),TRUE)</f>
        <v>0</v>
      </c>
    </row>
    <row r="1252" spans="1:3" x14ac:dyDescent="0.15">
      <c r="A1252">
        <f>公司整体!A1252</f>
        <v>0</v>
      </c>
      <c r="B1252">
        <f>公司整体!B1252</f>
        <v>0</v>
      </c>
      <c r="C1252">
        <f ca="1">INDIRECT(ADDRESS(ROW(C1252),MATCH(公司各渠道指标可视化!$C$4,公司整体!$1:$1,0),3,1,"公司整体"),TRUE)</f>
        <v>0</v>
      </c>
    </row>
    <row r="1253" spans="1:3" x14ac:dyDescent="0.15">
      <c r="A1253">
        <f>公司整体!A1253</f>
        <v>0</v>
      </c>
      <c r="B1253">
        <f>公司整体!B1253</f>
        <v>0</v>
      </c>
      <c r="C1253">
        <f ca="1">INDIRECT(ADDRESS(ROW(C1253),MATCH(公司各渠道指标可视化!$C$4,公司整体!$1:$1,0),3,1,"公司整体"),TRUE)</f>
        <v>0</v>
      </c>
    </row>
    <row r="1254" spans="1:3" x14ac:dyDescent="0.15">
      <c r="A1254">
        <f>公司整体!A1254</f>
        <v>0</v>
      </c>
      <c r="B1254">
        <f>公司整体!B1254</f>
        <v>0</v>
      </c>
      <c r="C1254">
        <f ca="1">INDIRECT(ADDRESS(ROW(C1254),MATCH(公司各渠道指标可视化!$C$4,公司整体!$1:$1,0),3,1,"公司整体"),TRUE)</f>
        <v>0</v>
      </c>
    </row>
    <row r="1255" spans="1:3" x14ac:dyDescent="0.15">
      <c r="A1255">
        <f>公司整体!A1255</f>
        <v>0</v>
      </c>
      <c r="B1255">
        <f>公司整体!B1255</f>
        <v>0</v>
      </c>
      <c r="C1255">
        <f ca="1">INDIRECT(ADDRESS(ROW(C1255),MATCH(公司各渠道指标可视化!$C$4,公司整体!$1:$1,0),3,1,"公司整体"),TRUE)</f>
        <v>0</v>
      </c>
    </row>
    <row r="1256" spans="1:3" x14ac:dyDescent="0.15">
      <c r="A1256">
        <f>公司整体!A1256</f>
        <v>0</v>
      </c>
      <c r="B1256">
        <f>公司整体!B1256</f>
        <v>0</v>
      </c>
      <c r="C1256">
        <f ca="1">INDIRECT(ADDRESS(ROW(C1256),MATCH(公司各渠道指标可视化!$C$4,公司整体!$1:$1,0),3,1,"公司整体"),TRUE)</f>
        <v>0</v>
      </c>
    </row>
    <row r="1257" spans="1:3" x14ac:dyDescent="0.15">
      <c r="A1257">
        <f>公司整体!A1257</f>
        <v>0</v>
      </c>
      <c r="B1257">
        <f>公司整体!B1257</f>
        <v>0</v>
      </c>
      <c r="C1257">
        <f ca="1">INDIRECT(ADDRESS(ROW(C1257),MATCH(公司各渠道指标可视化!$C$4,公司整体!$1:$1,0),3,1,"公司整体"),TRUE)</f>
        <v>0</v>
      </c>
    </row>
    <row r="1258" spans="1:3" x14ac:dyDescent="0.15">
      <c r="A1258">
        <f>公司整体!A1258</f>
        <v>0</v>
      </c>
      <c r="B1258">
        <f>公司整体!B1258</f>
        <v>0</v>
      </c>
      <c r="C1258">
        <f ca="1">INDIRECT(ADDRESS(ROW(C1258),MATCH(公司各渠道指标可视化!$C$4,公司整体!$1:$1,0),3,1,"公司整体"),TRUE)</f>
        <v>0</v>
      </c>
    </row>
    <row r="1259" spans="1:3" x14ac:dyDescent="0.15">
      <c r="A1259">
        <f>公司整体!A1259</f>
        <v>0</v>
      </c>
      <c r="B1259">
        <f>公司整体!B1259</f>
        <v>0</v>
      </c>
      <c r="C1259">
        <f ca="1">INDIRECT(ADDRESS(ROW(C1259),MATCH(公司各渠道指标可视化!$C$4,公司整体!$1:$1,0),3,1,"公司整体"),TRUE)</f>
        <v>0</v>
      </c>
    </row>
    <row r="1260" spans="1:3" x14ac:dyDescent="0.15">
      <c r="A1260">
        <f>公司整体!A1260</f>
        <v>0</v>
      </c>
      <c r="B1260">
        <f>公司整体!B1260</f>
        <v>0</v>
      </c>
      <c r="C1260">
        <f ca="1">INDIRECT(ADDRESS(ROW(C1260),MATCH(公司各渠道指标可视化!$C$4,公司整体!$1:$1,0),3,1,"公司整体"),TRUE)</f>
        <v>0</v>
      </c>
    </row>
    <row r="1261" spans="1:3" x14ac:dyDescent="0.15">
      <c r="A1261">
        <f>公司整体!A1261</f>
        <v>0</v>
      </c>
      <c r="B1261">
        <f>公司整体!B1261</f>
        <v>0</v>
      </c>
      <c r="C1261">
        <f ca="1">INDIRECT(ADDRESS(ROW(C1261),MATCH(公司各渠道指标可视化!$C$4,公司整体!$1:$1,0),3,1,"公司整体"),TRUE)</f>
        <v>0</v>
      </c>
    </row>
    <row r="1262" spans="1:3" x14ac:dyDescent="0.15">
      <c r="A1262">
        <f>公司整体!A1262</f>
        <v>0</v>
      </c>
      <c r="B1262">
        <f>公司整体!B1262</f>
        <v>0</v>
      </c>
      <c r="C1262">
        <f ca="1">INDIRECT(ADDRESS(ROW(C1262),MATCH(公司各渠道指标可视化!$C$4,公司整体!$1:$1,0),3,1,"公司整体"),TRUE)</f>
        <v>0</v>
      </c>
    </row>
    <row r="1263" spans="1:3" x14ac:dyDescent="0.15">
      <c r="A1263">
        <f>公司整体!A1263</f>
        <v>0</v>
      </c>
      <c r="B1263">
        <f>公司整体!B1263</f>
        <v>0</v>
      </c>
      <c r="C1263">
        <f ca="1">INDIRECT(ADDRESS(ROW(C1263),MATCH(公司各渠道指标可视化!$C$4,公司整体!$1:$1,0),3,1,"公司整体"),TRUE)</f>
        <v>0</v>
      </c>
    </row>
    <row r="1264" spans="1:3" x14ac:dyDescent="0.15">
      <c r="A1264">
        <f>公司整体!A1264</f>
        <v>0</v>
      </c>
      <c r="B1264">
        <f>公司整体!B1264</f>
        <v>0</v>
      </c>
      <c r="C1264">
        <f ca="1">INDIRECT(ADDRESS(ROW(C1264),MATCH(公司各渠道指标可视化!$C$4,公司整体!$1:$1,0),3,1,"公司整体"),TRUE)</f>
        <v>0</v>
      </c>
    </row>
    <row r="1265" spans="1:3" x14ac:dyDescent="0.15">
      <c r="A1265">
        <f>公司整体!A1265</f>
        <v>0</v>
      </c>
      <c r="B1265">
        <f>公司整体!B1265</f>
        <v>0</v>
      </c>
      <c r="C1265">
        <f ca="1">INDIRECT(ADDRESS(ROW(C1265),MATCH(公司各渠道指标可视化!$C$4,公司整体!$1:$1,0),3,1,"公司整体"),TRUE)</f>
        <v>0</v>
      </c>
    </row>
    <row r="1266" spans="1:3" x14ac:dyDescent="0.15">
      <c r="A1266">
        <f>公司整体!A1266</f>
        <v>0</v>
      </c>
      <c r="B1266">
        <f>公司整体!B1266</f>
        <v>0</v>
      </c>
      <c r="C1266">
        <f ca="1">INDIRECT(ADDRESS(ROW(C1266),MATCH(公司各渠道指标可视化!$C$4,公司整体!$1:$1,0),3,1,"公司整体"),TRUE)</f>
        <v>0</v>
      </c>
    </row>
    <row r="1267" spans="1:3" x14ac:dyDescent="0.15">
      <c r="A1267">
        <f>公司整体!A1267</f>
        <v>0</v>
      </c>
      <c r="B1267">
        <f>公司整体!B1267</f>
        <v>0</v>
      </c>
      <c r="C1267">
        <f ca="1">INDIRECT(ADDRESS(ROW(C1267),MATCH(公司各渠道指标可视化!$C$4,公司整体!$1:$1,0),3,1,"公司整体"),TRUE)</f>
        <v>0</v>
      </c>
    </row>
    <row r="1268" spans="1:3" x14ac:dyDescent="0.15">
      <c r="A1268">
        <f>公司整体!A1268</f>
        <v>0</v>
      </c>
      <c r="B1268">
        <f>公司整体!B1268</f>
        <v>0</v>
      </c>
      <c r="C1268">
        <f ca="1">INDIRECT(ADDRESS(ROW(C1268),MATCH(公司各渠道指标可视化!$C$4,公司整体!$1:$1,0),3,1,"公司整体"),TRUE)</f>
        <v>0</v>
      </c>
    </row>
    <row r="1269" spans="1:3" x14ac:dyDescent="0.15">
      <c r="A1269">
        <f>公司整体!A1269</f>
        <v>0</v>
      </c>
      <c r="B1269">
        <f>公司整体!B1269</f>
        <v>0</v>
      </c>
      <c r="C1269">
        <f ca="1">INDIRECT(ADDRESS(ROW(C1269),MATCH(公司各渠道指标可视化!$C$4,公司整体!$1:$1,0),3,1,"公司整体"),TRUE)</f>
        <v>0</v>
      </c>
    </row>
    <row r="1270" spans="1:3" x14ac:dyDescent="0.15">
      <c r="A1270">
        <f>公司整体!A1270</f>
        <v>0</v>
      </c>
      <c r="B1270">
        <f>公司整体!B1270</f>
        <v>0</v>
      </c>
      <c r="C1270">
        <f ca="1">INDIRECT(ADDRESS(ROW(C1270),MATCH(公司各渠道指标可视化!$C$4,公司整体!$1:$1,0),3,1,"公司整体"),TRUE)</f>
        <v>0</v>
      </c>
    </row>
    <row r="1271" spans="1:3" x14ac:dyDescent="0.15">
      <c r="A1271">
        <f>公司整体!A1271</f>
        <v>0</v>
      </c>
      <c r="B1271">
        <f>公司整体!B1271</f>
        <v>0</v>
      </c>
      <c r="C1271">
        <f ca="1">INDIRECT(ADDRESS(ROW(C1271),MATCH(公司各渠道指标可视化!$C$4,公司整体!$1:$1,0),3,1,"公司整体"),TRUE)</f>
        <v>0</v>
      </c>
    </row>
    <row r="1272" spans="1:3" x14ac:dyDescent="0.15">
      <c r="A1272">
        <f>公司整体!A1272</f>
        <v>0</v>
      </c>
      <c r="B1272">
        <f>公司整体!B1272</f>
        <v>0</v>
      </c>
      <c r="C1272">
        <f ca="1">INDIRECT(ADDRESS(ROW(C1272),MATCH(公司各渠道指标可视化!$C$4,公司整体!$1:$1,0),3,1,"公司整体"),TRUE)</f>
        <v>0</v>
      </c>
    </row>
    <row r="1273" spans="1:3" x14ac:dyDescent="0.15">
      <c r="A1273">
        <f>公司整体!A1273</f>
        <v>0</v>
      </c>
      <c r="B1273">
        <f>公司整体!B1273</f>
        <v>0</v>
      </c>
      <c r="C1273">
        <f ca="1">INDIRECT(ADDRESS(ROW(C1273),MATCH(公司各渠道指标可视化!$C$4,公司整体!$1:$1,0),3,1,"公司整体"),TRUE)</f>
        <v>0</v>
      </c>
    </row>
    <row r="1274" spans="1:3" x14ac:dyDescent="0.15">
      <c r="A1274">
        <f>公司整体!A1274</f>
        <v>0</v>
      </c>
      <c r="B1274">
        <f>公司整体!B1274</f>
        <v>0</v>
      </c>
      <c r="C1274">
        <f ca="1">INDIRECT(ADDRESS(ROW(C1274),MATCH(公司各渠道指标可视化!$C$4,公司整体!$1:$1,0),3,1,"公司整体"),TRUE)</f>
        <v>0</v>
      </c>
    </row>
    <row r="1275" spans="1:3" x14ac:dyDescent="0.15">
      <c r="A1275">
        <f>公司整体!A1275</f>
        <v>0</v>
      </c>
      <c r="B1275">
        <f>公司整体!B1275</f>
        <v>0</v>
      </c>
      <c r="C1275">
        <f ca="1">INDIRECT(ADDRESS(ROW(C1275),MATCH(公司各渠道指标可视化!$C$4,公司整体!$1:$1,0),3,1,"公司整体"),TRUE)</f>
        <v>0</v>
      </c>
    </row>
    <row r="1276" spans="1:3" x14ac:dyDescent="0.15">
      <c r="A1276">
        <f>公司整体!A1276</f>
        <v>0</v>
      </c>
      <c r="B1276">
        <f>公司整体!B1276</f>
        <v>0</v>
      </c>
      <c r="C1276">
        <f ca="1">INDIRECT(ADDRESS(ROW(C1276),MATCH(公司各渠道指标可视化!$C$4,公司整体!$1:$1,0),3,1,"公司整体"),TRUE)</f>
        <v>0</v>
      </c>
    </row>
    <row r="1277" spans="1:3" x14ac:dyDescent="0.15">
      <c r="A1277">
        <f>公司整体!A1277</f>
        <v>0</v>
      </c>
      <c r="B1277">
        <f>公司整体!B1277</f>
        <v>0</v>
      </c>
      <c r="C1277">
        <f ca="1">INDIRECT(ADDRESS(ROW(C1277),MATCH(公司各渠道指标可视化!$C$4,公司整体!$1:$1,0),3,1,"公司整体"),TRUE)</f>
        <v>0</v>
      </c>
    </row>
    <row r="1278" spans="1:3" x14ac:dyDescent="0.15">
      <c r="A1278">
        <f>公司整体!A1278</f>
        <v>0</v>
      </c>
      <c r="B1278">
        <f>公司整体!B1278</f>
        <v>0</v>
      </c>
      <c r="C1278">
        <f ca="1">INDIRECT(ADDRESS(ROW(C1278),MATCH(公司各渠道指标可视化!$C$4,公司整体!$1:$1,0),3,1,"公司整体"),TRUE)</f>
        <v>0</v>
      </c>
    </row>
    <row r="1279" spans="1:3" x14ac:dyDescent="0.15">
      <c r="A1279">
        <f>公司整体!A1279</f>
        <v>0</v>
      </c>
      <c r="B1279">
        <f>公司整体!B1279</f>
        <v>0</v>
      </c>
      <c r="C1279">
        <f ca="1">INDIRECT(ADDRESS(ROW(C1279),MATCH(公司各渠道指标可视化!$C$4,公司整体!$1:$1,0),3,1,"公司整体"),TRUE)</f>
        <v>0</v>
      </c>
    </row>
    <row r="1280" spans="1:3" x14ac:dyDescent="0.15">
      <c r="A1280">
        <f>公司整体!A1280</f>
        <v>0</v>
      </c>
      <c r="B1280">
        <f>公司整体!B1280</f>
        <v>0</v>
      </c>
      <c r="C1280">
        <f ca="1">INDIRECT(ADDRESS(ROW(C1280),MATCH(公司各渠道指标可视化!$C$4,公司整体!$1:$1,0),3,1,"公司整体"),TRUE)</f>
        <v>0</v>
      </c>
    </row>
    <row r="1281" spans="1:3" x14ac:dyDescent="0.15">
      <c r="A1281">
        <f>公司整体!A1281</f>
        <v>0</v>
      </c>
      <c r="B1281">
        <f>公司整体!B1281</f>
        <v>0</v>
      </c>
      <c r="C1281">
        <f ca="1">INDIRECT(ADDRESS(ROW(C1281),MATCH(公司各渠道指标可视化!$C$4,公司整体!$1:$1,0),3,1,"公司整体"),TRUE)</f>
        <v>0</v>
      </c>
    </row>
    <row r="1282" spans="1:3" x14ac:dyDescent="0.15">
      <c r="A1282">
        <f>公司整体!A1282</f>
        <v>0</v>
      </c>
      <c r="B1282">
        <f>公司整体!B1282</f>
        <v>0</v>
      </c>
      <c r="C1282">
        <f ca="1">INDIRECT(ADDRESS(ROW(C1282),MATCH(公司各渠道指标可视化!$C$4,公司整体!$1:$1,0),3,1,"公司整体"),TRUE)</f>
        <v>0</v>
      </c>
    </row>
    <row r="1283" spans="1:3" x14ac:dyDescent="0.15">
      <c r="A1283">
        <f>公司整体!A1283</f>
        <v>0</v>
      </c>
      <c r="B1283">
        <f>公司整体!B1283</f>
        <v>0</v>
      </c>
      <c r="C1283">
        <f ca="1">INDIRECT(ADDRESS(ROW(C1283),MATCH(公司各渠道指标可视化!$C$4,公司整体!$1:$1,0),3,1,"公司整体"),TRUE)</f>
        <v>0</v>
      </c>
    </row>
    <row r="1284" spans="1:3" x14ac:dyDescent="0.15">
      <c r="A1284">
        <f>公司整体!A1284</f>
        <v>0</v>
      </c>
      <c r="B1284">
        <f>公司整体!B1284</f>
        <v>0</v>
      </c>
      <c r="C1284">
        <f ca="1">INDIRECT(ADDRESS(ROW(C1284),MATCH(公司各渠道指标可视化!$C$4,公司整体!$1:$1,0),3,1,"公司整体"),TRUE)</f>
        <v>0</v>
      </c>
    </row>
    <row r="1285" spans="1:3" x14ac:dyDescent="0.15">
      <c r="A1285">
        <f>公司整体!A1285</f>
        <v>0</v>
      </c>
      <c r="B1285">
        <f>公司整体!B1285</f>
        <v>0</v>
      </c>
      <c r="C1285">
        <f ca="1">INDIRECT(ADDRESS(ROW(C1285),MATCH(公司各渠道指标可视化!$C$4,公司整体!$1:$1,0),3,1,"公司整体"),TRUE)</f>
        <v>0</v>
      </c>
    </row>
    <row r="1286" spans="1:3" x14ac:dyDescent="0.15">
      <c r="A1286">
        <f>公司整体!A1286</f>
        <v>0</v>
      </c>
      <c r="B1286">
        <f>公司整体!B1286</f>
        <v>0</v>
      </c>
      <c r="C1286">
        <f ca="1">INDIRECT(ADDRESS(ROW(C1286),MATCH(公司各渠道指标可视化!$C$4,公司整体!$1:$1,0),3,1,"公司整体"),TRUE)</f>
        <v>0</v>
      </c>
    </row>
    <row r="1287" spans="1:3" x14ac:dyDescent="0.15">
      <c r="A1287">
        <f>公司整体!A1287</f>
        <v>0</v>
      </c>
      <c r="B1287">
        <f>公司整体!B1287</f>
        <v>0</v>
      </c>
      <c r="C1287">
        <f ca="1">INDIRECT(ADDRESS(ROW(C1287),MATCH(公司各渠道指标可视化!$C$4,公司整体!$1:$1,0),3,1,"公司整体"),TRUE)</f>
        <v>0</v>
      </c>
    </row>
    <row r="1288" spans="1:3" x14ac:dyDescent="0.15">
      <c r="A1288">
        <f>公司整体!A1288</f>
        <v>0</v>
      </c>
      <c r="B1288">
        <f>公司整体!B1288</f>
        <v>0</v>
      </c>
      <c r="C1288">
        <f ca="1">INDIRECT(ADDRESS(ROW(C1288),MATCH(公司各渠道指标可视化!$C$4,公司整体!$1:$1,0),3,1,"公司整体"),TRUE)</f>
        <v>0</v>
      </c>
    </row>
    <row r="1289" spans="1:3" x14ac:dyDescent="0.15">
      <c r="A1289">
        <f>公司整体!A1289</f>
        <v>0</v>
      </c>
      <c r="B1289">
        <f>公司整体!B1289</f>
        <v>0</v>
      </c>
      <c r="C1289">
        <f ca="1">INDIRECT(ADDRESS(ROW(C1289),MATCH(公司各渠道指标可视化!$C$4,公司整体!$1:$1,0),3,1,"公司整体"),TRUE)</f>
        <v>0</v>
      </c>
    </row>
    <row r="1290" spans="1:3" x14ac:dyDescent="0.15">
      <c r="A1290">
        <f>公司整体!A1290</f>
        <v>0</v>
      </c>
      <c r="B1290">
        <f>公司整体!B1290</f>
        <v>0</v>
      </c>
      <c r="C1290">
        <f ca="1">INDIRECT(ADDRESS(ROW(C1290),MATCH(公司各渠道指标可视化!$C$4,公司整体!$1:$1,0),3,1,"公司整体"),TRUE)</f>
        <v>0</v>
      </c>
    </row>
    <row r="1291" spans="1:3" x14ac:dyDescent="0.15">
      <c r="A1291">
        <f>公司整体!A1291</f>
        <v>0</v>
      </c>
      <c r="B1291">
        <f>公司整体!B1291</f>
        <v>0</v>
      </c>
      <c r="C1291">
        <f ca="1">INDIRECT(ADDRESS(ROW(C1291),MATCH(公司各渠道指标可视化!$C$4,公司整体!$1:$1,0),3,1,"公司整体"),TRUE)</f>
        <v>0</v>
      </c>
    </row>
    <row r="1292" spans="1:3" x14ac:dyDescent="0.15">
      <c r="A1292">
        <f>公司整体!A1292</f>
        <v>0</v>
      </c>
      <c r="B1292">
        <f>公司整体!B1292</f>
        <v>0</v>
      </c>
      <c r="C1292">
        <f ca="1">INDIRECT(ADDRESS(ROW(C1292),MATCH(公司各渠道指标可视化!$C$4,公司整体!$1:$1,0),3,1,"公司整体"),TRUE)</f>
        <v>0</v>
      </c>
    </row>
    <row r="1293" spans="1:3" x14ac:dyDescent="0.15">
      <c r="A1293">
        <f>公司整体!A1293</f>
        <v>0</v>
      </c>
      <c r="B1293">
        <f>公司整体!B1293</f>
        <v>0</v>
      </c>
      <c r="C1293">
        <f ca="1">INDIRECT(ADDRESS(ROW(C1293),MATCH(公司各渠道指标可视化!$C$4,公司整体!$1:$1,0),3,1,"公司整体"),TRUE)</f>
        <v>0</v>
      </c>
    </row>
    <row r="1294" spans="1:3" x14ac:dyDescent="0.15">
      <c r="A1294">
        <f>公司整体!A1294</f>
        <v>0</v>
      </c>
      <c r="B1294">
        <f>公司整体!B1294</f>
        <v>0</v>
      </c>
      <c r="C1294">
        <f ca="1">INDIRECT(ADDRESS(ROW(C1294),MATCH(公司各渠道指标可视化!$C$4,公司整体!$1:$1,0),3,1,"公司整体"),TRUE)</f>
        <v>0</v>
      </c>
    </row>
    <row r="1295" spans="1:3" x14ac:dyDescent="0.15">
      <c r="A1295">
        <f>公司整体!A1295</f>
        <v>0</v>
      </c>
      <c r="B1295">
        <f>公司整体!B1295</f>
        <v>0</v>
      </c>
      <c r="C1295">
        <f ca="1">INDIRECT(ADDRESS(ROW(C1295),MATCH(公司各渠道指标可视化!$C$4,公司整体!$1:$1,0),3,1,"公司整体"),TRUE)</f>
        <v>0</v>
      </c>
    </row>
    <row r="1296" spans="1:3" x14ac:dyDescent="0.15">
      <c r="A1296">
        <f>公司整体!A1296</f>
        <v>0</v>
      </c>
      <c r="B1296">
        <f>公司整体!B1296</f>
        <v>0</v>
      </c>
      <c r="C1296">
        <f ca="1">INDIRECT(ADDRESS(ROW(C1296),MATCH(公司各渠道指标可视化!$C$4,公司整体!$1:$1,0),3,1,"公司整体"),TRUE)</f>
        <v>0</v>
      </c>
    </row>
    <row r="1297" spans="1:3" x14ac:dyDescent="0.15">
      <c r="A1297">
        <f>公司整体!A1297</f>
        <v>0</v>
      </c>
      <c r="B1297">
        <f>公司整体!B1297</f>
        <v>0</v>
      </c>
      <c r="C1297">
        <f ca="1">INDIRECT(ADDRESS(ROW(C1297),MATCH(公司各渠道指标可视化!$C$4,公司整体!$1:$1,0),3,1,"公司整体"),TRUE)</f>
        <v>0</v>
      </c>
    </row>
    <row r="1298" spans="1:3" x14ac:dyDescent="0.15">
      <c r="A1298">
        <f>公司整体!A1298</f>
        <v>0</v>
      </c>
      <c r="B1298">
        <f>公司整体!B1298</f>
        <v>0</v>
      </c>
      <c r="C1298">
        <f ca="1">INDIRECT(ADDRESS(ROW(C1298),MATCH(公司各渠道指标可视化!$C$4,公司整体!$1:$1,0),3,1,"公司整体"),TRUE)</f>
        <v>0</v>
      </c>
    </row>
    <row r="1299" spans="1:3" x14ac:dyDescent="0.15">
      <c r="A1299">
        <f>公司整体!A1299</f>
        <v>0</v>
      </c>
      <c r="B1299">
        <f>公司整体!B1299</f>
        <v>0</v>
      </c>
      <c r="C1299">
        <f ca="1">INDIRECT(ADDRESS(ROW(C1299),MATCH(公司各渠道指标可视化!$C$4,公司整体!$1:$1,0),3,1,"公司整体"),TRUE)</f>
        <v>0</v>
      </c>
    </row>
    <row r="1300" spans="1:3" x14ac:dyDescent="0.15">
      <c r="A1300">
        <f>公司整体!A1300</f>
        <v>0</v>
      </c>
      <c r="B1300">
        <f>公司整体!B1300</f>
        <v>0</v>
      </c>
      <c r="C1300">
        <f ca="1">INDIRECT(ADDRESS(ROW(C1300),MATCH(公司各渠道指标可视化!$C$4,公司整体!$1:$1,0),3,1,"公司整体"),TRUE)</f>
        <v>0</v>
      </c>
    </row>
    <row r="1301" spans="1:3" x14ac:dyDescent="0.15">
      <c r="A1301">
        <f>公司整体!A1301</f>
        <v>0</v>
      </c>
      <c r="B1301">
        <f>公司整体!B1301</f>
        <v>0</v>
      </c>
      <c r="C1301">
        <f ca="1">INDIRECT(ADDRESS(ROW(C1301),MATCH(公司各渠道指标可视化!$C$4,公司整体!$1:$1,0),3,1,"公司整体"),TRUE)</f>
        <v>0</v>
      </c>
    </row>
    <row r="1302" spans="1:3" x14ac:dyDescent="0.15">
      <c r="A1302">
        <f>公司整体!A1302</f>
        <v>0</v>
      </c>
      <c r="B1302">
        <f>公司整体!B1302</f>
        <v>0</v>
      </c>
      <c r="C1302">
        <f ca="1">INDIRECT(ADDRESS(ROW(C1302),MATCH(公司各渠道指标可视化!$C$4,公司整体!$1:$1,0),3,1,"公司整体"),TRUE)</f>
        <v>0</v>
      </c>
    </row>
    <row r="1303" spans="1:3" x14ac:dyDescent="0.15">
      <c r="A1303">
        <f>公司整体!A1303</f>
        <v>0</v>
      </c>
      <c r="B1303">
        <f>公司整体!B1303</f>
        <v>0</v>
      </c>
      <c r="C1303">
        <f ca="1">INDIRECT(ADDRESS(ROW(C1303),MATCH(公司各渠道指标可视化!$C$4,公司整体!$1:$1,0),3,1,"公司整体"),TRUE)</f>
        <v>0</v>
      </c>
    </row>
    <row r="1304" spans="1:3" x14ac:dyDescent="0.15">
      <c r="A1304">
        <f>公司整体!A1304</f>
        <v>0</v>
      </c>
      <c r="B1304">
        <f>公司整体!B1304</f>
        <v>0</v>
      </c>
      <c r="C1304">
        <f ca="1">INDIRECT(ADDRESS(ROW(C1304),MATCH(公司各渠道指标可视化!$C$4,公司整体!$1:$1,0),3,1,"公司整体"),TRUE)</f>
        <v>0</v>
      </c>
    </row>
    <row r="1305" spans="1:3" x14ac:dyDescent="0.15">
      <c r="A1305">
        <f>公司整体!A1305</f>
        <v>0</v>
      </c>
      <c r="B1305">
        <f>公司整体!B1305</f>
        <v>0</v>
      </c>
      <c r="C1305">
        <f ca="1">INDIRECT(ADDRESS(ROW(C1305),MATCH(公司各渠道指标可视化!$C$4,公司整体!$1:$1,0),3,1,"公司整体"),TRUE)</f>
        <v>0</v>
      </c>
    </row>
    <row r="1306" spans="1:3" x14ac:dyDescent="0.15">
      <c r="A1306">
        <f>公司整体!A1306</f>
        <v>0</v>
      </c>
      <c r="B1306">
        <f>公司整体!B1306</f>
        <v>0</v>
      </c>
      <c r="C1306">
        <f ca="1">INDIRECT(ADDRESS(ROW(C1306),MATCH(公司各渠道指标可视化!$C$4,公司整体!$1:$1,0),3,1,"公司整体"),TRUE)</f>
        <v>0</v>
      </c>
    </row>
    <row r="1307" spans="1:3" x14ac:dyDescent="0.15">
      <c r="A1307">
        <f>公司整体!A1307</f>
        <v>0</v>
      </c>
      <c r="B1307">
        <f>公司整体!B1307</f>
        <v>0</v>
      </c>
      <c r="C1307">
        <f ca="1">INDIRECT(ADDRESS(ROW(C1307),MATCH(公司各渠道指标可视化!$C$4,公司整体!$1:$1,0),3,1,"公司整体"),TRUE)</f>
        <v>0</v>
      </c>
    </row>
    <row r="1308" spans="1:3" x14ac:dyDescent="0.15">
      <c r="A1308">
        <f>公司整体!A1308</f>
        <v>0</v>
      </c>
      <c r="B1308">
        <f>公司整体!B1308</f>
        <v>0</v>
      </c>
      <c r="C1308">
        <f ca="1">INDIRECT(ADDRESS(ROW(C1308),MATCH(公司各渠道指标可视化!$C$4,公司整体!$1:$1,0),3,1,"公司整体"),TRUE)</f>
        <v>0</v>
      </c>
    </row>
    <row r="1309" spans="1:3" x14ac:dyDescent="0.15">
      <c r="A1309">
        <f>公司整体!A1309</f>
        <v>0</v>
      </c>
      <c r="B1309">
        <f>公司整体!B1309</f>
        <v>0</v>
      </c>
      <c r="C1309">
        <f ca="1">INDIRECT(ADDRESS(ROW(C1309),MATCH(公司各渠道指标可视化!$C$4,公司整体!$1:$1,0),3,1,"公司整体"),TRUE)</f>
        <v>0</v>
      </c>
    </row>
    <row r="1310" spans="1:3" x14ac:dyDescent="0.15">
      <c r="A1310">
        <f>公司整体!A1310</f>
        <v>0</v>
      </c>
      <c r="B1310">
        <f>公司整体!B1310</f>
        <v>0</v>
      </c>
      <c r="C1310">
        <f ca="1">INDIRECT(ADDRESS(ROW(C1310),MATCH(公司各渠道指标可视化!$C$4,公司整体!$1:$1,0),3,1,"公司整体"),TRUE)</f>
        <v>0</v>
      </c>
    </row>
    <row r="1311" spans="1:3" x14ac:dyDescent="0.15">
      <c r="A1311">
        <f>公司整体!A1311</f>
        <v>0</v>
      </c>
      <c r="B1311">
        <f>公司整体!B1311</f>
        <v>0</v>
      </c>
      <c r="C1311">
        <f ca="1">INDIRECT(ADDRESS(ROW(C1311),MATCH(公司各渠道指标可视化!$C$4,公司整体!$1:$1,0),3,1,"公司整体"),TRUE)</f>
        <v>0</v>
      </c>
    </row>
    <row r="1312" spans="1:3" x14ac:dyDescent="0.15">
      <c r="A1312">
        <f>公司整体!A1312</f>
        <v>0</v>
      </c>
      <c r="B1312">
        <f>公司整体!B1312</f>
        <v>0</v>
      </c>
      <c r="C1312">
        <f ca="1">INDIRECT(ADDRESS(ROW(C1312),MATCH(公司各渠道指标可视化!$C$4,公司整体!$1:$1,0),3,1,"公司整体"),TRUE)</f>
        <v>0</v>
      </c>
    </row>
    <row r="1313" spans="1:3" x14ac:dyDescent="0.15">
      <c r="A1313">
        <f>公司整体!A1313</f>
        <v>0</v>
      </c>
      <c r="B1313">
        <f>公司整体!B1313</f>
        <v>0</v>
      </c>
      <c r="C1313">
        <f ca="1">INDIRECT(ADDRESS(ROW(C1313),MATCH(公司各渠道指标可视化!$C$4,公司整体!$1:$1,0),3,1,"公司整体"),TRUE)</f>
        <v>0</v>
      </c>
    </row>
    <row r="1314" spans="1:3" x14ac:dyDescent="0.15">
      <c r="A1314">
        <f>公司整体!A1314</f>
        <v>0</v>
      </c>
      <c r="B1314">
        <f>公司整体!B1314</f>
        <v>0</v>
      </c>
      <c r="C1314">
        <f ca="1">INDIRECT(ADDRESS(ROW(C1314),MATCH(公司各渠道指标可视化!$C$4,公司整体!$1:$1,0),3,1,"公司整体"),TRUE)</f>
        <v>0</v>
      </c>
    </row>
    <row r="1315" spans="1:3" x14ac:dyDescent="0.15">
      <c r="A1315">
        <f>公司整体!A1315</f>
        <v>0</v>
      </c>
      <c r="B1315">
        <f>公司整体!B1315</f>
        <v>0</v>
      </c>
      <c r="C1315">
        <f ca="1">INDIRECT(ADDRESS(ROW(C1315),MATCH(公司各渠道指标可视化!$C$4,公司整体!$1:$1,0),3,1,"公司整体"),TRUE)</f>
        <v>0</v>
      </c>
    </row>
    <row r="1316" spans="1:3" x14ac:dyDescent="0.15">
      <c r="A1316">
        <f>公司整体!A1316</f>
        <v>0</v>
      </c>
      <c r="B1316">
        <f>公司整体!B1316</f>
        <v>0</v>
      </c>
      <c r="C1316">
        <f ca="1">INDIRECT(ADDRESS(ROW(C1316),MATCH(公司各渠道指标可视化!$C$4,公司整体!$1:$1,0),3,1,"公司整体"),TRUE)</f>
        <v>0</v>
      </c>
    </row>
    <row r="1317" spans="1:3" x14ac:dyDescent="0.15">
      <c r="A1317">
        <f>公司整体!A1317</f>
        <v>0</v>
      </c>
      <c r="B1317">
        <f>公司整体!B1317</f>
        <v>0</v>
      </c>
      <c r="C1317">
        <f ca="1">INDIRECT(ADDRESS(ROW(C1317),MATCH(公司各渠道指标可视化!$C$4,公司整体!$1:$1,0),3,1,"公司整体"),TRUE)</f>
        <v>0</v>
      </c>
    </row>
    <row r="1318" spans="1:3" x14ac:dyDescent="0.15">
      <c r="A1318">
        <f>公司整体!A1318</f>
        <v>0</v>
      </c>
      <c r="B1318">
        <f>公司整体!B1318</f>
        <v>0</v>
      </c>
      <c r="C1318">
        <f ca="1">INDIRECT(ADDRESS(ROW(C1318),MATCH(公司各渠道指标可视化!$C$4,公司整体!$1:$1,0),3,1,"公司整体"),TRUE)</f>
        <v>0</v>
      </c>
    </row>
    <row r="1319" spans="1:3" x14ac:dyDescent="0.15">
      <c r="A1319">
        <f>公司整体!A1319</f>
        <v>0</v>
      </c>
      <c r="B1319">
        <f>公司整体!B1319</f>
        <v>0</v>
      </c>
      <c r="C1319">
        <f ca="1">INDIRECT(ADDRESS(ROW(C1319),MATCH(公司各渠道指标可视化!$C$4,公司整体!$1:$1,0),3,1,"公司整体"),TRUE)</f>
        <v>0</v>
      </c>
    </row>
    <row r="1320" spans="1:3" x14ac:dyDescent="0.15">
      <c r="A1320">
        <f>公司整体!A1320</f>
        <v>0</v>
      </c>
      <c r="B1320">
        <f>公司整体!B1320</f>
        <v>0</v>
      </c>
      <c r="C1320">
        <f ca="1">INDIRECT(ADDRESS(ROW(C1320),MATCH(公司各渠道指标可视化!$C$4,公司整体!$1:$1,0),3,1,"公司整体"),TRUE)</f>
        <v>0</v>
      </c>
    </row>
    <row r="1321" spans="1:3" x14ac:dyDescent="0.15">
      <c r="A1321">
        <f>公司整体!A1321</f>
        <v>0</v>
      </c>
      <c r="B1321">
        <f>公司整体!B1321</f>
        <v>0</v>
      </c>
      <c r="C1321">
        <f ca="1">INDIRECT(ADDRESS(ROW(C1321),MATCH(公司各渠道指标可视化!$C$4,公司整体!$1:$1,0),3,1,"公司整体"),TRUE)</f>
        <v>0</v>
      </c>
    </row>
    <row r="1322" spans="1:3" x14ac:dyDescent="0.15">
      <c r="A1322">
        <f>公司整体!A1322</f>
        <v>0</v>
      </c>
      <c r="B1322">
        <f>公司整体!B1322</f>
        <v>0</v>
      </c>
      <c r="C1322">
        <f ca="1">INDIRECT(ADDRESS(ROW(C1322),MATCH(公司各渠道指标可视化!$C$4,公司整体!$1:$1,0),3,1,"公司整体"),TRUE)</f>
        <v>0</v>
      </c>
    </row>
    <row r="1323" spans="1:3" x14ac:dyDescent="0.15">
      <c r="A1323">
        <f>公司整体!A1323</f>
        <v>0</v>
      </c>
      <c r="B1323">
        <f>公司整体!B1323</f>
        <v>0</v>
      </c>
      <c r="C1323">
        <f ca="1">INDIRECT(ADDRESS(ROW(C1323),MATCH(公司各渠道指标可视化!$C$4,公司整体!$1:$1,0),3,1,"公司整体"),TRUE)</f>
        <v>0</v>
      </c>
    </row>
    <row r="1324" spans="1:3" x14ac:dyDescent="0.15">
      <c r="A1324">
        <f>公司整体!A1324</f>
        <v>0</v>
      </c>
      <c r="B1324">
        <f>公司整体!B1324</f>
        <v>0</v>
      </c>
      <c r="C1324">
        <f ca="1">INDIRECT(ADDRESS(ROW(C1324),MATCH(公司各渠道指标可视化!$C$4,公司整体!$1:$1,0),3,1,"公司整体"),TRUE)</f>
        <v>0</v>
      </c>
    </row>
    <row r="1325" spans="1:3" x14ac:dyDescent="0.15">
      <c r="A1325">
        <f>公司整体!A1325</f>
        <v>0</v>
      </c>
      <c r="B1325">
        <f>公司整体!B1325</f>
        <v>0</v>
      </c>
      <c r="C1325">
        <f ca="1">INDIRECT(ADDRESS(ROW(C1325),MATCH(公司各渠道指标可视化!$C$4,公司整体!$1:$1,0),3,1,"公司整体"),TRUE)</f>
        <v>0</v>
      </c>
    </row>
    <row r="1326" spans="1:3" x14ac:dyDescent="0.15">
      <c r="A1326">
        <f>公司整体!A1326</f>
        <v>0</v>
      </c>
      <c r="B1326">
        <f>公司整体!B1326</f>
        <v>0</v>
      </c>
      <c r="C1326">
        <f ca="1">INDIRECT(ADDRESS(ROW(C1326),MATCH(公司各渠道指标可视化!$C$4,公司整体!$1:$1,0),3,1,"公司整体"),TRUE)</f>
        <v>0</v>
      </c>
    </row>
    <row r="1327" spans="1:3" x14ac:dyDescent="0.15">
      <c r="A1327">
        <f>公司整体!A1327</f>
        <v>0</v>
      </c>
      <c r="B1327">
        <f>公司整体!B1327</f>
        <v>0</v>
      </c>
      <c r="C1327">
        <f ca="1">INDIRECT(ADDRESS(ROW(C1327),MATCH(公司各渠道指标可视化!$C$4,公司整体!$1:$1,0),3,1,"公司整体"),TRUE)</f>
        <v>0</v>
      </c>
    </row>
    <row r="1328" spans="1:3" x14ac:dyDescent="0.15">
      <c r="A1328">
        <f>公司整体!A1328</f>
        <v>0</v>
      </c>
      <c r="B1328">
        <f>公司整体!B1328</f>
        <v>0</v>
      </c>
      <c r="C1328">
        <f ca="1">INDIRECT(ADDRESS(ROW(C1328),MATCH(公司各渠道指标可视化!$C$4,公司整体!$1:$1,0),3,1,"公司整体"),TRUE)</f>
        <v>0</v>
      </c>
    </row>
    <row r="1329" spans="1:3" x14ac:dyDescent="0.15">
      <c r="A1329">
        <f>公司整体!A1329</f>
        <v>0</v>
      </c>
      <c r="B1329">
        <f>公司整体!B1329</f>
        <v>0</v>
      </c>
      <c r="C1329">
        <f ca="1">INDIRECT(ADDRESS(ROW(C1329),MATCH(公司各渠道指标可视化!$C$4,公司整体!$1:$1,0),3,1,"公司整体"),TRUE)</f>
        <v>0</v>
      </c>
    </row>
    <row r="1330" spans="1:3" x14ac:dyDescent="0.15">
      <c r="A1330">
        <f>公司整体!A1330</f>
        <v>0</v>
      </c>
      <c r="B1330">
        <f>公司整体!B1330</f>
        <v>0</v>
      </c>
      <c r="C1330">
        <f ca="1">INDIRECT(ADDRESS(ROW(C1330),MATCH(公司各渠道指标可视化!$C$4,公司整体!$1:$1,0),3,1,"公司整体"),TRUE)</f>
        <v>0</v>
      </c>
    </row>
    <row r="1331" spans="1:3" x14ac:dyDescent="0.15">
      <c r="A1331">
        <f>公司整体!A1331</f>
        <v>0</v>
      </c>
      <c r="B1331">
        <f>公司整体!B1331</f>
        <v>0</v>
      </c>
      <c r="C1331">
        <f ca="1">INDIRECT(ADDRESS(ROW(C1331),MATCH(公司各渠道指标可视化!$C$4,公司整体!$1:$1,0),3,1,"公司整体"),TRUE)</f>
        <v>0</v>
      </c>
    </row>
    <row r="1332" spans="1:3" x14ac:dyDescent="0.15">
      <c r="A1332">
        <f>公司整体!A1332</f>
        <v>0</v>
      </c>
      <c r="B1332">
        <f>公司整体!B1332</f>
        <v>0</v>
      </c>
      <c r="C1332">
        <f ca="1">INDIRECT(ADDRESS(ROW(C1332),MATCH(公司各渠道指标可视化!$C$4,公司整体!$1:$1,0),3,1,"公司整体"),TRUE)</f>
        <v>0</v>
      </c>
    </row>
    <row r="1333" spans="1:3" x14ac:dyDescent="0.15">
      <c r="A1333">
        <f>公司整体!A1333</f>
        <v>0</v>
      </c>
      <c r="B1333">
        <f>公司整体!B1333</f>
        <v>0</v>
      </c>
      <c r="C1333">
        <f ca="1">INDIRECT(ADDRESS(ROW(C1333),MATCH(公司各渠道指标可视化!$C$4,公司整体!$1:$1,0),3,1,"公司整体"),TRUE)</f>
        <v>0</v>
      </c>
    </row>
    <row r="1334" spans="1:3" x14ac:dyDescent="0.15">
      <c r="A1334">
        <f>公司整体!A1334</f>
        <v>0</v>
      </c>
      <c r="B1334">
        <f>公司整体!B1334</f>
        <v>0</v>
      </c>
      <c r="C1334">
        <f ca="1">INDIRECT(ADDRESS(ROW(C1334),MATCH(公司各渠道指标可视化!$C$4,公司整体!$1:$1,0),3,1,"公司整体"),TRUE)</f>
        <v>0</v>
      </c>
    </row>
    <row r="1335" spans="1:3" x14ac:dyDescent="0.15">
      <c r="A1335">
        <f>公司整体!A1335</f>
        <v>0</v>
      </c>
      <c r="B1335">
        <f>公司整体!B1335</f>
        <v>0</v>
      </c>
      <c r="C1335">
        <f ca="1">INDIRECT(ADDRESS(ROW(C1335),MATCH(公司各渠道指标可视化!$C$4,公司整体!$1:$1,0),3,1,"公司整体"),TRUE)</f>
        <v>0</v>
      </c>
    </row>
    <row r="1336" spans="1:3" x14ac:dyDescent="0.15">
      <c r="A1336">
        <f>公司整体!A1336</f>
        <v>0</v>
      </c>
      <c r="B1336">
        <f>公司整体!B1336</f>
        <v>0</v>
      </c>
      <c r="C1336">
        <f ca="1">INDIRECT(ADDRESS(ROW(C1336),MATCH(公司各渠道指标可视化!$C$4,公司整体!$1:$1,0),3,1,"公司整体"),TRUE)</f>
        <v>0</v>
      </c>
    </row>
    <row r="1337" spans="1:3" x14ac:dyDescent="0.15">
      <c r="A1337">
        <f>公司整体!A1337</f>
        <v>0</v>
      </c>
      <c r="B1337">
        <f>公司整体!B1337</f>
        <v>0</v>
      </c>
      <c r="C1337">
        <f ca="1">INDIRECT(ADDRESS(ROW(C1337),MATCH(公司各渠道指标可视化!$C$4,公司整体!$1:$1,0),3,1,"公司整体"),TRUE)</f>
        <v>0</v>
      </c>
    </row>
    <row r="1338" spans="1:3" x14ac:dyDescent="0.15">
      <c r="A1338">
        <f>公司整体!A1338</f>
        <v>0</v>
      </c>
      <c r="B1338">
        <f>公司整体!B1338</f>
        <v>0</v>
      </c>
      <c r="C1338">
        <f ca="1">INDIRECT(ADDRESS(ROW(C1338),MATCH(公司各渠道指标可视化!$C$4,公司整体!$1:$1,0),3,1,"公司整体"),TRUE)</f>
        <v>0</v>
      </c>
    </row>
    <row r="1339" spans="1:3" x14ac:dyDescent="0.15">
      <c r="A1339">
        <f>公司整体!A1339</f>
        <v>0</v>
      </c>
      <c r="B1339">
        <f>公司整体!B1339</f>
        <v>0</v>
      </c>
      <c r="C1339">
        <f ca="1">INDIRECT(ADDRESS(ROW(C1339),MATCH(公司各渠道指标可视化!$C$4,公司整体!$1:$1,0),3,1,"公司整体"),TRUE)</f>
        <v>0</v>
      </c>
    </row>
    <row r="1340" spans="1:3" x14ac:dyDescent="0.15">
      <c r="A1340">
        <f>公司整体!A1340</f>
        <v>0</v>
      </c>
      <c r="B1340">
        <f>公司整体!B1340</f>
        <v>0</v>
      </c>
      <c r="C1340">
        <f ca="1">INDIRECT(ADDRESS(ROW(C1340),MATCH(公司各渠道指标可视化!$C$4,公司整体!$1:$1,0),3,1,"公司整体"),TRUE)</f>
        <v>0</v>
      </c>
    </row>
    <row r="1341" spans="1:3" x14ac:dyDescent="0.15">
      <c r="A1341">
        <f>公司整体!A1341</f>
        <v>0</v>
      </c>
      <c r="B1341">
        <f>公司整体!B1341</f>
        <v>0</v>
      </c>
      <c r="C1341">
        <f ca="1">INDIRECT(ADDRESS(ROW(C1341),MATCH(公司各渠道指标可视化!$C$4,公司整体!$1:$1,0),3,1,"公司整体"),TRUE)</f>
        <v>0</v>
      </c>
    </row>
    <row r="1342" spans="1:3" x14ac:dyDescent="0.15">
      <c r="A1342">
        <f>公司整体!A1342</f>
        <v>0</v>
      </c>
      <c r="B1342">
        <f>公司整体!B1342</f>
        <v>0</v>
      </c>
      <c r="C1342">
        <f ca="1">INDIRECT(ADDRESS(ROW(C1342),MATCH(公司各渠道指标可视化!$C$4,公司整体!$1:$1,0),3,1,"公司整体"),TRUE)</f>
        <v>0</v>
      </c>
    </row>
    <row r="1343" spans="1:3" x14ac:dyDescent="0.15">
      <c r="A1343">
        <f>公司整体!A1343</f>
        <v>0</v>
      </c>
      <c r="B1343">
        <f>公司整体!B1343</f>
        <v>0</v>
      </c>
      <c r="C1343">
        <f ca="1">INDIRECT(ADDRESS(ROW(C1343),MATCH(公司各渠道指标可视化!$C$4,公司整体!$1:$1,0),3,1,"公司整体"),TRUE)</f>
        <v>0</v>
      </c>
    </row>
    <row r="1344" spans="1:3" x14ac:dyDescent="0.15">
      <c r="A1344">
        <f>公司整体!A1344</f>
        <v>0</v>
      </c>
      <c r="B1344">
        <f>公司整体!B1344</f>
        <v>0</v>
      </c>
      <c r="C1344">
        <f ca="1">INDIRECT(ADDRESS(ROW(C1344),MATCH(公司各渠道指标可视化!$C$4,公司整体!$1:$1,0),3,1,"公司整体"),TRUE)</f>
        <v>0</v>
      </c>
    </row>
    <row r="1345" spans="1:3" x14ac:dyDescent="0.15">
      <c r="A1345">
        <f>公司整体!A1345</f>
        <v>0</v>
      </c>
      <c r="B1345">
        <f>公司整体!B1345</f>
        <v>0</v>
      </c>
      <c r="C1345">
        <f ca="1">INDIRECT(ADDRESS(ROW(C1345),MATCH(公司各渠道指标可视化!$C$4,公司整体!$1:$1,0),3,1,"公司整体"),TRUE)</f>
        <v>0</v>
      </c>
    </row>
    <row r="1346" spans="1:3" x14ac:dyDescent="0.15">
      <c r="A1346">
        <f>公司整体!A1346</f>
        <v>0</v>
      </c>
      <c r="B1346">
        <f>公司整体!B1346</f>
        <v>0</v>
      </c>
      <c r="C1346">
        <f ca="1">INDIRECT(ADDRESS(ROW(C1346),MATCH(公司各渠道指标可视化!$C$4,公司整体!$1:$1,0),3,1,"公司整体"),TRUE)</f>
        <v>0</v>
      </c>
    </row>
    <row r="1347" spans="1:3" x14ac:dyDescent="0.15">
      <c r="A1347">
        <f>公司整体!A1347</f>
        <v>0</v>
      </c>
      <c r="B1347">
        <f>公司整体!B1347</f>
        <v>0</v>
      </c>
      <c r="C1347">
        <f ca="1">INDIRECT(ADDRESS(ROW(C1347),MATCH(公司各渠道指标可视化!$C$4,公司整体!$1:$1,0),3,1,"公司整体"),TRUE)</f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CB600"/>
  <sheetViews>
    <sheetView workbookViewId="0">
      <selection sqref="A1:XFD1048576"/>
    </sheetView>
  </sheetViews>
  <sheetFormatPr defaultRowHeight="16.5" x14ac:dyDescent="0.15"/>
  <cols>
    <col min="1" max="1" width="2.5" style="16" customWidth="1"/>
    <col min="2" max="2" width="9.125" style="16" customWidth="1"/>
    <col min="3" max="10" width="9.125" style="16" hidden="1" customWidth="1"/>
    <col min="11" max="11" width="9.125" style="16" customWidth="1"/>
    <col min="12" max="16" width="9.125" style="16" hidden="1" customWidth="1"/>
    <col min="17" max="80" width="9.125" style="16" customWidth="1"/>
    <col min="81" max="16384" width="9" style="16"/>
  </cols>
  <sheetData>
    <row r="1" spans="2:80" ht="15" customHeight="1" x14ac:dyDescent="0.15">
      <c r="B1" s="16" t="s">
        <v>158</v>
      </c>
      <c r="R1" s="16" t="s">
        <v>153</v>
      </c>
      <c r="AH1" s="16" t="s">
        <v>152</v>
      </c>
      <c r="AX1" s="16" t="s">
        <v>154</v>
      </c>
      <c r="BM1" s="16" t="s">
        <v>155</v>
      </c>
    </row>
    <row r="2" spans="2:80" ht="15" customHeight="1" x14ac:dyDescent="0.15">
      <c r="B2" s="4" t="str">
        <f ca="1">图表数据!E1</f>
        <v>非中短存续期趸缴</v>
      </c>
      <c r="C2" s="4" t="str">
        <f>图表数据!F1</f>
        <v>东莞</v>
      </c>
      <c r="D2" s="4" t="str">
        <f>图表数据!G1</f>
        <v>佛山</v>
      </c>
      <c r="E2" s="4" t="str">
        <f>图表数据!H1</f>
        <v>广东</v>
      </c>
      <c r="F2" s="4" t="str">
        <f>图表数据!I1</f>
        <v>广州</v>
      </c>
      <c r="G2" s="4" t="str">
        <f>图表数据!J1</f>
        <v>湖北</v>
      </c>
      <c r="H2" s="4" t="str">
        <f>图表数据!K1</f>
        <v>江苏</v>
      </c>
      <c r="I2" s="4" t="str">
        <f>图表数据!L1</f>
        <v>山东</v>
      </c>
      <c r="J2" s="4" t="str">
        <f>图表数据!M1</f>
        <v>上海</v>
      </c>
      <c r="K2" s="4" t="str">
        <f>图表数据!N1</f>
        <v>深圳</v>
      </c>
      <c r="L2" s="4" t="str">
        <f>图表数据!O1</f>
        <v>四川</v>
      </c>
      <c r="M2" s="4" t="str">
        <f>图表数据!P1</f>
        <v>苏州</v>
      </c>
      <c r="N2" s="4" t="str">
        <f>图表数据!Q1</f>
        <v>中山</v>
      </c>
      <c r="O2" s="4" t="str">
        <f>图表数据!R1</f>
        <v>珠海</v>
      </c>
      <c r="P2" s="4" t="str">
        <f>图表数据!S1</f>
        <v>机构</v>
      </c>
      <c r="R2" s="4" t="str">
        <f ca="1">图表数据!E1</f>
        <v>非中短存续期趸缴</v>
      </c>
      <c r="S2" s="4" t="str">
        <f>图表数据!F1</f>
        <v>东莞</v>
      </c>
      <c r="T2" s="4" t="str">
        <f>图表数据!G1</f>
        <v>佛山</v>
      </c>
      <c r="U2" s="4" t="str">
        <f>图表数据!H1</f>
        <v>广东</v>
      </c>
      <c r="V2" s="4" t="str">
        <f>图表数据!I1</f>
        <v>广州</v>
      </c>
      <c r="W2" s="4" t="str">
        <f>图表数据!J1</f>
        <v>湖北</v>
      </c>
      <c r="X2" s="4" t="str">
        <f>图表数据!K1</f>
        <v>江苏</v>
      </c>
      <c r="Y2" s="4" t="str">
        <f>图表数据!L1</f>
        <v>山东</v>
      </c>
      <c r="Z2" s="4" t="str">
        <f>图表数据!M1</f>
        <v>上海</v>
      </c>
      <c r="AA2" s="4" t="str">
        <f>图表数据!N1</f>
        <v>深圳</v>
      </c>
      <c r="AB2" s="4" t="str">
        <f>图表数据!O1</f>
        <v>四川</v>
      </c>
      <c r="AC2" s="4" t="str">
        <f>图表数据!P1</f>
        <v>苏州</v>
      </c>
      <c r="AD2" s="4" t="str">
        <f>图表数据!Q1</f>
        <v>中山</v>
      </c>
      <c r="AE2" s="4" t="str">
        <f>图表数据!R1</f>
        <v>珠海</v>
      </c>
      <c r="AF2" s="4" t="str">
        <f>图表数据!S1</f>
        <v>机构</v>
      </c>
      <c r="AH2" s="4" t="s">
        <v>5</v>
      </c>
      <c r="AI2" s="4" t="s">
        <v>48</v>
      </c>
      <c r="AJ2" s="4" t="s">
        <v>50</v>
      </c>
      <c r="AK2" s="4" t="s">
        <v>51</v>
      </c>
      <c r="AL2" s="4" t="s">
        <v>52</v>
      </c>
      <c r="AM2" s="4" t="s">
        <v>53</v>
      </c>
      <c r="AN2" s="4" t="s">
        <v>54</v>
      </c>
      <c r="AO2" s="4" t="s">
        <v>55</v>
      </c>
      <c r="AP2" s="4" t="s">
        <v>56</v>
      </c>
      <c r="AQ2" s="4" t="s">
        <v>57</v>
      </c>
      <c r="AR2" s="4" t="s">
        <v>58</v>
      </c>
      <c r="AS2" s="4" t="s">
        <v>59</v>
      </c>
      <c r="AT2" s="4" t="s">
        <v>60</v>
      </c>
      <c r="AU2" s="4" t="s">
        <v>61</v>
      </c>
      <c r="AV2" s="4" t="s">
        <v>0</v>
      </c>
      <c r="AX2" s="4" t="s">
        <v>5</v>
      </c>
      <c r="AY2" s="4" t="s">
        <v>48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4" t="s">
        <v>59</v>
      </c>
      <c r="BJ2" s="4" t="s">
        <v>60</v>
      </c>
      <c r="BK2" s="4" t="s">
        <v>61</v>
      </c>
      <c r="BL2" s="4" t="s">
        <v>0</v>
      </c>
      <c r="BN2" s="40" t="s">
        <v>5</v>
      </c>
      <c r="BO2" s="40" t="s">
        <v>48</v>
      </c>
      <c r="BP2" s="4" t="s">
        <v>50</v>
      </c>
      <c r="BQ2" s="4" t="s">
        <v>51</v>
      </c>
      <c r="BR2" s="4" t="s">
        <v>52</v>
      </c>
      <c r="BS2" s="4" t="s">
        <v>53</v>
      </c>
      <c r="BT2" s="4" t="s">
        <v>54</v>
      </c>
      <c r="BU2" s="4" t="s">
        <v>55</v>
      </c>
      <c r="BV2" s="4" t="s">
        <v>56</v>
      </c>
      <c r="BW2" s="4" t="s">
        <v>57</v>
      </c>
      <c r="BX2" s="4" t="s">
        <v>58</v>
      </c>
      <c r="BY2" s="4" t="s">
        <v>59</v>
      </c>
      <c r="BZ2" s="4" t="s">
        <v>60</v>
      </c>
      <c r="CA2" s="4" t="s">
        <v>61</v>
      </c>
      <c r="CB2" s="4" t="s">
        <v>0</v>
      </c>
    </row>
    <row r="3" spans="2:80" ht="15" hidden="1" customHeight="1" x14ac:dyDescent="0.15">
      <c r="B3" s="4" t="str">
        <f ca="1">图表数据!E2</f>
        <v>2012-06</v>
      </c>
      <c r="C3" s="24">
        <v>0</v>
      </c>
      <c r="D3" s="24">
        <v>0</v>
      </c>
      <c r="E3" s="24">
        <v>0</v>
      </c>
      <c r="F3" s="24">
        <v>0</v>
      </c>
      <c r="G3" s="24">
        <v>0</v>
      </c>
      <c r="H3" s="24">
        <v>0</v>
      </c>
      <c r="I3" s="24">
        <v>0</v>
      </c>
      <c r="J3" s="24">
        <v>0</v>
      </c>
      <c r="K3" s="24">
        <v>0</v>
      </c>
      <c r="L3" s="24">
        <v>0</v>
      </c>
      <c r="M3" s="24">
        <v>0</v>
      </c>
      <c r="N3" s="24">
        <v>0</v>
      </c>
      <c r="O3" s="24">
        <v>0</v>
      </c>
      <c r="P3" s="24">
        <v>0</v>
      </c>
      <c r="R3" s="4" t="str">
        <f ca="1">图表数据!E2</f>
        <v>2012-06</v>
      </c>
      <c r="S3" s="4">
        <f ca="1">图表数据!F2</f>
        <v>0</v>
      </c>
      <c r="T3" s="4">
        <f ca="1">图表数据!G2</f>
        <v>0</v>
      </c>
      <c r="U3" s="4">
        <f ca="1">图表数据!H2</f>
        <v>0</v>
      </c>
      <c r="V3" s="4">
        <f ca="1">图表数据!I2</f>
        <v>0</v>
      </c>
      <c r="W3" s="4">
        <f ca="1">图表数据!J2</f>
        <v>0</v>
      </c>
      <c r="X3" s="4">
        <f ca="1">图表数据!K2</f>
        <v>0</v>
      </c>
      <c r="Y3" s="4">
        <f ca="1">图表数据!L2</f>
        <v>0</v>
      </c>
      <c r="Z3" s="4">
        <f ca="1">图表数据!M2</f>
        <v>0</v>
      </c>
      <c r="AA3" s="4">
        <f ca="1">图表数据!N2</f>
        <v>0</v>
      </c>
      <c r="AB3" s="4">
        <f ca="1">图表数据!O2</f>
        <v>0</v>
      </c>
      <c r="AC3" s="4">
        <f ca="1">图表数据!P2</f>
        <v>0</v>
      </c>
      <c r="AD3" s="4">
        <f ca="1">图表数据!Q2</f>
        <v>0</v>
      </c>
      <c r="AE3" s="4">
        <f ca="1">图表数据!R2</f>
        <v>0</v>
      </c>
      <c r="AF3" s="4">
        <f ca="1">图表数据!S2</f>
        <v>0</v>
      </c>
      <c r="AH3" s="4" t="str">
        <f ca="1">R3</f>
        <v>2012-06</v>
      </c>
      <c r="AI3" s="22" t="s">
        <v>157</v>
      </c>
      <c r="AJ3" s="22" t="s">
        <v>157</v>
      </c>
      <c r="AK3" s="22" t="s">
        <v>157</v>
      </c>
      <c r="AL3" s="22" t="s">
        <v>157</v>
      </c>
      <c r="AM3" s="22" t="s">
        <v>157</v>
      </c>
      <c r="AN3" s="22" t="s">
        <v>157</v>
      </c>
      <c r="AO3" s="22" t="s">
        <v>157</v>
      </c>
      <c r="AP3" s="22" t="s">
        <v>157</v>
      </c>
      <c r="AQ3" s="22" t="s">
        <v>157</v>
      </c>
      <c r="AR3" s="22" t="s">
        <v>157</v>
      </c>
      <c r="AS3" s="22" t="s">
        <v>157</v>
      </c>
      <c r="AT3" s="22" t="s">
        <v>157</v>
      </c>
      <c r="AU3" s="22" t="s">
        <v>157</v>
      </c>
      <c r="AV3" s="22" t="s">
        <v>157</v>
      </c>
      <c r="AX3" s="4" t="str">
        <f ca="1">R3</f>
        <v>2012-06</v>
      </c>
      <c r="AY3" s="22" t="s">
        <v>157</v>
      </c>
      <c r="AZ3" s="22" t="s">
        <v>156</v>
      </c>
      <c r="BA3" s="22" t="s">
        <v>156</v>
      </c>
      <c r="BB3" s="22" t="s">
        <v>156</v>
      </c>
      <c r="BC3" s="22" t="s">
        <v>156</v>
      </c>
      <c r="BD3" s="22" t="s">
        <v>156</v>
      </c>
      <c r="BE3" s="22" t="s">
        <v>156</v>
      </c>
      <c r="BF3" s="22" t="s">
        <v>156</v>
      </c>
      <c r="BG3" s="22" t="s">
        <v>156</v>
      </c>
      <c r="BH3" s="22" t="s">
        <v>156</v>
      </c>
      <c r="BI3" s="22" t="s">
        <v>156</v>
      </c>
      <c r="BJ3" s="22" t="s">
        <v>156</v>
      </c>
      <c r="BK3" s="22" t="s">
        <v>156</v>
      </c>
      <c r="BL3" s="22" t="s">
        <v>156</v>
      </c>
      <c r="BN3" s="40" t="str">
        <f ca="1">R3</f>
        <v>2012-06</v>
      </c>
      <c r="BO3" s="23" t="e">
        <f t="shared" ref="BO3:CB3" ca="1" si="0">S3/$AF3</f>
        <v>#DIV/0!</v>
      </c>
      <c r="BP3" s="22" t="e">
        <f t="shared" ca="1" si="0"/>
        <v>#DIV/0!</v>
      </c>
      <c r="BQ3" s="22" t="e">
        <f t="shared" ca="1" si="0"/>
        <v>#DIV/0!</v>
      </c>
      <c r="BR3" s="22" t="e">
        <f t="shared" ca="1" si="0"/>
        <v>#DIV/0!</v>
      </c>
      <c r="BS3" s="22" t="e">
        <f t="shared" ca="1" si="0"/>
        <v>#DIV/0!</v>
      </c>
      <c r="BT3" s="22" t="e">
        <f t="shared" ca="1" si="0"/>
        <v>#DIV/0!</v>
      </c>
      <c r="BU3" s="22" t="e">
        <f t="shared" ca="1" si="0"/>
        <v>#DIV/0!</v>
      </c>
      <c r="BV3" s="22" t="e">
        <f t="shared" ca="1" si="0"/>
        <v>#DIV/0!</v>
      </c>
      <c r="BW3" s="22" t="e">
        <f t="shared" ca="1" si="0"/>
        <v>#DIV/0!</v>
      </c>
      <c r="BX3" s="22" t="e">
        <f t="shared" ca="1" si="0"/>
        <v>#DIV/0!</v>
      </c>
      <c r="BY3" s="22" t="e">
        <f t="shared" ca="1" si="0"/>
        <v>#DIV/0!</v>
      </c>
      <c r="BZ3" s="22" t="e">
        <f t="shared" ca="1" si="0"/>
        <v>#DIV/0!</v>
      </c>
      <c r="CA3" s="22" t="e">
        <f t="shared" ca="1" si="0"/>
        <v>#DIV/0!</v>
      </c>
      <c r="CB3" s="22" t="e">
        <f t="shared" ca="1" si="0"/>
        <v>#DIV/0!</v>
      </c>
    </row>
    <row r="4" spans="2:80" ht="15" hidden="1" customHeight="1" x14ac:dyDescent="0.15">
      <c r="B4" s="4" t="str">
        <f ca="1">图表数据!E3</f>
        <v>2012-07</v>
      </c>
      <c r="C4" s="24">
        <v>0</v>
      </c>
      <c r="D4" s="24">
        <v>0</v>
      </c>
      <c r="E4" s="24">
        <v>0</v>
      </c>
      <c r="F4" s="24">
        <v>0</v>
      </c>
      <c r="G4" s="24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4">
        <v>0</v>
      </c>
      <c r="N4" s="24">
        <v>0</v>
      </c>
      <c r="O4" s="24">
        <v>0</v>
      </c>
      <c r="P4" s="24">
        <v>0</v>
      </c>
      <c r="R4" s="4" t="str">
        <f ca="1">图表数据!E3</f>
        <v>2012-07</v>
      </c>
      <c r="S4" s="4">
        <f ca="1">图表数据!F3</f>
        <v>0</v>
      </c>
      <c r="T4" s="4">
        <f ca="1">图表数据!G3</f>
        <v>0</v>
      </c>
      <c r="U4" s="4">
        <f ca="1">图表数据!H3</f>
        <v>0</v>
      </c>
      <c r="V4" s="4">
        <f ca="1">图表数据!I3</f>
        <v>0</v>
      </c>
      <c r="W4" s="4">
        <f ca="1">图表数据!J3</f>
        <v>0</v>
      </c>
      <c r="X4" s="4">
        <f ca="1">图表数据!K3</f>
        <v>0</v>
      </c>
      <c r="Y4" s="4">
        <f ca="1">图表数据!L3</f>
        <v>0</v>
      </c>
      <c r="Z4" s="4">
        <f ca="1">图表数据!M3</f>
        <v>0</v>
      </c>
      <c r="AA4" s="4">
        <f ca="1">图表数据!N3</f>
        <v>0</v>
      </c>
      <c r="AB4" s="4">
        <f ca="1">图表数据!O3</f>
        <v>0</v>
      </c>
      <c r="AC4" s="4">
        <f ca="1">图表数据!P3</f>
        <v>0</v>
      </c>
      <c r="AD4" s="4">
        <f ca="1">图表数据!Q3</f>
        <v>0</v>
      </c>
      <c r="AE4" s="4">
        <f ca="1">图表数据!R3</f>
        <v>0</v>
      </c>
      <c r="AF4" s="4">
        <f ca="1">图表数据!S3</f>
        <v>0</v>
      </c>
      <c r="AH4" s="4" t="str">
        <f t="shared" ref="AH4:AH67" ca="1" si="1">R4</f>
        <v>2012-07</v>
      </c>
      <c r="AI4" s="22" t="s">
        <v>157</v>
      </c>
      <c r="AJ4" s="22" t="s">
        <v>157</v>
      </c>
      <c r="AK4" s="22" t="s">
        <v>157</v>
      </c>
      <c r="AL4" s="22" t="s">
        <v>157</v>
      </c>
      <c r="AM4" s="22" t="s">
        <v>157</v>
      </c>
      <c r="AN4" s="22" t="s">
        <v>157</v>
      </c>
      <c r="AO4" s="22" t="s">
        <v>157</v>
      </c>
      <c r="AP4" s="22" t="s">
        <v>157</v>
      </c>
      <c r="AQ4" s="22" t="s">
        <v>157</v>
      </c>
      <c r="AR4" s="22" t="s">
        <v>157</v>
      </c>
      <c r="AS4" s="22" t="s">
        <v>157</v>
      </c>
      <c r="AT4" s="22" t="s">
        <v>157</v>
      </c>
      <c r="AU4" s="22" t="s">
        <v>157</v>
      </c>
      <c r="AV4" s="22" t="s">
        <v>157</v>
      </c>
      <c r="AX4" s="4" t="str">
        <f t="shared" ref="AX4:AX67" ca="1" si="2">R4</f>
        <v>2012-07</v>
      </c>
      <c r="AY4" s="22" t="e">
        <f ca="1">S4/S3-1</f>
        <v>#DIV/0!</v>
      </c>
      <c r="AZ4" s="22" t="e">
        <f t="shared" ref="AZ4:AZ67" ca="1" si="3">T4/T3-1</f>
        <v>#DIV/0!</v>
      </c>
      <c r="BA4" s="22" t="e">
        <f t="shared" ref="BA4:BA67" ca="1" si="4">U4/U3-1</f>
        <v>#DIV/0!</v>
      </c>
      <c r="BB4" s="22" t="e">
        <f t="shared" ref="BB4:BB67" ca="1" si="5">V4/V3-1</f>
        <v>#DIV/0!</v>
      </c>
      <c r="BC4" s="22" t="e">
        <f t="shared" ref="BC4:BC67" ca="1" si="6">W4/W3-1</f>
        <v>#DIV/0!</v>
      </c>
      <c r="BD4" s="22" t="e">
        <f t="shared" ref="BD4:BD67" ca="1" si="7">X4/X3-1</f>
        <v>#DIV/0!</v>
      </c>
      <c r="BE4" s="22" t="e">
        <f t="shared" ref="BE4:BE67" ca="1" si="8">Y4/Y3-1</f>
        <v>#DIV/0!</v>
      </c>
      <c r="BF4" s="22" t="e">
        <f t="shared" ref="BF4:BF67" ca="1" si="9">Z4/Z3-1</f>
        <v>#DIV/0!</v>
      </c>
      <c r="BG4" s="22" t="e">
        <f t="shared" ref="BG4:BG67" ca="1" si="10">AA4/AA3-1</f>
        <v>#DIV/0!</v>
      </c>
      <c r="BH4" s="22" t="e">
        <f t="shared" ref="BH4:BH67" ca="1" si="11">AB4/AB3-1</f>
        <v>#DIV/0!</v>
      </c>
      <c r="BI4" s="22" t="e">
        <f t="shared" ref="BI4:BI67" ca="1" si="12">AC4/AC3-1</f>
        <v>#DIV/0!</v>
      </c>
      <c r="BJ4" s="22" t="e">
        <f t="shared" ref="BJ4:BJ67" ca="1" si="13">AD4/AD3-1</f>
        <v>#DIV/0!</v>
      </c>
      <c r="BK4" s="22" t="e">
        <f t="shared" ref="BK4:BK67" ca="1" si="14">AE4/AE3-1</f>
        <v>#DIV/0!</v>
      </c>
      <c r="BL4" s="22" t="e">
        <f t="shared" ref="BL4:BL67" ca="1" si="15">AF4/AF3-1</f>
        <v>#DIV/0!</v>
      </c>
      <c r="BN4" s="4" t="str">
        <f t="shared" ref="BN4:BN67" ca="1" si="16">R4</f>
        <v>2012-07</v>
      </c>
      <c r="BO4" s="22" t="e">
        <f t="shared" ref="BO4:BO67" ca="1" si="17">S4/$AF4</f>
        <v>#DIV/0!</v>
      </c>
      <c r="BP4" s="22" t="e">
        <f t="shared" ref="BP4:BP67" ca="1" si="18">T4/$AF4</f>
        <v>#DIV/0!</v>
      </c>
      <c r="BQ4" s="22" t="e">
        <f t="shared" ref="BQ4:BQ67" ca="1" si="19">U4/$AF4</f>
        <v>#DIV/0!</v>
      </c>
      <c r="BR4" s="22" t="e">
        <f t="shared" ref="BR4:BR67" ca="1" si="20">V4/$AF4</f>
        <v>#DIV/0!</v>
      </c>
      <c r="BS4" s="22" t="e">
        <f t="shared" ref="BS4:BS67" ca="1" si="21">W4/$AF4</f>
        <v>#DIV/0!</v>
      </c>
      <c r="BT4" s="22" t="e">
        <f t="shared" ref="BT4:BT67" ca="1" si="22">X4/$AF4</f>
        <v>#DIV/0!</v>
      </c>
      <c r="BU4" s="22" t="e">
        <f t="shared" ref="BU4:BU67" ca="1" si="23">Y4/$AF4</f>
        <v>#DIV/0!</v>
      </c>
      <c r="BV4" s="22" t="e">
        <f t="shared" ref="BV4:BV67" ca="1" si="24">Z4/$AF4</f>
        <v>#DIV/0!</v>
      </c>
      <c r="BW4" s="22" t="e">
        <f t="shared" ref="BW4:BW67" ca="1" si="25">AA4/$AF4</f>
        <v>#DIV/0!</v>
      </c>
      <c r="BX4" s="22" t="e">
        <f t="shared" ref="BX4:BX67" ca="1" si="26">AB4/$AF4</f>
        <v>#DIV/0!</v>
      </c>
      <c r="BY4" s="22" t="e">
        <f t="shared" ref="BY4:BY67" ca="1" si="27">AC4/$AF4</f>
        <v>#DIV/0!</v>
      </c>
      <c r="BZ4" s="22" t="e">
        <f t="shared" ref="BZ4:BZ67" ca="1" si="28">AD4/$AF4</f>
        <v>#DIV/0!</v>
      </c>
      <c r="CA4" s="22" t="e">
        <f t="shared" ref="CA4:CA67" ca="1" si="29">AE4/$AF4</f>
        <v>#DIV/0!</v>
      </c>
      <c r="CB4" s="22" t="e">
        <f t="shared" ref="CB4:CB67" ca="1" si="30">AF4/$AF4</f>
        <v>#DIV/0!</v>
      </c>
    </row>
    <row r="5" spans="2:80" ht="15" hidden="1" customHeight="1" x14ac:dyDescent="0.15">
      <c r="B5" s="4" t="str">
        <f ca="1">图表数据!E4</f>
        <v>2012-08</v>
      </c>
      <c r="C5" s="24">
        <v>0</v>
      </c>
      <c r="D5" s="24">
        <v>0</v>
      </c>
      <c r="E5" s="24">
        <v>0</v>
      </c>
      <c r="F5" s="24">
        <v>0</v>
      </c>
      <c r="G5" s="24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  <c r="R5" s="4" t="str">
        <f ca="1">图表数据!E4</f>
        <v>2012-08</v>
      </c>
      <c r="S5" s="4">
        <f ca="1">图表数据!F4</f>
        <v>0</v>
      </c>
      <c r="T5" s="4">
        <f ca="1">图表数据!G4</f>
        <v>0</v>
      </c>
      <c r="U5" s="4">
        <f ca="1">图表数据!H4</f>
        <v>0</v>
      </c>
      <c r="V5" s="4">
        <f ca="1">图表数据!I4</f>
        <v>0</v>
      </c>
      <c r="W5" s="4">
        <f ca="1">图表数据!J4</f>
        <v>0</v>
      </c>
      <c r="X5" s="4">
        <f ca="1">图表数据!K4</f>
        <v>0</v>
      </c>
      <c r="Y5" s="4">
        <f ca="1">图表数据!L4</f>
        <v>0</v>
      </c>
      <c r="Z5" s="4">
        <f ca="1">图表数据!M4</f>
        <v>0</v>
      </c>
      <c r="AA5" s="4">
        <f ca="1">图表数据!N4</f>
        <v>0</v>
      </c>
      <c r="AB5" s="4">
        <f ca="1">图表数据!O4</f>
        <v>0</v>
      </c>
      <c r="AC5" s="4">
        <f ca="1">图表数据!P4</f>
        <v>0</v>
      </c>
      <c r="AD5" s="4">
        <f ca="1">图表数据!Q4</f>
        <v>0</v>
      </c>
      <c r="AE5" s="4">
        <f ca="1">图表数据!R4</f>
        <v>0</v>
      </c>
      <c r="AF5" s="4">
        <f ca="1">图表数据!S4</f>
        <v>0</v>
      </c>
      <c r="AH5" s="4" t="str">
        <f t="shared" ca="1" si="1"/>
        <v>2012-08</v>
      </c>
      <c r="AI5" s="22" t="s">
        <v>157</v>
      </c>
      <c r="AJ5" s="22" t="s">
        <v>157</v>
      </c>
      <c r="AK5" s="22" t="s">
        <v>157</v>
      </c>
      <c r="AL5" s="22" t="s">
        <v>157</v>
      </c>
      <c r="AM5" s="22" t="s">
        <v>157</v>
      </c>
      <c r="AN5" s="22" t="s">
        <v>157</v>
      </c>
      <c r="AO5" s="22" t="s">
        <v>157</v>
      </c>
      <c r="AP5" s="22" t="s">
        <v>157</v>
      </c>
      <c r="AQ5" s="22" t="s">
        <v>157</v>
      </c>
      <c r="AR5" s="22" t="s">
        <v>157</v>
      </c>
      <c r="AS5" s="22" t="s">
        <v>157</v>
      </c>
      <c r="AT5" s="22" t="s">
        <v>157</v>
      </c>
      <c r="AU5" s="22" t="s">
        <v>157</v>
      </c>
      <c r="AV5" s="22" t="s">
        <v>157</v>
      </c>
      <c r="AX5" s="4" t="str">
        <f t="shared" ca="1" si="2"/>
        <v>2012-08</v>
      </c>
      <c r="AY5" s="22" t="e">
        <f t="shared" ref="AY5:AY68" ca="1" si="31">S5/S4-1</f>
        <v>#DIV/0!</v>
      </c>
      <c r="AZ5" s="22" t="e">
        <f t="shared" ca="1" si="3"/>
        <v>#DIV/0!</v>
      </c>
      <c r="BA5" s="22" t="e">
        <f t="shared" ca="1" si="4"/>
        <v>#DIV/0!</v>
      </c>
      <c r="BB5" s="22" t="e">
        <f t="shared" ca="1" si="5"/>
        <v>#DIV/0!</v>
      </c>
      <c r="BC5" s="22" t="e">
        <f t="shared" ca="1" si="6"/>
        <v>#DIV/0!</v>
      </c>
      <c r="BD5" s="22" t="e">
        <f t="shared" ca="1" si="7"/>
        <v>#DIV/0!</v>
      </c>
      <c r="BE5" s="22" t="e">
        <f t="shared" ca="1" si="8"/>
        <v>#DIV/0!</v>
      </c>
      <c r="BF5" s="22" t="e">
        <f t="shared" ca="1" si="9"/>
        <v>#DIV/0!</v>
      </c>
      <c r="BG5" s="22" t="e">
        <f t="shared" ca="1" si="10"/>
        <v>#DIV/0!</v>
      </c>
      <c r="BH5" s="22" t="e">
        <f t="shared" ca="1" si="11"/>
        <v>#DIV/0!</v>
      </c>
      <c r="BI5" s="22" t="e">
        <f t="shared" ca="1" si="12"/>
        <v>#DIV/0!</v>
      </c>
      <c r="BJ5" s="22" t="e">
        <f t="shared" ca="1" si="13"/>
        <v>#DIV/0!</v>
      </c>
      <c r="BK5" s="22" t="e">
        <f t="shared" ca="1" si="14"/>
        <v>#DIV/0!</v>
      </c>
      <c r="BL5" s="22" t="e">
        <f t="shared" ca="1" si="15"/>
        <v>#DIV/0!</v>
      </c>
      <c r="BN5" s="4" t="str">
        <f t="shared" ca="1" si="16"/>
        <v>2012-08</v>
      </c>
      <c r="BO5" s="22" t="e">
        <f t="shared" ca="1" si="17"/>
        <v>#DIV/0!</v>
      </c>
      <c r="BP5" s="22" t="e">
        <f t="shared" ca="1" si="18"/>
        <v>#DIV/0!</v>
      </c>
      <c r="BQ5" s="22" t="e">
        <f t="shared" ca="1" si="19"/>
        <v>#DIV/0!</v>
      </c>
      <c r="BR5" s="22" t="e">
        <f t="shared" ca="1" si="20"/>
        <v>#DIV/0!</v>
      </c>
      <c r="BS5" s="22" t="e">
        <f t="shared" ca="1" si="21"/>
        <v>#DIV/0!</v>
      </c>
      <c r="BT5" s="22" t="e">
        <f t="shared" ca="1" si="22"/>
        <v>#DIV/0!</v>
      </c>
      <c r="BU5" s="22" t="e">
        <f t="shared" ca="1" si="23"/>
        <v>#DIV/0!</v>
      </c>
      <c r="BV5" s="22" t="e">
        <f t="shared" ca="1" si="24"/>
        <v>#DIV/0!</v>
      </c>
      <c r="BW5" s="22" t="e">
        <f t="shared" ca="1" si="25"/>
        <v>#DIV/0!</v>
      </c>
      <c r="BX5" s="22" t="e">
        <f t="shared" ca="1" si="26"/>
        <v>#DIV/0!</v>
      </c>
      <c r="BY5" s="22" t="e">
        <f t="shared" ca="1" si="27"/>
        <v>#DIV/0!</v>
      </c>
      <c r="BZ5" s="22" t="e">
        <f t="shared" ca="1" si="28"/>
        <v>#DIV/0!</v>
      </c>
      <c r="CA5" s="22" t="e">
        <f t="shared" ca="1" si="29"/>
        <v>#DIV/0!</v>
      </c>
      <c r="CB5" s="22" t="e">
        <f t="shared" ca="1" si="30"/>
        <v>#DIV/0!</v>
      </c>
    </row>
    <row r="6" spans="2:80" ht="15" hidden="1" customHeight="1" x14ac:dyDescent="0.15">
      <c r="B6" s="4" t="str">
        <f ca="1">图表数据!E5</f>
        <v>2012-09</v>
      </c>
      <c r="C6" s="24">
        <v>0</v>
      </c>
      <c r="D6" s="24">
        <v>0</v>
      </c>
      <c r="E6" s="24">
        <v>0</v>
      </c>
      <c r="F6" s="24">
        <v>0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R6" s="4" t="str">
        <f ca="1">图表数据!E5</f>
        <v>2012-09</v>
      </c>
      <c r="S6" s="4">
        <f ca="1">图表数据!F5</f>
        <v>0</v>
      </c>
      <c r="T6" s="4">
        <f ca="1">图表数据!G5</f>
        <v>0</v>
      </c>
      <c r="U6" s="4">
        <f ca="1">图表数据!H5</f>
        <v>0</v>
      </c>
      <c r="V6" s="4">
        <f ca="1">图表数据!I5</f>
        <v>0</v>
      </c>
      <c r="W6" s="4">
        <f ca="1">图表数据!J5</f>
        <v>0</v>
      </c>
      <c r="X6" s="4">
        <f ca="1">图表数据!K5</f>
        <v>0</v>
      </c>
      <c r="Y6" s="4">
        <f ca="1">图表数据!L5</f>
        <v>0</v>
      </c>
      <c r="Z6" s="4">
        <f ca="1">图表数据!M5</f>
        <v>0</v>
      </c>
      <c r="AA6" s="4">
        <f ca="1">图表数据!N5</f>
        <v>0</v>
      </c>
      <c r="AB6" s="4">
        <f ca="1">图表数据!O5</f>
        <v>0</v>
      </c>
      <c r="AC6" s="4">
        <f ca="1">图表数据!P5</f>
        <v>0</v>
      </c>
      <c r="AD6" s="4">
        <f ca="1">图表数据!Q5</f>
        <v>0</v>
      </c>
      <c r="AE6" s="4">
        <f ca="1">图表数据!R5</f>
        <v>0</v>
      </c>
      <c r="AF6" s="4">
        <f ca="1">图表数据!S5</f>
        <v>0</v>
      </c>
      <c r="AH6" s="4" t="str">
        <f t="shared" ca="1" si="1"/>
        <v>2012-09</v>
      </c>
      <c r="AI6" s="22" t="s">
        <v>157</v>
      </c>
      <c r="AJ6" s="22" t="s">
        <v>157</v>
      </c>
      <c r="AK6" s="22" t="s">
        <v>157</v>
      </c>
      <c r="AL6" s="22" t="s">
        <v>157</v>
      </c>
      <c r="AM6" s="22" t="s">
        <v>157</v>
      </c>
      <c r="AN6" s="22" t="s">
        <v>157</v>
      </c>
      <c r="AO6" s="22" t="s">
        <v>157</v>
      </c>
      <c r="AP6" s="22" t="s">
        <v>157</v>
      </c>
      <c r="AQ6" s="22" t="s">
        <v>157</v>
      </c>
      <c r="AR6" s="22" t="s">
        <v>157</v>
      </c>
      <c r="AS6" s="22" t="s">
        <v>157</v>
      </c>
      <c r="AT6" s="22" t="s">
        <v>157</v>
      </c>
      <c r="AU6" s="22" t="s">
        <v>157</v>
      </c>
      <c r="AV6" s="22" t="s">
        <v>157</v>
      </c>
      <c r="AX6" s="4" t="str">
        <f t="shared" ca="1" si="2"/>
        <v>2012-09</v>
      </c>
      <c r="AY6" s="22" t="e">
        <f t="shared" ca="1" si="31"/>
        <v>#DIV/0!</v>
      </c>
      <c r="AZ6" s="22" t="e">
        <f t="shared" ca="1" si="3"/>
        <v>#DIV/0!</v>
      </c>
      <c r="BA6" s="22" t="e">
        <f t="shared" ca="1" si="4"/>
        <v>#DIV/0!</v>
      </c>
      <c r="BB6" s="22" t="e">
        <f t="shared" ca="1" si="5"/>
        <v>#DIV/0!</v>
      </c>
      <c r="BC6" s="22" t="e">
        <f t="shared" ca="1" si="6"/>
        <v>#DIV/0!</v>
      </c>
      <c r="BD6" s="22" t="e">
        <f t="shared" ca="1" si="7"/>
        <v>#DIV/0!</v>
      </c>
      <c r="BE6" s="22" t="e">
        <f t="shared" ca="1" si="8"/>
        <v>#DIV/0!</v>
      </c>
      <c r="BF6" s="22" t="e">
        <f t="shared" ca="1" si="9"/>
        <v>#DIV/0!</v>
      </c>
      <c r="BG6" s="22" t="e">
        <f t="shared" ca="1" si="10"/>
        <v>#DIV/0!</v>
      </c>
      <c r="BH6" s="22" t="e">
        <f t="shared" ca="1" si="11"/>
        <v>#DIV/0!</v>
      </c>
      <c r="BI6" s="22" t="e">
        <f t="shared" ca="1" si="12"/>
        <v>#DIV/0!</v>
      </c>
      <c r="BJ6" s="22" t="e">
        <f t="shared" ca="1" si="13"/>
        <v>#DIV/0!</v>
      </c>
      <c r="BK6" s="22" t="e">
        <f t="shared" ca="1" si="14"/>
        <v>#DIV/0!</v>
      </c>
      <c r="BL6" s="22" t="e">
        <f t="shared" ca="1" si="15"/>
        <v>#DIV/0!</v>
      </c>
      <c r="BN6" s="4" t="str">
        <f t="shared" ca="1" si="16"/>
        <v>2012-09</v>
      </c>
      <c r="BO6" s="22" t="e">
        <f t="shared" ca="1" si="17"/>
        <v>#DIV/0!</v>
      </c>
      <c r="BP6" s="22" t="e">
        <f t="shared" ca="1" si="18"/>
        <v>#DIV/0!</v>
      </c>
      <c r="BQ6" s="22" t="e">
        <f t="shared" ca="1" si="19"/>
        <v>#DIV/0!</v>
      </c>
      <c r="BR6" s="22" t="e">
        <f t="shared" ca="1" si="20"/>
        <v>#DIV/0!</v>
      </c>
      <c r="BS6" s="22" t="e">
        <f t="shared" ca="1" si="21"/>
        <v>#DIV/0!</v>
      </c>
      <c r="BT6" s="22" t="e">
        <f t="shared" ca="1" si="22"/>
        <v>#DIV/0!</v>
      </c>
      <c r="BU6" s="22" t="e">
        <f t="shared" ca="1" si="23"/>
        <v>#DIV/0!</v>
      </c>
      <c r="BV6" s="22" t="e">
        <f t="shared" ca="1" si="24"/>
        <v>#DIV/0!</v>
      </c>
      <c r="BW6" s="22" t="e">
        <f t="shared" ca="1" si="25"/>
        <v>#DIV/0!</v>
      </c>
      <c r="BX6" s="22" t="e">
        <f t="shared" ca="1" si="26"/>
        <v>#DIV/0!</v>
      </c>
      <c r="BY6" s="22" t="e">
        <f t="shared" ca="1" si="27"/>
        <v>#DIV/0!</v>
      </c>
      <c r="BZ6" s="22" t="e">
        <f t="shared" ca="1" si="28"/>
        <v>#DIV/0!</v>
      </c>
      <c r="CA6" s="22" t="e">
        <f t="shared" ca="1" si="29"/>
        <v>#DIV/0!</v>
      </c>
      <c r="CB6" s="22" t="e">
        <f t="shared" ca="1" si="30"/>
        <v>#DIV/0!</v>
      </c>
    </row>
    <row r="7" spans="2:80" ht="15" hidden="1" customHeight="1" x14ac:dyDescent="0.15">
      <c r="B7" s="4" t="str">
        <f ca="1">图表数据!E6</f>
        <v>2012-10</v>
      </c>
      <c r="C7" s="24">
        <v>0</v>
      </c>
      <c r="D7" s="24">
        <v>0</v>
      </c>
      <c r="E7" s="24">
        <v>0</v>
      </c>
      <c r="F7" s="24">
        <v>0</v>
      </c>
      <c r="G7" s="24">
        <v>0</v>
      </c>
      <c r="H7" s="24">
        <v>0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R7" s="4" t="str">
        <f ca="1">图表数据!E6</f>
        <v>2012-10</v>
      </c>
      <c r="S7" s="4">
        <f ca="1">图表数据!F6</f>
        <v>0</v>
      </c>
      <c r="T7" s="4">
        <f ca="1">图表数据!G6</f>
        <v>0</v>
      </c>
      <c r="U7" s="4">
        <f ca="1">图表数据!H6</f>
        <v>0</v>
      </c>
      <c r="V7" s="4">
        <f ca="1">图表数据!I6</f>
        <v>0</v>
      </c>
      <c r="W7" s="4">
        <f ca="1">图表数据!J6</f>
        <v>0</v>
      </c>
      <c r="X7" s="4">
        <f ca="1">图表数据!K6</f>
        <v>0</v>
      </c>
      <c r="Y7" s="4">
        <f ca="1">图表数据!L6</f>
        <v>0</v>
      </c>
      <c r="Z7" s="4">
        <f ca="1">图表数据!M6</f>
        <v>0</v>
      </c>
      <c r="AA7" s="4">
        <f ca="1">图表数据!N6</f>
        <v>0</v>
      </c>
      <c r="AB7" s="4">
        <f ca="1">图表数据!O6</f>
        <v>0</v>
      </c>
      <c r="AC7" s="4">
        <f ca="1">图表数据!P6</f>
        <v>0</v>
      </c>
      <c r="AD7" s="4">
        <f ca="1">图表数据!Q6</f>
        <v>0</v>
      </c>
      <c r="AE7" s="4">
        <f ca="1">图表数据!R6</f>
        <v>0</v>
      </c>
      <c r="AF7" s="4">
        <f ca="1">图表数据!S6</f>
        <v>0</v>
      </c>
      <c r="AH7" s="4" t="str">
        <f t="shared" ca="1" si="1"/>
        <v>2012-10</v>
      </c>
      <c r="AI7" s="22" t="s">
        <v>157</v>
      </c>
      <c r="AJ7" s="22" t="s">
        <v>157</v>
      </c>
      <c r="AK7" s="22" t="s">
        <v>157</v>
      </c>
      <c r="AL7" s="22" t="s">
        <v>157</v>
      </c>
      <c r="AM7" s="22" t="s">
        <v>157</v>
      </c>
      <c r="AN7" s="22" t="s">
        <v>157</v>
      </c>
      <c r="AO7" s="22" t="s">
        <v>157</v>
      </c>
      <c r="AP7" s="22" t="s">
        <v>157</v>
      </c>
      <c r="AQ7" s="22" t="s">
        <v>157</v>
      </c>
      <c r="AR7" s="22" t="s">
        <v>157</v>
      </c>
      <c r="AS7" s="22" t="s">
        <v>157</v>
      </c>
      <c r="AT7" s="22" t="s">
        <v>157</v>
      </c>
      <c r="AU7" s="22" t="s">
        <v>157</v>
      </c>
      <c r="AV7" s="22" t="s">
        <v>157</v>
      </c>
      <c r="AX7" s="4" t="str">
        <f t="shared" ca="1" si="2"/>
        <v>2012-10</v>
      </c>
      <c r="AY7" s="22" t="e">
        <f t="shared" ca="1" si="31"/>
        <v>#DIV/0!</v>
      </c>
      <c r="AZ7" s="22" t="e">
        <f t="shared" ca="1" si="3"/>
        <v>#DIV/0!</v>
      </c>
      <c r="BA7" s="22" t="e">
        <f t="shared" ca="1" si="4"/>
        <v>#DIV/0!</v>
      </c>
      <c r="BB7" s="22" t="e">
        <f t="shared" ca="1" si="5"/>
        <v>#DIV/0!</v>
      </c>
      <c r="BC7" s="22" t="e">
        <f t="shared" ca="1" si="6"/>
        <v>#DIV/0!</v>
      </c>
      <c r="BD7" s="22" t="e">
        <f t="shared" ca="1" si="7"/>
        <v>#DIV/0!</v>
      </c>
      <c r="BE7" s="22" t="e">
        <f t="shared" ca="1" si="8"/>
        <v>#DIV/0!</v>
      </c>
      <c r="BF7" s="22" t="e">
        <f t="shared" ca="1" si="9"/>
        <v>#DIV/0!</v>
      </c>
      <c r="BG7" s="22" t="e">
        <f t="shared" ca="1" si="10"/>
        <v>#DIV/0!</v>
      </c>
      <c r="BH7" s="22" t="e">
        <f t="shared" ca="1" si="11"/>
        <v>#DIV/0!</v>
      </c>
      <c r="BI7" s="22" t="e">
        <f t="shared" ca="1" si="12"/>
        <v>#DIV/0!</v>
      </c>
      <c r="BJ7" s="22" t="e">
        <f t="shared" ca="1" si="13"/>
        <v>#DIV/0!</v>
      </c>
      <c r="BK7" s="22" t="e">
        <f t="shared" ca="1" si="14"/>
        <v>#DIV/0!</v>
      </c>
      <c r="BL7" s="22" t="e">
        <f t="shared" ca="1" si="15"/>
        <v>#DIV/0!</v>
      </c>
      <c r="BN7" s="4" t="str">
        <f t="shared" ca="1" si="16"/>
        <v>2012-10</v>
      </c>
      <c r="BO7" s="22" t="e">
        <f t="shared" ca="1" si="17"/>
        <v>#DIV/0!</v>
      </c>
      <c r="BP7" s="22" t="e">
        <f t="shared" ca="1" si="18"/>
        <v>#DIV/0!</v>
      </c>
      <c r="BQ7" s="22" t="e">
        <f t="shared" ca="1" si="19"/>
        <v>#DIV/0!</v>
      </c>
      <c r="BR7" s="22" t="e">
        <f t="shared" ca="1" si="20"/>
        <v>#DIV/0!</v>
      </c>
      <c r="BS7" s="22" t="e">
        <f t="shared" ca="1" si="21"/>
        <v>#DIV/0!</v>
      </c>
      <c r="BT7" s="22" t="e">
        <f t="shared" ca="1" si="22"/>
        <v>#DIV/0!</v>
      </c>
      <c r="BU7" s="22" t="e">
        <f t="shared" ca="1" si="23"/>
        <v>#DIV/0!</v>
      </c>
      <c r="BV7" s="22" t="e">
        <f t="shared" ca="1" si="24"/>
        <v>#DIV/0!</v>
      </c>
      <c r="BW7" s="22" t="e">
        <f t="shared" ca="1" si="25"/>
        <v>#DIV/0!</v>
      </c>
      <c r="BX7" s="22" t="e">
        <f t="shared" ca="1" si="26"/>
        <v>#DIV/0!</v>
      </c>
      <c r="BY7" s="22" t="e">
        <f t="shared" ca="1" si="27"/>
        <v>#DIV/0!</v>
      </c>
      <c r="BZ7" s="22" t="e">
        <f t="shared" ca="1" si="28"/>
        <v>#DIV/0!</v>
      </c>
      <c r="CA7" s="22" t="e">
        <f t="shared" ca="1" si="29"/>
        <v>#DIV/0!</v>
      </c>
      <c r="CB7" s="22" t="e">
        <f t="shared" ca="1" si="30"/>
        <v>#DIV/0!</v>
      </c>
    </row>
    <row r="8" spans="2:80" ht="15" hidden="1" customHeight="1" x14ac:dyDescent="0.15">
      <c r="B8" s="4" t="str">
        <f ca="1">图表数据!E7</f>
        <v>2012-11</v>
      </c>
      <c r="C8" s="24">
        <v>0</v>
      </c>
      <c r="D8" s="24">
        <v>0</v>
      </c>
      <c r="E8" s="24">
        <v>0</v>
      </c>
      <c r="F8" s="24">
        <v>0</v>
      </c>
      <c r="G8" s="24">
        <v>0</v>
      </c>
      <c r="H8" s="24">
        <v>0</v>
      </c>
      <c r="I8" s="24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4">
        <v>0</v>
      </c>
      <c r="P8" s="24">
        <v>0</v>
      </c>
      <c r="R8" s="4" t="str">
        <f ca="1">图表数据!E7</f>
        <v>2012-11</v>
      </c>
      <c r="S8" s="4">
        <f ca="1">图表数据!F7</f>
        <v>0</v>
      </c>
      <c r="T8" s="4">
        <f ca="1">图表数据!G7</f>
        <v>0</v>
      </c>
      <c r="U8" s="4">
        <f ca="1">图表数据!H7</f>
        <v>0</v>
      </c>
      <c r="V8" s="4">
        <f ca="1">图表数据!I7</f>
        <v>0</v>
      </c>
      <c r="W8" s="4">
        <f ca="1">图表数据!J7</f>
        <v>0</v>
      </c>
      <c r="X8" s="4">
        <f ca="1">图表数据!K7</f>
        <v>0</v>
      </c>
      <c r="Y8" s="4">
        <f ca="1">图表数据!L7</f>
        <v>0</v>
      </c>
      <c r="Z8" s="4">
        <f ca="1">图表数据!M7</f>
        <v>0</v>
      </c>
      <c r="AA8" s="4">
        <f ca="1">图表数据!N7</f>
        <v>0</v>
      </c>
      <c r="AB8" s="4">
        <f ca="1">图表数据!O7</f>
        <v>0</v>
      </c>
      <c r="AC8" s="4">
        <f ca="1">图表数据!P7</f>
        <v>0</v>
      </c>
      <c r="AD8" s="4">
        <f ca="1">图表数据!Q7</f>
        <v>0</v>
      </c>
      <c r="AE8" s="4">
        <f ca="1">图表数据!R7</f>
        <v>0</v>
      </c>
      <c r="AF8" s="4">
        <f ca="1">图表数据!S7</f>
        <v>0</v>
      </c>
      <c r="AH8" s="4" t="str">
        <f t="shared" ca="1" si="1"/>
        <v>2012-11</v>
      </c>
      <c r="AI8" s="22" t="s">
        <v>157</v>
      </c>
      <c r="AJ8" s="22" t="s">
        <v>157</v>
      </c>
      <c r="AK8" s="22" t="s">
        <v>157</v>
      </c>
      <c r="AL8" s="22" t="s">
        <v>157</v>
      </c>
      <c r="AM8" s="22" t="s">
        <v>157</v>
      </c>
      <c r="AN8" s="22" t="s">
        <v>157</v>
      </c>
      <c r="AO8" s="22" t="s">
        <v>157</v>
      </c>
      <c r="AP8" s="22" t="s">
        <v>157</v>
      </c>
      <c r="AQ8" s="22" t="s">
        <v>157</v>
      </c>
      <c r="AR8" s="22" t="s">
        <v>157</v>
      </c>
      <c r="AS8" s="22" t="s">
        <v>157</v>
      </c>
      <c r="AT8" s="22" t="s">
        <v>157</v>
      </c>
      <c r="AU8" s="22" t="s">
        <v>157</v>
      </c>
      <c r="AV8" s="22" t="s">
        <v>157</v>
      </c>
      <c r="AX8" s="4" t="str">
        <f t="shared" ca="1" si="2"/>
        <v>2012-11</v>
      </c>
      <c r="AY8" s="22" t="e">
        <f t="shared" ca="1" si="31"/>
        <v>#DIV/0!</v>
      </c>
      <c r="AZ8" s="22" t="e">
        <f t="shared" ca="1" si="3"/>
        <v>#DIV/0!</v>
      </c>
      <c r="BA8" s="22" t="e">
        <f t="shared" ca="1" si="4"/>
        <v>#DIV/0!</v>
      </c>
      <c r="BB8" s="22" t="e">
        <f t="shared" ca="1" si="5"/>
        <v>#DIV/0!</v>
      </c>
      <c r="BC8" s="22" t="e">
        <f t="shared" ca="1" si="6"/>
        <v>#DIV/0!</v>
      </c>
      <c r="BD8" s="22" t="e">
        <f t="shared" ca="1" si="7"/>
        <v>#DIV/0!</v>
      </c>
      <c r="BE8" s="22" t="e">
        <f t="shared" ca="1" si="8"/>
        <v>#DIV/0!</v>
      </c>
      <c r="BF8" s="22" t="e">
        <f t="shared" ca="1" si="9"/>
        <v>#DIV/0!</v>
      </c>
      <c r="BG8" s="22" t="e">
        <f t="shared" ca="1" si="10"/>
        <v>#DIV/0!</v>
      </c>
      <c r="BH8" s="22" t="e">
        <f t="shared" ca="1" si="11"/>
        <v>#DIV/0!</v>
      </c>
      <c r="BI8" s="22" t="e">
        <f t="shared" ca="1" si="12"/>
        <v>#DIV/0!</v>
      </c>
      <c r="BJ8" s="22" t="e">
        <f t="shared" ca="1" si="13"/>
        <v>#DIV/0!</v>
      </c>
      <c r="BK8" s="22" t="e">
        <f t="shared" ca="1" si="14"/>
        <v>#DIV/0!</v>
      </c>
      <c r="BL8" s="22" t="e">
        <f t="shared" ca="1" si="15"/>
        <v>#DIV/0!</v>
      </c>
      <c r="BN8" s="4" t="str">
        <f t="shared" ca="1" si="16"/>
        <v>2012-11</v>
      </c>
      <c r="BO8" s="22" t="e">
        <f t="shared" ca="1" si="17"/>
        <v>#DIV/0!</v>
      </c>
      <c r="BP8" s="22" t="e">
        <f t="shared" ca="1" si="18"/>
        <v>#DIV/0!</v>
      </c>
      <c r="BQ8" s="22" t="e">
        <f t="shared" ca="1" si="19"/>
        <v>#DIV/0!</v>
      </c>
      <c r="BR8" s="22" t="e">
        <f t="shared" ca="1" si="20"/>
        <v>#DIV/0!</v>
      </c>
      <c r="BS8" s="22" t="e">
        <f t="shared" ca="1" si="21"/>
        <v>#DIV/0!</v>
      </c>
      <c r="BT8" s="22" t="e">
        <f t="shared" ca="1" si="22"/>
        <v>#DIV/0!</v>
      </c>
      <c r="BU8" s="22" t="e">
        <f t="shared" ca="1" si="23"/>
        <v>#DIV/0!</v>
      </c>
      <c r="BV8" s="22" t="e">
        <f t="shared" ca="1" si="24"/>
        <v>#DIV/0!</v>
      </c>
      <c r="BW8" s="22" t="e">
        <f t="shared" ca="1" si="25"/>
        <v>#DIV/0!</v>
      </c>
      <c r="BX8" s="22" t="e">
        <f t="shared" ca="1" si="26"/>
        <v>#DIV/0!</v>
      </c>
      <c r="BY8" s="22" t="e">
        <f t="shared" ca="1" si="27"/>
        <v>#DIV/0!</v>
      </c>
      <c r="BZ8" s="22" t="e">
        <f t="shared" ca="1" si="28"/>
        <v>#DIV/0!</v>
      </c>
      <c r="CA8" s="22" t="e">
        <f t="shared" ca="1" si="29"/>
        <v>#DIV/0!</v>
      </c>
      <c r="CB8" s="22" t="e">
        <f t="shared" ca="1" si="30"/>
        <v>#DIV/0!</v>
      </c>
    </row>
    <row r="9" spans="2:80" ht="15" hidden="1" customHeight="1" x14ac:dyDescent="0.15">
      <c r="B9" s="4" t="str">
        <f ca="1">图表数据!E8</f>
        <v>2012-12</v>
      </c>
      <c r="C9" s="24">
        <v>0</v>
      </c>
      <c r="D9" s="24">
        <v>0</v>
      </c>
      <c r="E9" s="24">
        <v>0</v>
      </c>
      <c r="F9" s="24">
        <v>0</v>
      </c>
      <c r="G9" s="24">
        <v>0</v>
      </c>
      <c r="H9" s="24">
        <v>0</v>
      </c>
      <c r="I9" s="24">
        <v>0</v>
      </c>
      <c r="J9" s="24">
        <v>0</v>
      </c>
      <c r="K9" s="24">
        <v>0</v>
      </c>
      <c r="L9" s="24">
        <v>0</v>
      </c>
      <c r="M9" s="24">
        <v>0</v>
      </c>
      <c r="N9" s="24">
        <v>0</v>
      </c>
      <c r="O9" s="24">
        <v>0</v>
      </c>
      <c r="P9" s="24">
        <v>0</v>
      </c>
      <c r="R9" s="4" t="str">
        <f ca="1">图表数据!E8</f>
        <v>2012-12</v>
      </c>
      <c r="S9" s="4">
        <f ca="1">图表数据!F8</f>
        <v>0</v>
      </c>
      <c r="T9" s="4">
        <f ca="1">图表数据!G8</f>
        <v>0</v>
      </c>
      <c r="U9" s="4">
        <f ca="1">图表数据!H8</f>
        <v>0</v>
      </c>
      <c r="V9" s="4">
        <f ca="1">图表数据!I8</f>
        <v>0</v>
      </c>
      <c r="W9" s="4">
        <f ca="1">图表数据!J8</f>
        <v>0</v>
      </c>
      <c r="X9" s="4">
        <f ca="1">图表数据!K8</f>
        <v>0</v>
      </c>
      <c r="Y9" s="4">
        <f ca="1">图表数据!L8</f>
        <v>0</v>
      </c>
      <c r="Z9" s="4">
        <f ca="1">图表数据!M8</f>
        <v>0</v>
      </c>
      <c r="AA9" s="4">
        <f ca="1">图表数据!N8</f>
        <v>0</v>
      </c>
      <c r="AB9" s="4">
        <f ca="1">图表数据!O8</f>
        <v>0</v>
      </c>
      <c r="AC9" s="4">
        <f ca="1">图表数据!P8</f>
        <v>0</v>
      </c>
      <c r="AD9" s="4">
        <f ca="1">图表数据!Q8</f>
        <v>0</v>
      </c>
      <c r="AE9" s="4">
        <f ca="1">图表数据!R8</f>
        <v>0</v>
      </c>
      <c r="AF9" s="4">
        <f ca="1">图表数据!S8</f>
        <v>0</v>
      </c>
      <c r="AH9" s="4" t="str">
        <f t="shared" ca="1" si="1"/>
        <v>2012-12</v>
      </c>
      <c r="AI9" s="22" t="s">
        <v>157</v>
      </c>
      <c r="AJ9" s="22" t="s">
        <v>157</v>
      </c>
      <c r="AK9" s="22" t="s">
        <v>157</v>
      </c>
      <c r="AL9" s="22" t="s">
        <v>157</v>
      </c>
      <c r="AM9" s="22" t="s">
        <v>157</v>
      </c>
      <c r="AN9" s="22" t="s">
        <v>157</v>
      </c>
      <c r="AO9" s="22" t="s">
        <v>157</v>
      </c>
      <c r="AP9" s="22" t="s">
        <v>157</v>
      </c>
      <c r="AQ9" s="22" t="s">
        <v>157</v>
      </c>
      <c r="AR9" s="22" t="s">
        <v>157</v>
      </c>
      <c r="AS9" s="22" t="s">
        <v>157</v>
      </c>
      <c r="AT9" s="22" t="s">
        <v>157</v>
      </c>
      <c r="AU9" s="22" t="s">
        <v>157</v>
      </c>
      <c r="AV9" s="22" t="s">
        <v>157</v>
      </c>
      <c r="AX9" s="4" t="str">
        <f t="shared" ca="1" si="2"/>
        <v>2012-12</v>
      </c>
      <c r="AY9" s="22" t="e">
        <f t="shared" ca="1" si="31"/>
        <v>#DIV/0!</v>
      </c>
      <c r="AZ9" s="22" t="e">
        <f t="shared" ca="1" si="3"/>
        <v>#DIV/0!</v>
      </c>
      <c r="BA9" s="22" t="e">
        <f t="shared" ca="1" si="4"/>
        <v>#DIV/0!</v>
      </c>
      <c r="BB9" s="22" t="e">
        <f t="shared" ca="1" si="5"/>
        <v>#DIV/0!</v>
      </c>
      <c r="BC9" s="22" t="e">
        <f t="shared" ca="1" si="6"/>
        <v>#DIV/0!</v>
      </c>
      <c r="BD9" s="22" t="e">
        <f t="shared" ca="1" si="7"/>
        <v>#DIV/0!</v>
      </c>
      <c r="BE9" s="22" t="e">
        <f t="shared" ca="1" si="8"/>
        <v>#DIV/0!</v>
      </c>
      <c r="BF9" s="22" t="e">
        <f t="shared" ca="1" si="9"/>
        <v>#DIV/0!</v>
      </c>
      <c r="BG9" s="22" t="e">
        <f t="shared" ca="1" si="10"/>
        <v>#DIV/0!</v>
      </c>
      <c r="BH9" s="22" t="e">
        <f t="shared" ca="1" si="11"/>
        <v>#DIV/0!</v>
      </c>
      <c r="BI9" s="22" t="e">
        <f t="shared" ca="1" si="12"/>
        <v>#DIV/0!</v>
      </c>
      <c r="BJ9" s="22" t="e">
        <f t="shared" ca="1" si="13"/>
        <v>#DIV/0!</v>
      </c>
      <c r="BK9" s="22" t="e">
        <f t="shared" ca="1" si="14"/>
        <v>#DIV/0!</v>
      </c>
      <c r="BL9" s="22" t="e">
        <f t="shared" ca="1" si="15"/>
        <v>#DIV/0!</v>
      </c>
      <c r="BN9" s="4" t="str">
        <f t="shared" ca="1" si="16"/>
        <v>2012-12</v>
      </c>
      <c r="BO9" s="22" t="e">
        <f t="shared" ca="1" si="17"/>
        <v>#DIV/0!</v>
      </c>
      <c r="BP9" s="22" t="e">
        <f t="shared" ca="1" si="18"/>
        <v>#DIV/0!</v>
      </c>
      <c r="BQ9" s="22" t="e">
        <f t="shared" ca="1" si="19"/>
        <v>#DIV/0!</v>
      </c>
      <c r="BR9" s="22" t="e">
        <f t="shared" ca="1" si="20"/>
        <v>#DIV/0!</v>
      </c>
      <c r="BS9" s="22" t="e">
        <f t="shared" ca="1" si="21"/>
        <v>#DIV/0!</v>
      </c>
      <c r="BT9" s="22" t="e">
        <f t="shared" ca="1" si="22"/>
        <v>#DIV/0!</v>
      </c>
      <c r="BU9" s="22" t="e">
        <f t="shared" ca="1" si="23"/>
        <v>#DIV/0!</v>
      </c>
      <c r="BV9" s="22" t="e">
        <f t="shared" ca="1" si="24"/>
        <v>#DIV/0!</v>
      </c>
      <c r="BW9" s="22" t="e">
        <f t="shared" ca="1" si="25"/>
        <v>#DIV/0!</v>
      </c>
      <c r="BX9" s="22" t="e">
        <f t="shared" ca="1" si="26"/>
        <v>#DIV/0!</v>
      </c>
      <c r="BY9" s="22" t="e">
        <f t="shared" ca="1" si="27"/>
        <v>#DIV/0!</v>
      </c>
      <c r="BZ9" s="22" t="e">
        <f t="shared" ca="1" si="28"/>
        <v>#DIV/0!</v>
      </c>
      <c r="CA9" s="22" t="e">
        <f t="shared" ca="1" si="29"/>
        <v>#DIV/0!</v>
      </c>
      <c r="CB9" s="22" t="e">
        <f t="shared" ca="1" si="30"/>
        <v>#DIV/0!</v>
      </c>
    </row>
    <row r="10" spans="2:80" ht="15" hidden="1" customHeight="1" x14ac:dyDescent="0.15">
      <c r="B10" s="4" t="str">
        <f ca="1">图表数据!E9</f>
        <v>2013-01</v>
      </c>
      <c r="C10" s="24">
        <v>0</v>
      </c>
      <c r="D10" s="24">
        <v>0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  <c r="N10" s="24">
        <v>0</v>
      </c>
      <c r="O10" s="24">
        <v>0</v>
      </c>
      <c r="P10" s="24">
        <v>0</v>
      </c>
      <c r="R10" s="4" t="str">
        <f ca="1">图表数据!E9</f>
        <v>2013-01</v>
      </c>
      <c r="S10" s="4">
        <f ca="1">图表数据!F9</f>
        <v>0</v>
      </c>
      <c r="T10" s="4">
        <f ca="1">图表数据!G9</f>
        <v>0</v>
      </c>
      <c r="U10" s="4">
        <f ca="1">图表数据!H9</f>
        <v>0</v>
      </c>
      <c r="V10" s="4">
        <f ca="1">图表数据!I9</f>
        <v>0</v>
      </c>
      <c r="W10" s="4">
        <f ca="1">图表数据!J9</f>
        <v>0</v>
      </c>
      <c r="X10" s="4">
        <f ca="1">图表数据!K9</f>
        <v>0</v>
      </c>
      <c r="Y10" s="4">
        <f ca="1">图表数据!L9</f>
        <v>0</v>
      </c>
      <c r="Z10" s="4">
        <f ca="1">图表数据!M9</f>
        <v>0</v>
      </c>
      <c r="AA10" s="4">
        <f ca="1">图表数据!N9</f>
        <v>0</v>
      </c>
      <c r="AB10" s="4">
        <f ca="1">图表数据!O9</f>
        <v>0</v>
      </c>
      <c r="AC10" s="4">
        <f ca="1">图表数据!P9</f>
        <v>0</v>
      </c>
      <c r="AD10" s="4">
        <f ca="1">图表数据!Q9</f>
        <v>0</v>
      </c>
      <c r="AE10" s="4">
        <f ca="1">图表数据!R9</f>
        <v>0</v>
      </c>
      <c r="AF10" s="4">
        <f ca="1">图表数据!S9</f>
        <v>0</v>
      </c>
      <c r="AH10" s="4" t="str">
        <f t="shared" ca="1" si="1"/>
        <v>2013-01</v>
      </c>
      <c r="AI10" s="22" t="s">
        <v>157</v>
      </c>
      <c r="AJ10" s="22" t="s">
        <v>157</v>
      </c>
      <c r="AK10" s="22" t="s">
        <v>157</v>
      </c>
      <c r="AL10" s="22" t="s">
        <v>157</v>
      </c>
      <c r="AM10" s="22" t="s">
        <v>157</v>
      </c>
      <c r="AN10" s="22" t="s">
        <v>157</v>
      </c>
      <c r="AO10" s="22" t="s">
        <v>157</v>
      </c>
      <c r="AP10" s="22" t="s">
        <v>157</v>
      </c>
      <c r="AQ10" s="22" t="s">
        <v>157</v>
      </c>
      <c r="AR10" s="22" t="s">
        <v>157</v>
      </c>
      <c r="AS10" s="22" t="s">
        <v>157</v>
      </c>
      <c r="AT10" s="22" t="s">
        <v>157</v>
      </c>
      <c r="AU10" s="22" t="s">
        <v>157</v>
      </c>
      <c r="AV10" s="22" t="s">
        <v>157</v>
      </c>
      <c r="AX10" s="4" t="str">
        <f t="shared" ca="1" si="2"/>
        <v>2013-01</v>
      </c>
      <c r="AY10" s="22" t="e">
        <f t="shared" ca="1" si="31"/>
        <v>#DIV/0!</v>
      </c>
      <c r="AZ10" s="22" t="e">
        <f t="shared" ca="1" si="3"/>
        <v>#DIV/0!</v>
      </c>
      <c r="BA10" s="22" t="e">
        <f t="shared" ca="1" si="4"/>
        <v>#DIV/0!</v>
      </c>
      <c r="BB10" s="22" t="e">
        <f t="shared" ca="1" si="5"/>
        <v>#DIV/0!</v>
      </c>
      <c r="BC10" s="22" t="e">
        <f t="shared" ca="1" si="6"/>
        <v>#DIV/0!</v>
      </c>
      <c r="BD10" s="22" t="e">
        <f t="shared" ca="1" si="7"/>
        <v>#DIV/0!</v>
      </c>
      <c r="BE10" s="22" t="e">
        <f t="shared" ca="1" si="8"/>
        <v>#DIV/0!</v>
      </c>
      <c r="BF10" s="22" t="e">
        <f t="shared" ca="1" si="9"/>
        <v>#DIV/0!</v>
      </c>
      <c r="BG10" s="22" t="e">
        <f t="shared" ca="1" si="10"/>
        <v>#DIV/0!</v>
      </c>
      <c r="BH10" s="22" t="e">
        <f t="shared" ca="1" si="11"/>
        <v>#DIV/0!</v>
      </c>
      <c r="BI10" s="22" t="e">
        <f t="shared" ca="1" si="12"/>
        <v>#DIV/0!</v>
      </c>
      <c r="BJ10" s="22" t="e">
        <f t="shared" ca="1" si="13"/>
        <v>#DIV/0!</v>
      </c>
      <c r="BK10" s="22" t="e">
        <f t="shared" ca="1" si="14"/>
        <v>#DIV/0!</v>
      </c>
      <c r="BL10" s="22" t="e">
        <f t="shared" ca="1" si="15"/>
        <v>#DIV/0!</v>
      </c>
      <c r="BN10" s="4" t="str">
        <f t="shared" ca="1" si="16"/>
        <v>2013-01</v>
      </c>
      <c r="BO10" s="22" t="e">
        <f t="shared" ca="1" si="17"/>
        <v>#DIV/0!</v>
      </c>
      <c r="BP10" s="22" t="e">
        <f t="shared" ca="1" si="18"/>
        <v>#DIV/0!</v>
      </c>
      <c r="BQ10" s="22" t="e">
        <f t="shared" ca="1" si="19"/>
        <v>#DIV/0!</v>
      </c>
      <c r="BR10" s="22" t="e">
        <f t="shared" ca="1" si="20"/>
        <v>#DIV/0!</v>
      </c>
      <c r="BS10" s="22" t="e">
        <f t="shared" ca="1" si="21"/>
        <v>#DIV/0!</v>
      </c>
      <c r="BT10" s="22" t="e">
        <f t="shared" ca="1" si="22"/>
        <v>#DIV/0!</v>
      </c>
      <c r="BU10" s="22" t="e">
        <f t="shared" ca="1" si="23"/>
        <v>#DIV/0!</v>
      </c>
      <c r="BV10" s="22" t="e">
        <f t="shared" ca="1" si="24"/>
        <v>#DIV/0!</v>
      </c>
      <c r="BW10" s="22" t="e">
        <f t="shared" ca="1" si="25"/>
        <v>#DIV/0!</v>
      </c>
      <c r="BX10" s="22" t="e">
        <f t="shared" ca="1" si="26"/>
        <v>#DIV/0!</v>
      </c>
      <c r="BY10" s="22" t="e">
        <f t="shared" ca="1" si="27"/>
        <v>#DIV/0!</v>
      </c>
      <c r="BZ10" s="22" t="e">
        <f t="shared" ca="1" si="28"/>
        <v>#DIV/0!</v>
      </c>
      <c r="CA10" s="22" t="e">
        <f t="shared" ca="1" si="29"/>
        <v>#DIV/0!</v>
      </c>
      <c r="CB10" s="22" t="e">
        <f t="shared" ca="1" si="30"/>
        <v>#DIV/0!</v>
      </c>
    </row>
    <row r="11" spans="2:80" ht="15" hidden="1" customHeight="1" x14ac:dyDescent="0.15">
      <c r="B11" s="4" t="str">
        <f ca="1">图表数据!E10</f>
        <v>2013-02</v>
      </c>
      <c r="C11" s="24">
        <v>0</v>
      </c>
      <c r="D11" s="24">
        <v>0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K11" s="24">
        <v>0</v>
      </c>
      <c r="L11" s="24">
        <v>0</v>
      </c>
      <c r="M11" s="24">
        <v>0</v>
      </c>
      <c r="N11" s="24">
        <v>0</v>
      </c>
      <c r="O11" s="24">
        <v>0</v>
      </c>
      <c r="P11" s="24">
        <v>0</v>
      </c>
      <c r="R11" s="4" t="str">
        <f ca="1">图表数据!E10</f>
        <v>2013-02</v>
      </c>
      <c r="S11" s="4">
        <f ca="1">图表数据!F10</f>
        <v>0</v>
      </c>
      <c r="T11" s="4">
        <f ca="1">图表数据!G10</f>
        <v>0</v>
      </c>
      <c r="U11" s="4">
        <f ca="1">图表数据!H10</f>
        <v>0</v>
      </c>
      <c r="V11" s="4">
        <f ca="1">图表数据!I10</f>
        <v>0</v>
      </c>
      <c r="W11" s="4">
        <f ca="1">图表数据!J10</f>
        <v>0</v>
      </c>
      <c r="X11" s="4">
        <f ca="1">图表数据!K10</f>
        <v>0</v>
      </c>
      <c r="Y11" s="4">
        <f ca="1">图表数据!L10</f>
        <v>0</v>
      </c>
      <c r="Z11" s="4">
        <f ca="1">图表数据!M10</f>
        <v>0</v>
      </c>
      <c r="AA11" s="4">
        <f ca="1">图表数据!N10</f>
        <v>0</v>
      </c>
      <c r="AB11" s="4">
        <f ca="1">图表数据!O10</f>
        <v>0</v>
      </c>
      <c r="AC11" s="4">
        <f ca="1">图表数据!P10</f>
        <v>0</v>
      </c>
      <c r="AD11" s="4">
        <f ca="1">图表数据!Q10</f>
        <v>0</v>
      </c>
      <c r="AE11" s="4">
        <f ca="1">图表数据!R10</f>
        <v>0</v>
      </c>
      <c r="AF11" s="4">
        <f ca="1">图表数据!S10</f>
        <v>0</v>
      </c>
      <c r="AH11" s="4" t="str">
        <f t="shared" ca="1" si="1"/>
        <v>2013-02</v>
      </c>
      <c r="AI11" s="22" t="s">
        <v>157</v>
      </c>
      <c r="AJ11" s="22" t="s">
        <v>157</v>
      </c>
      <c r="AK11" s="22" t="s">
        <v>157</v>
      </c>
      <c r="AL11" s="22" t="s">
        <v>157</v>
      </c>
      <c r="AM11" s="22" t="s">
        <v>157</v>
      </c>
      <c r="AN11" s="22" t="s">
        <v>157</v>
      </c>
      <c r="AO11" s="22" t="s">
        <v>157</v>
      </c>
      <c r="AP11" s="22" t="s">
        <v>157</v>
      </c>
      <c r="AQ11" s="22" t="s">
        <v>157</v>
      </c>
      <c r="AR11" s="22" t="s">
        <v>157</v>
      </c>
      <c r="AS11" s="22" t="s">
        <v>157</v>
      </c>
      <c r="AT11" s="22" t="s">
        <v>157</v>
      </c>
      <c r="AU11" s="22" t="s">
        <v>157</v>
      </c>
      <c r="AV11" s="22" t="s">
        <v>157</v>
      </c>
      <c r="AX11" s="4" t="str">
        <f t="shared" ca="1" si="2"/>
        <v>2013-02</v>
      </c>
      <c r="AY11" s="22" t="e">
        <f t="shared" ca="1" si="31"/>
        <v>#DIV/0!</v>
      </c>
      <c r="AZ11" s="22" t="e">
        <f t="shared" ca="1" si="3"/>
        <v>#DIV/0!</v>
      </c>
      <c r="BA11" s="22" t="e">
        <f t="shared" ca="1" si="4"/>
        <v>#DIV/0!</v>
      </c>
      <c r="BB11" s="22" t="e">
        <f t="shared" ca="1" si="5"/>
        <v>#DIV/0!</v>
      </c>
      <c r="BC11" s="22" t="e">
        <f t="shared" ca="1" si="6"/>
        <v>#DIV/0!</v>
      </c>
      <c r="BD11" s="22" t="e">
        <f t="shared" ca="1" si="7"/>
        <v>#DIV/0!</v>
      </c>
      <c r="BE11" s="22" t="e">
        <f t="shared" ca="1" si="8"/>
        <v>#DIV/0!</v>
      </c>
      <c r="BF11" s="22" t="e">
        <f t="shared" ca="1" si="9"/>
        <v>#DIV/0!</v>
      </c>
      <c r="BG11" s="22" t="e">
        <f t="shared" ca="1" si="10"/>
        <v>#DIV/0!</v>
      </c>
      <c r="BH11" s="22" t="e">
        <f t="shared" ca="1" si="11"/>
        <v>#DIV/0!</v>
      </c>
      <c r="BI11" s="22" t="e">
        <f t="shared" ca="1" si="12"/>
        <v>#DIV/0!</v>
      </c>
      <c r="BJ11" s="22" t="e">
        <f t="shared" ca="1" si="13"/>
        <v>#DIV/0!</v>
      </c>
      <c r="BK11" s="22" t="e">
        <f t="shared" ca="1" si="14"/>
        <v>#DIV/0!</v>
      </c>
      <c r="BL11" s="22" t="e">
        <f t="shared" ca="1" si="15"/>
        <v>#DIV/0!</v>
      </c>
      <c r="BN11" s="4" t="str">
        <f t="shared" ca="1" si="16"/>
        <v>2013-02</v>
      </c>
      <c r="BO11" s="22" t="e">
        <f t="shared" ca="1" si="17"/>
        <v>#DIV/0!</v>
      </c>
      <c r="BP11" s="22" t="e">
        <f t="shared" ca="1" si="18"/>
        <v>#DIV/0!</v>
      </c>
      <c r="BQ11" s="22" t="e">
        <f t="shared" ca="1" si="19"/>
        <v>#DIV/0!</v>
      </c>
      <c r="BR11" s="22" t="e">
        <f t="shared" ca="1" si="20"/>
        <v>#DIV/0!</v>
      </c>
      <c r="BS11" s="22" t="e">
        <f t="shared" ca="1" si="21"/>
        <v>#DIV/0!</v>
      </c>
      <c r="BT11" s="22" t="e">
        <f t="shared" ca="1" si="22"/>
        <v>#DIV/0!</v>
      </c>
      <c r="BU11" s="22" t="e">
        <f t="shared" ca="1" si="23"/>
        <v>#DIV/0!</v>
      </c>
      <c r="BV11" s="22" t="e">
        <f t="shared" ca="1" si="24"/>
        <v>#DIV/0!</v>
      </c>
      <c r="BW11" s="22" t="e">
        <f t="shared" ca="1" si="25"/>
        <v>#DIV/0!</v>
      </c>
      <c r="BX11" s="22" t="e">
        <f t="shared" ca="1" si="26"/>
        <v>#DIV/0!</v>
      </c>
      <c r="BY11" s="22" t="e">
        <f t="shared" ca="1" si="27"/>
        <v>#DIV/0!</v>
      </c>
      <c r="BZ11" s="22" t="e">
        <f t="shared" ca="1" si="28"/>
        <v>#DIV/0!</v>
      </c>
      <c r="CA11" s="22" t="e">
        <f t="shared" ca="1" si="29"/>
        <v>#DIV/0!</v>
      </c>
      <c r="CB11" s="22" t="e">
        <f t="shared" ca="1" si="30"/>
        <v>#DIV/0!</v>
      </c>
    </row>
    <row r="12" spans="2:80" ht="15" hidden="1" customHeight="1" x14ac:dyDescent="0.15">
      <c r="B12" s="4" t="str">
        <f ca="1">图表数据!E11</f>
        <v>2013-03</v>
      </c>
      <c r="C12" s="24">
        <v>0</v>
      </c>
      <c r="D12" s="24">
        <v>0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R12" s="4" t="str">
        <f ca="1">图表数据!E11</f>
        <v>2013-03</v>
      </c>
      <c r="S12" s="4">
        <f ca="1">图表数据!F11</f>
        <v>0</v>
      </c>
      <c r="T12" s="4">
        <f ca="1">图表数据!G11</f>
        <v>0</v>
      </c>
      <c r="U12" s="4">
        <f ca="1">图表数据!H11</f>
        <v>0</v>
      </c>
      <c r="V12" s="4">
        <f ca="1">图表数据!I11</f>
        <v>0</v>
      </c>
      <c r="W12" s="4">
        <f ca="1">图表数据!J11</f>
        <v>0</v>
      </c>
      <c r="X12" s="4">
        <f ca="1">图表数据!K11</f>
        <v>0</v>
      </c>
      <c r="Y12" s="4">
        <f ca="1">图表数据!L11</f>
        <v>0</v>
      </c>
      <c r="Z12" s="4">
        <f ca="1">图表数据!M11</f>
        <v>0</v>
      </c>
      <c r="AA12" s="4">
        <f ca="1">图表数据!N11</f>
        <v>0</v>
      </c>
      <c r="AB12" s="4">
        <f ca="1">图表数据!O11</f>
        <v>0</v>
      </c>
      <c r="AC12" s="4">
        <f ca="1">图表数据!P11</f>
        <v>0</v>
      </c>
      <c r="AD12" s="4">
        <f ca="1">图表数据!Q11</f>
        <v>0</v>
      </c>
      <c r="AE12" s="4">
        <f ca="1">图表数据!R11</f>
        <v>0</v>
      </c>
      <c r="AF12" s="4">
        <f ca="1">图表数据!S11</f>
        <v>0</v>
      </c>
      <c r="AH12" s="4" t="str">
        <f t="shared" ca="1" si="1"/>
        <v>2013-03</v>
      </c>
      <c r="AI12" s="22" t="s">
        <v>157</v>
      </c>
      <c r="AJ12" s="22" t="s">
        <v>157</v>
      </c>
      <c r="AK12" s="22" t="s">
        <v>157</v>
      </c>
      <c r="AL12" s="22" t="s">
        <v>157</v>
      </c>
      <c r="AM12" s="22" t="s">
        <v>157</v>
      </c>
      <c r="AN12" s="22" t="s">
        <v>157</v>
      </c>
      <c r="AO12" s="22" t="s">
        <v>157</v>
      </c>
      <c r="AP12" s="22" t="s">
        <v>157</v>
      </c>
      <c r="AQ12" s="22" t="s">
        <v>157</v>
      </c>
      <c r="AR12" s="22" t="s">
        <v>157</v>
      </c>
      <c r="AS12" s="22" t="s">
        <v>157</v>
      </c>
      <c r="AT12" s="22" t="s">
        <v>157</v>
      </c>
      <c r="AU12" s="22" t="s">
        <v>157</v>
      </c>
      <c r="AV12" s="22" t="s">
        <v>157</v>
      </c>
      <c r="AX12" s="4" t="str">
        <f t="shared" ca="1" si="2"/>
        <v>2013-03</v>
      </c>
      <c r="AY12" s="22" t="e">
        <f t="shared" ca="1" si="31"/>
        <v>#DIV/0!</v>
      </c>
      <c r="AZ12" s="22" t="e">
        <f t="shared" ca="1" si="3"/>
        <v>#DIV/0!</v>
      </c>
      <c r="BA12" s="22" t="e">
        <f t="shared" ca="1" si="4"/>
        <v>#DIV/0!</v>
      </c>
      <c r="BB12" s="22" t="e">
        <f t="shared" ca="1" si="5"/>
        <v>#DIV/0!</v>
      </c>
      <c r="BC12" s="22" t="e">
        <f t="shared" ca="1" si="6"/>
        <v>#DIV/0!</v>
      </c>
      <c r="BD12" s="22" t="e">
        <f t="shared" ca="1" si="7"/>
        <v>#DIV/0!</v>
      </c>
      <c r="BE12" s="22" t="e">
        <f t="shared" ca="1" si="8"/>
        <v>#DIV/0!</v>
      </c>
      <c r="BF12" s="22" t="e">
        <f t="shared" ca="1" si="9"/>
        <v>#DIV/0!</v>
      </c>
      <c r="BG12" s="22" t="e">
        <f t="shared" ca="1" si="10"/>
        <v>#DIV/0!</v>
      </c>
      <c r="BH12" s="22" t="e">
        <f t="shared" ca="1" si="11"/>
        <v>#DIV/0!</v>
      </c>
      <c r="BI12" s="22" t="e">
        <f t="shared" ca="1" si="12"/>
        <v>#DIV/0!</v>
      </c>
      <c r="BJ12" s="22" t="e">
        <f t="shared" ca="1" si="13"/>
        <v>#DIV/0!</v>
      </c>
      <c r="BK12" s="22" t="e">
        <f t="shared" ca="1" si="14"/>
        <v>#DIV/0!</v>
      </c>
      <c r="BL12" s="22" t="e">
        <f t="shared" ca="1" si="15"/>
        <v>#DIV/0!</v>
      </c>
      <c r="BN12" s="4" t="str">
        <f t="shared" ca="1" si="16"/>
        <v>2013-03</v>
      </c>
      <c r="BO12" s="22" t="e">
        <f t="shared" ca="1" si="17"/>
        <v>#DIV/0!</v>
      </c>
      <c r="BP12" s="22" t="e">
        <f t="shared" ca="1" si="18"/>
        <v>#DIV/0!</v>
      </c>
      <c r="BQ12" s="22" t="e">
        <f t="shared" ca="1" si="19"/>
        <v>#DIV/0!</v>
      </c>
      <c r="BR12" s="22" t="e">
        <f t="shared" ca="1" si="20"/>
        <v>#DIV/0!</v>
      </c>
      <c r="BS12" s="22" t="e">
        <f t="shared" ca="1" si="21"/>
        <v>#DIV/0!</v>
      </c>
      <c r="BT12" s="22" t="e">
        <f t="shared" ca="1" si="22"/>
        <v>#DIV/0!</v>
      </c>
      <c r="BU12" s="22" t="e">
        <f t="shared" ca="1" si="23"/>
        <v>#DIV/0!</v>
      </c>
      <c r="BV12" s="22" t="e">
        <f t="shared" ca="1" si="24"/>
        <v>#DIV/0!</v>
      </c>
      <c r="BW12" s="22" t="e">
        <f t="shared" ca="1" si="25"/>
        <v>#DIV/0!</v>
      </c>
      <c r="BX12" s="22" t="e">
        <f t="shared" ca="1" si="26"/>
        <v>#DIV/0!</v>
      </c>
      <c r="BY12" s="22" t="e">
        <f t="shared" ca="1" si="27"/>
        <v>#DIV/0!</v>
      </c>
      <c r="BZ12" s="22" t="e">
        <f t="shared" ca="1" si="28"/>
        <v>#DIV/0!</v>
      </c>
      <c r="CA12" s="22" t="e">
        <f t="shared" ca="1" si="29"/>
        <v>#DIV/0!</v>
      </c>
      <c r="CB12" s="22" t="e">
        <f t="shared" ca="1" si="30"/>
        <v>#DIV/0!</v>
      </c>
    </row>
    <row r="13" spans="2:80" ht="15" hidden="1" customHeight="1" x14ac:dyDescent="0.15">
      <c r="B13" s="4" t="str">
        <f ca="1">图表数据!E12</f>
        <v>2013-04</v>
      </c>
      <c r="C13" s="24">
        <v>0</v>
      </c>
      <c r="D13" s="24">
        <v>0</v>
      </c>
      <c r="E13" s="24">
        <v>0</v>
      </c>
      <c r="F13" s="24">
        <v>0</v>
      </c>
      <c r="G13" s="24">
        <v>0</v>
      </c>
      <c r="H13" s="24">
        <v>0</v>
      </c>
      <c r="I13" s="24">
        <v>0</v>
      </c>
      <c r="J13" s="24">
        <v>0</v>
      </c>
      <c r="K13" s="24">
        <v>0</v>
      </c>
      <c r="L13" s="24">
        <v>0</v>
      </c>
      <c r="M13" s="24">
        <v>0</v>
      </c>
      <c r="N13" s="24">
        <v>0</v>
      </c>
      <c r="O13" s="24">
        <v>0</v>
      </c>
      <c r="P13" s="24">
        <v>0</v>
      </c>
      <c r="R13" s="4" t="str">
        <f ca="1">图表数据!E12</f>
        <v>2013-04</v>
      </c>
      <c r="S13" s="4">
        <f ca="1">图表数据!F12</f>
        <v>0</v>
      </c>
      <c r="T13" s="4">
        <f ca="1">图表数据!G12</f>
        <v>0</v>
      </c>
      <c r="U13" s="4">
        <f ca="1">图表数据!H12</f>
        <v>0</v>
      </c>
      <c r="V13" s="4">
        <f ca="1">图表数据!I12</f>
        <v>0</v>
      </c>
      <c r="W13" s="4">
        <f ca="1">图表数据!J12</f>
        <v>0</v>
      </c>
      <c r="X13" s="4">
        <f ca="1">图表数据!K12</f>
        <v>0</v>
      </c>
      <c r="Y13" s="4">
        <f ca="1">图表数据!L12</f>
        <v>0</v>
      </c>
      <c r="Z13" s="4">
        <f ca="1">图表数据!M12</f>
        <v>0</v>
      </c>
      <c r="AA13" s="4">
        <f ca="1">图表数据!N12</f>
        <v>0</v>
      </c>
      <c r="AB13" s="4">
        <f ca="1">图表数据!O12</f>
        <v>0</v>
      </c>
      <c r="AC13" s="4">
        <f ca="1">图表数据!P12</f>
        <v>0</v>
      </c>
      <c r="AD13" s="4">
        <f ca="1">图表数据!Q12</f>
        <v>0</v>
      </c>
      <c r="AE13" s="4">
        <f ca="1">图表数据!R12</f>
        <v>0</v>
      </c>
      <c r="AF13" s="4">
        <f ca="1">图表数据!S12</f>
        <v>0</v>
      </c>
      <c r="AH13" s="4" t="str">
        <f t="shared" ca="1" si="1"/>
        <v>2013-04</v>
      </c>
      <c r="AI13" s="22" t="s">
        <v>157</v>
      </c>
      <c r="AJ13" s="22" t="s">
        <v>157</v>
      </c>
      <c r="AK13" s="22" t="s">
        <v>157</v>
      </c>
      <c r="AL13" s="22" t="s">
        <v>157</v>
      </c>
      <c r="AM13" s="22" t="s">
        <v>157</v>
      </c>
      <c r="AN13" s="22" t="s">
        <v>157</v>
      </c>
      <c r="AO13" s="22" t="s">
        <v>157</v>
      </c>
      <c r="AP13" s="22" t="s">
        <v>157</v>
      </c>
      <c r="AQ13" s="22" t="s">
        <v>157</v>
      </c>
      <c r="AR13" s="22" t="s">
        <v>157</v>
      </c>
      <c r="AS13" s="22" t="s">
        <v>157</v>
      </c>
      <c r="AT13" s="22" t="s">
        <v>157</v>
      </c>
      <c r="AU13" s="22" t="s">
        <v>157</v>
      </c>
      <c r="AV13" s="22" t="s">
        <v>157</v>
      </c>
      <c r="AX13" s="4" t="str">
        <f t="shared" ca="1" si="2"/>
        <v>2013-04</v>
      </c>
      <c r="AY13" s="22" t="e">
        <f t="shared" ca="1" si="31"/>
        <v>#DIV/0!</v>
      </c>
      <c r="AZ13" s="22" t="e">
        <f t="shared" ca="1" si="3"/>
        <v>#DIV/0!</v>
      </c>
      <c r="BA13" s="22" t="e">
        <f t="shared" ca="1" si="4"/>
        <v>#DIV/0!</v>
      </c>
      <c r="BB13" s="22" t="e">
        <f t="shared" ca="1" si="5"/>
        <v>#DIV/0!</v>
      </c>
      <c r="BC13" s="22" t="e">
        <f t="shared" ca="1" si="6"/>
        <v>#DIV/0!</v>
      </c>
      <c r="BD13" s="22" t="e">
        <f t="shared" ca="1" si="7"/>
        <v>#DIV/0!</v>
      </c>
      <c r="BE13" s="22" t="e">
        <f t="shared" ca="1" si="8"/>
        <v>#DIV/0!</v>
      </c>
      <c r="BF13" s="22" t="e">
        <f t="shared" ca="1" si="9"/>
        <v>#DIV/0!</v>
      </c>
      <c r="BG13" s="22" t="e">
        <f t="shared" ca="1" si="10"/>
        <v>#DIV/0!</v>
      </c>
      <c r="BH13" s="22" t="e">
        <f t="shared" ca="1" si="11"/>
        <v>#DIV/0!</v>
      </c>
      <c r="BI13" s="22" t="e">
        <f t="shared" ca="1" si="12"/>
        <v>#DIV/0!</v>
      </c>
      <c r="BJ13" s="22" t="e">
        <f t="shared" ca="1" si="13"/>
        <v>#DIV/0!</v>
      </c>
      <c r="BK13" s="22" t="e">
        <f t="shared" ca="1" si="14"/>
        <v>#DIV/0!</v>
      </c>
      <c r="BL13" s="22" t="e">
        <f t="shared" ca="1" si="15"/>
        <v>#DIV/0!</v>
      </c>
      <c r="BN13" s="4" t="str">
        <f t="shared" ca="1" si="16"/>
        <v>2013-04</v>
      </c>
      <c r="BO13" s="22" t="e">
        <f t="shared" ca="1" si="17"/>
        <v>#DIV/0!</v>
      </c>
      <c r="BP13" s="22" t="e">
        <f t="shared" ca="1" si="18"/>
        <v>#DIV/0!</v>
      </c>
      <c r="BQ13" s="22" t="e">
        <f t="shared" ca="1" si="19"/>
        <v>#DIV/0!</v>
      </c>
      <c r="BR13" s="22" t="e">
        <f t="shared" ca="1" si="20"/>
        <v>#DIV/0!</v>
      </c>
      <c r="BS13" s="22" t="e">
        <f t="shared" ca="1" si="21"/>
        <v>#DIV/0!</v>
      </c>
      <c r="BT13" s="22" t="e">
        <f t="shared" ca="1" si="22"/>
        <v>#DIV/0!</v>
      </c>
      <c r="BU13" s="22" t="e">
        <f t="shared" ca="1" si="23"/>
        <v>#DIV/0!</v>
      </c>
      <c r="BV13" s="22" t="e">
        <f t="shared" ca="1" si="24"/>
        <v>#DIV/0!</v>
      </c>
      <c r="BW13" s="22" t="e">
        <f t="shared" ca="1" si="25"/>
        <v>#DIV/0!</v>
      </c>
      <c r="BX13" s="22" t="e">
        <f t="shared" ca="1" si="26"/>
        <v>#DIV/0!</v>
      </c>
      <c r="BY13" s="22" t="e">
        <f t="shared" ca="1" si="27"/>
        <v>#DIV/0!</v>
      </c>
      <c r="BZ13" s="22" t="e">
        <f t="shared" ca="1" si="28"/>
        <v>#DIV/0!</v>
      </c>
      <c r="CA13" s="22" t="e">
        <f t="shared" ca="1" si="29"/>
        <v>#DIV/0!</v>
      </c>
      <c r="CB13" s="22" t="e">
        <f t="shared" ca="1" si="30"/>
        <v>#DIV/0!</v>
      </c>
    </row>
    <row r="14" spans="2:80" ht="15" hidden="1" customHeight="1" x14ac:dyDescent="0.15">
      <c r="B14" s="4" t="str">
        <f ca="1">图表数据!E13</f>
        <v>2013-05</v>
      </c>
      <c r="C14" s="24">
        <v>0</v>
      </c>
      <c r="D14" s="24">
        <v>0</v>
      </c>
      <c r="E14" s="24">
        <v>0</v>
      </c>
      <c r="F14" s="24">
        <v>0</v>
      </c>
      <c r="G14" s="24">
        <v>0</v>
      </c>
      <c r="H14" s="24">
        <v>0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R14" s="4" t="str">
        <f ca="1">图表数据!E13</f>
        <v>2013-05</v>
      </c>
      <c r="S14" s="4">
        <f ca="1">图表数据!F13</f>
        <v>0</v>
      </c>
      <c r="T14" s="4">
        <f ca="1">图表数据!G13</f>
        <v>0</v>
      </c>
      <c r="U14" s="4">
        <f ca="1">图表数据!H13</f>
        <v>0</v>
      </c>
      <c r="V14" s="4">
        <f ca="1">图表数据!I13</f>
        <v>0</v>
      </c>
      <c r="W14" s="4">
        <f ca="1">图表数据!J13</f>
        <v>0</v>
      </c>
      <c r="X14" s="4">
        <f ca="1">图表数据!K13</f>
        <v>0</v>
      </c>
      <c r="Y14" s="4">
        <f ca="1">图表数据!L13</f>
        <v>0</v>
      </c>
      <c r="Z14" s="4">
        <f ca="1">图表数据!M13</f>
        <v>0</v>
      </c>
      <c r="AA14" s="4">
        <f ca="1">图表数据!N13</f>
        <v>0</v>
      </c>
      <c r="AB14" s="4">
        <f ca="1">图表数据!O13</f>
        <v>0</v>
      </c>
      <c r="AC14" s="4">
        <f ca="1">图表数据!P13</f>
        <v>0</v>
      </c>
      <c r="AD14" s="4">
        <f ca="1">图表数据!Q13</f>
        <v>0</v>
      </c>
      <c r="AE14" s="4">
        <f ca="1">图表数据!R13</f>
        <v>0</v>
      </c>
      <c r="AF14" s="4">
        <f ca="1">图表数据!S13</f>
        <v>0</v>
      </c>
      <c r="AH14" s="4" t="str">
        <f t="shared" ca="1" si="1"/>
        <v>2013-05</v>
      </c>
      <c r="AI14" s="22" t="s">
        <v>157</v>
      </c>
      <c r="AJ14" s="22" t="s">
        <v>157</v>
      </c>
      <c r="AK14" s="22" t="s">
        <v>157</v>
      </c>
      <c r="AL14" s="22" t="s">
        <v>157</v>
      </c>
      <c r="AM14" s="22" t="s">
        <v>157</v>
      </c>
      <c r="AN14" s="22" t="s">
        <v>157</v>
      </c>
      <c r="AO14" s="22" t="s">
        <v>157</v>
      </c>
      <c r="AP14" s="22" t="s">
        <v>157</v>
      </c>
      <c r="AQ14" s="22" t="s">
        <v>157</v>
      </c>
      <c r="AR14" s="22" t="s">
        <v>157</v>
      </c>
      <c r="AS14" s="22" t="s">
        <v>157</v>
      </c>
      <c r="AT14" s="22" t="s">
        <v>157</v>
      </c>
      <c r="AU14" s="22" t="s">
        <v>157</v>
      </c>
      <c r="AV14" s="22" t="s">
        <v>157</v>
      </c>
      <c r="AX14" s="4" t="str">
        <f t="shared" ca="1" si="2"/>
        <v>2013-05</v>
      </c>
      <c r="AY14" s="22" t="e">
        <f t="shared" ca="1" si="31"/>
        <v>#DIV/0!</v>
      </c>
      <c r="AZ14" s="22" t="e">
        <f t="shared" ca="1" si="3"/>
        <v>#DIV/0!</v>
      </c>
      <c r="BA14" s="22" t="e">
        <f t="shared" ca="1" si="4"/>
        <v>#DIV/0!</v>
      </c>
      <c r="BB14" s="22" t="e">
        <f t="shared" ca="1" si="5"/>
        <v>#DIV/0!</v>
      </c>
      <c r="BC14" s="22" t="e">
        <f t="shared" ca="1" si="6"/>
        <v>#DIV/0!</v>
      </c>
      <c r="BD14" s="22" t="e">
        <f t="shared" ca="1" si="7"/>
        <v>#DIV/0!</v>
      </c>
      <c r="BE14" s="22" t="e">
        <f t="shared" ca="1" si="8"/>
        <v>#DIV/0!</v>
      </c>
      <c r="BF14" s="22" t="e">
        <f t="shared" ca="1" si="9"/>
        <v>#DIV/0!</v>
      </c>
      <c r="BG14" s="22" t="e">
        <f t="shared" ca="1" si="10"/>
        <v>#DIV/0!</v>
      </c>
      <c r="BH14" s="22" t="e">
        <f t="shared" ca="1" si="11"/>
        <v>#DIV/0!</v>
      </c>
      <c r="BI14" s="22" t="e">
        <f t="shared" ca="1" si="12"/>
        <v>#DIV/0!</v>
      </c>
      <c r="BJ14" s="22" t="e">
        <f t="shared" ca="1" si="13"/>
        <v>#DIV/0!</v>
      </c>
      <c r="BK14" s="22" t="e">
        <f t="shared" ca="1" si="14"/>
        <v>#DIV/0!</v>
      </c>
      <c r="BL14" s="22" t="e">
        <f t="shared" ca="1" si="15"/>
        <v>#DIV/0!</v>
      </c>
      <c r="BN14" s="4" t="str">
        <f t="shared" ca="1" si="16"/>
        <v>2013-05</v>
      </c>
      <c r="BO14" s="22" t="e">
        <f t="shared" ca="1" si="17"/>
        <v>#DIV/0!</v>
      </c>
      <c r="BP14" s="22" t="e">
        <f t="shared" ca="1" si="18"/>
        <v>#DIV/0!</v>
      </c>
      <c r="BQ14" s="22" t="e">
        <f t="shared" ca="1" si="19"/>
        <v>#DIV/0!</v>
      </c>
      <c r="BR14" s="22" t="e">
        <f t="shared" ca="1" si="20"/>
        <v>#DIV/0!</v>
      </c>
      <c r="BS14" s="22" t="e">
        <f t="shared" ca="1" si="21"/>
        <v>#DIV/0!</v>
      </c>
      <c r="BT14" s="22" t="e">
        <f t="shared" ca="1" si="22"/>
        <v>#DIV/0!</v>
      </c>
      <c r="BU14" s="22" t="e">
        <f t="shared" ca="1" si="23"/>
        <v>#DIV/0!</v>
      </c>
      <c r="BV14" s="22" t="e">
        <f t="shared" ca="1" si="24"/>
        <v>#DIV/0!</v>
      </c>
      <c r="BW14" s="22" t="e">
        <f t="shared" ca="1" si="25"/>
        <v>#DIV/0!</v>
      </c>
      <c r="BX14" s="22" t="e">
        <f t="shared" ca="1" si="26"/>
        <v>#DIV/0!</v>
      </c>
      <c r="BY14" s="22" t="e">
        <f t="shared" ca="1" si="27"/>
        <v>#DIV/0!</v>
      </c>
      <c r="BZ14" s="22" t="e">
        <f t="shared" ca="1" si="28"/>
        <v>#DIV/0!</v>
      </c>
      <c r="CA14" s="22" t="e">
        <f t="shared" ca="1" si="29"/>
        <v>#DIV/0!</v>
      </c>
      <c r="CB14" s="22" t="e">
        <f t="shared" ca="1" si="30"/>
        <v>#DIV/0!</v>
      </c>
    </row>
    <row r="15" spans="2:80" ht="15" hidden="1" customHeight="1" x14ac:dyDescent="0.15">
      <c r="B15" s="4" t="str">
        <f ca="1">图表数据!E14</f>
        <v>2013-06</v>
      </c>
      <c r="C15" s="24">
        <v>0</v>
      </c>
      <c r="D15" s="24">
        <v>0</v>
      </c>
      <c r="E15" s="24">
        <v>0</v>
      </c>
      <c r="F15" s="24">
        <v>0</v>
      </c>
      <c r="G15" s="24">
        <v>0</v>
      </c>
      <c r="H15" s="24">
        <v>0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  <c r="N15" s="24">
        <v>0</v>
      </c>
      <c r="O15" s="24">
        <v>0</v>
      </c>
      <c r="P15" s="24">
        <v>0</v>
      </c>
      <c r="R15" s="4" t="str">
        <f ca="1">图表数据!E14</f>
        <v>2013-06</v>
      </c>
      <c r="S15" s="4">
        <f ca="1">图表数据!F14</f>
        <v>0</v>
      </c>
      <c r="T15" s="4">
        <f ca="1">图表数据!G14</f>
        <v>0</v>
      </c>
      <c r="U15" s="4">
        <f ca="1">图表数据!H14</f>
        <v>0</v>
      </c>
      <c r="V15" s="4">
        <f ca="1">图表数据!I14</f>
        <v>0</v>
      </c>
      <c r="W15" s="4">
        <f ca="1">图表数据!J14</f>
        <v>0</v>
      </c>
      <c r="X15" s="4">
        <f ca="1">图表数据!K14</f>
        <v>0</v>
      </c>
      <c r="Y15" s="4">
        <f ca="1">图表数据!L14</f>
        <v>0</v>
      </c>
      <c r="Z15" s="4">
        <f ca="1">图表数据!M14</f>
        <v>0</v>
      </c>
      <c r="AA15" s="4">
        <f ca="1">图表数据!N14</f>
        <v>0</v>
      </c>
      <c r="AB15" s="4">
        <f ca="1">图表数据!O14</f>
        <v>0</v>
      </c>
      <c r="AC15" s="4">
        <f ca="1">图表数据!P14</f>
        <v>0</v>
      </c>
      <c r="AD15" s="4">
        <f ca="1">图表数据!Q14</f>
        <v>0</v>
      </c>
      <c r="AE15" s="4">
        <f ca="1">图表数据!R14</f>
        <v>0</v>
      </c>
      <c r="AF15" s="4">
        <f ca="1">图表数据!S14</f>
        <v>0</v>
      </c>
      <c r="AH15" s="4" t="str">
        <f t="shared" ca="1" si="1"/>
        <v>2013-06</v>
      </c>
      <c r="AI15" s="22" t="e">
        <f ca="1">S15/S3-1</f>
        <v>#DIV/0!</v>
      </c>
      <c r="AJ15" s="22" t="e">
        <f t="shared" ref="AJ15:AV15" ca="1" si="32">T15/T3-1</f>
        <v>#DIV/0!</v>
      </c>
      <c r="AK15" s="22" t="e">
        <f t="shared" ca="1" si="32"/>
        <v>#DIV/0!</v>
      </c>
      <c r="AL15" s="22" t="e">
        <f t="shared" ca="1" si="32"/>
        <v>#DIV/0!</v>
      </c>
      <c r="AM15" s="22" t="e">
        <f t="shared" ca="1" si="32"/>
        <v>#DIV/0!</v>
      </c>
      <c r="AN15" s="22" t="e">
        <f t="shared" ca="1" si="32"/>
        <v>#DIV/0!</v>
      </c>
      <c r="AO15" s="22" t="e">
        <f t="shared" ca="1" si="32"/>
        <v>#DIV/0!</v>
      </c>
      <c r="AP15" s="22" t="e">
        <f t="shared" ca="1" si="32"/>
        <v>#DIV/0!</v>
      </c>
      <c r="AQ15" s="22" t="e">
        <f t="shared" ca="1" si="32"/>
        <v>#DIV/0!</v>
      </c>
      <c r="AR15" s="22" t="e">
        <f t="shared" ca="1" si="32"/>
        <v>#DIV/0!</v>
      </c>
      <c r="AS15" s="22" t="e">
        <f t="shared" ca="1" si="32"/>
        <v>#DIV/0!</v>
      </c>
      <c r="AT15" s="22" t="e">
        <f t="shared" ca="1" si="32"/>
        <v>#DIV/0!</v>
      </c>
      <c r="AU15" s="22" t="e">
        <f t="shared" ca="1" si="32"/>
        <v>#DIV/0!</v>
      </c>
      <c r="AV15" s="22" t="e">
        <f t="shared" ca="1" si="32"/>
        <v>#DIV/0!</v>
      </c>
      <c r="AX15" s="4" t="str">
        <f t="shared" ca="1" si="2"/>
        <v>2013-06</v>
      </c>
      <c r="AY15" s="22" t="e">
        <f t="shared" ca="1" si="31"/>
        <v>#DIV/0!</v>
      </c>
      <c r="AZ15" s="22" t="e">
        <f t="shared" ca="1" si="3"/>
        <v>#DIV/0!</v>
      </c>
      <c r="BA15" s="22" t="e">
        <f t="shared" ca="1" si="4"/>
        <v>#DIV/0!</v>
      </c>
      <c r="BB15" s="22" t="e">
        <f t="shared" ca="1" si="5"/>
        <v>#DIV/0!</v>
      </c>
      <c r="BC15" s="22" t="e">
        <f t="shared" ca="1" si="6"/>
        <v>#DIV/0!</v>
      </c>
      <c r="BD15" s="22" t="e">
        <f t="shared" ca="1" si="7"/>
        <v>#DIV/0!</v>
      </c>
      <c r="BE15" s="22" t="e">
        <f t="shared" ca="1" si="8"/>
        <v>#DIV/0!</v>
      </c>
      <c r="BF15" s="22" t="e">
        <f t="shared" ca="1" si="9"/>
        <v>#DIV/0!</v>
      </c>
      <c r="BG15" s="22" t="e">
        <f t="shared" ca="1" si="10"/>
        <v>#DIV/0!</v>
      </c>
      <c r="BH15" s="22" t="e">
        <f t="shared" ca="1" si="11"/>
        <v>#DIV/0!</v>
      </c>
      <c r="BI15" s="22" t="e">
        <f t="shared" ca="1" si="12"/>
        <v>#DIV/0!</v>
      </c>
      <c r="BJ15" s="22" t="e">
        <f t="shared" ca="1" si="13"/>
        <v>#DIV/0!</v>
      </c>
      <c r="BK15" s="22" t="e">
        <f t="shared" ca="1" si="14"/>
        <v>#DIV/0!</v>
      </c>
      <c r="BL15" s="22" t="e">
        <f t="shared" ca="1" si="15"/>
        <v>#DIV/0!</v>
      </c>
      <c r="BN15" s="4" t="str">
        <f t="shared" ca="1" si="16"/>
        <v>2013-06</v>
      </c>
      <c r="BO15" s="22" t="e">
        <f t="shared" ca="1" si="17"/>
        <v>#DIV/0!</v>
      </c>
      <c r="BP15" s="22" t="e">
        <f t="shared" ca="1" si="18"/>
        <v>#DIV/0!</v>
      </c>
      <c r="BQ15" s="22" t="e">
        <f t="shared" ca="1" si="19"/>
        <v>#DIV/0!</v>
      </c>
      <c r="BR15" s="22" t="e">
        <f t="shared" ca="1" si="20"/>
        <v>#DIV/0!</v>
      </c>
      <c r="BS15" s="22" t="e">
        <f t="shared" ca="1" si="21"/>
        <v>#DIV/0!</v>
      </c>
      <c r="BT15" s="22" t="e">
        <f t="shared" ca="1" si="22"/>
        <v>#DIV/0!</v>
      </c>
      <c r="BU15" s="22" t="e">
        <f t="shared" ca="1" si="23"/>
        <v>#DIV/0!</v>
      </c>
      <c r="BV15" s="22" t="e">
        <f t="shared" ca="1" si="24"/>
        <v>#DIV/0!</v>
      </c>
      <c r="BW15" s="22" t="e">
        <f t="shared" ca="1" si="25"/>
        <v>#DIV/0!</v>
      </c>
      <c r="BX15" s="22" t="e">
        <f t="shared" ca="1" si="26"/>
        <v>#DIV/0!</v>
      </c>
      <c r="BY15" s="22" t="e">
        <f t="shared" ca="1" si="27"/>
        <v>#DIV/0!</v>
      </c>
      <c r="BZ15" s="22" t="e">
        <f t="shared" ca="1" si="28"/>
        <v>#DIV/0!</v>
      </c>
      <c r="CA15" s="22" t="e">
        <f t="shared" ca="1" si="29"/>
        <v>#DIV/0!</v>
      </c>
      <c r="CB15" s="22" t="e">
        <f t="shared" ca="1" si="30"/>
        <v>#DIV/0!</v>
      </c>
    </row>
    <row r="16" spans="2:80" ht="15" hidden="1" customHeight="1" x14ac:dyDescent="0.15">
      <c r="B16" s="4" t="str">
        <f ca="1">图表数据!E15</f>
        <v>2013-07</v>
      </c>
      <c r="C16" s="24">
        <v>0</v>
      </c>
      <c r="D16" s="24">
        <v>0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24">
        <v>0</v>
      </c>
      <c r="N16" s="24">
        <v>0</v>
      </c>
      <c r="O16" s="24">
        <v>0</v>
      </c>
      <c r="P16" s="24">
        <v>0</v>
      </c>
      <c r="R16" s="4" t="str">
        <f ca="1">图表数据!E15</f>
        <v>2013-07</v>
      </c>
      <c r="S16" s="4">
        <f ca="1">图表数据!F15</f>
        <v>0</v>
      </c>
      <c r="T16" s="4">
        <f ca="1">图表数据!G15</f>
        <v>0</v>
      </c>
      <c r="U16" s="4">
        <f ca="1">图表数据!H15</f>
        <v>0</v>
      </c>
      <c r="V16" s="4">
        <f ca="1">图表数据!I15</f>
        <v>0</v>
      </c>
      <c r="W16" s="4">
        <f ca="1">图表数据!J15</f>
        <v>0</v>
      </c>
      <c r="X16" s="4">
        <f ca="1">图表数据!K15</f>
        <v>0</v>
      </c>
      <c r="Y16" s="4">
        <f ca="1">图表数据!L15</f>
        <v>0</v>
      </c>
      <c r="Z16" s="4">
        <f ca="1">图表数据!M15</f>
        <v>0</v>
      </c>
      <c r="AA16" s="4">
        <f ca="1">图表数据!N15</f>
        <v>0</v>
      </c>
      <c r="AB16" s="4">
        <f ca="1">图表数据!O15</f>
        <v>0</v>
      </c>
      <c r="AC16" s="4">
        <f ca="1">图表数据!P15</f>
        <v>0</v>
      </c>
      <c r="AD16" s="4">
        <f ca="1">图表数据!Q15</f>
        <v>0</v>
      </c>
      <c r="AE16" s="4">
        <f ca="1">图表数据!R15</f>
        <v>0</v>
      </c>
      <c r="AF16" s="4">
        <f ca="1">图表数据!S15</f>
        <v>0</v>
      </c>
      <c r="AH16" s="4" t="str">
        <f t="shared" ca="1" si="1"/>
        <v>2013-07</v>
      </c>
      <c r="AI16" s="22" t="e">
        <f t="shared" ref="AI16:AV16" ca="1" si="33">S16/S4-1</f>
        <v>#DIV/0!</v>
      </c>
      <c r="AJ16" s="22" t="e">
        <f t="shared" ca="1" si="33"/>
        <v>#DIV/0!</v>
      </c>
      <c r="AK16" s="22" t="e">
        <f t="shared" ca="1" si="33"/>
        <v>#DIV/0!</v>
      </c>
      <c r="AL16" s="22" t="e">
        <f t="shared" ca="1" si="33"/>
        <v>#DIV/0!</v>
      </c>
      <c r="AM16" s="22" t="e">
        <f t="shared" ca="1" si="33"/>
        <v>#DIV/0!</v>
      </c>
      <c r="AN16" s="22" t="e">
        <f t="shared" ca="1" si="33"/>
        <v>#DIV/0!</v>
      </c>
      <c r="AO16" s="22" t="e">
        <f t="shared" ca="1" si="33"/>
        <v>#DIV/0!</v>
      </c>
      <c r="AP16" s="22" t="e">
        <f t="shared" ca="1" si="33"/>
        <v>#DIV/0!</v>
      </c>
      <c r="AQ16" s="22" t="e">
        <f t="shared" ca="1" si="33"/>
        <v>#DIV/0!</v>
      </c>
      <c r="AR16" s="22" t="e">
        <f t="shared" ca="1" si="33"/>
        <v>#DIV/0!</v>
      </c>
      <c r="AS16" s="22" t="e">
        <f t="shared" ca="1" si="33"/>
        <v>#DIV/0!</v>
      </c>
      <c r="AT16" s="22" t="e">
        <f t="shared" ca="1" si="33"/>
        <v>#DIV/0!</v>
      </c>
      <c r="AU16" s="22" t="e">
        <f t="shared" ca="1" si="33"/>
        <v>#DIV/0!</v>
      </c>
      <c r="AV16" s="22" t="e">
        <f t="shared" ca="1" si="33"/>
        <v>#DIV/0!</v>
      </c>
      <c r="AX16" s="4" t="str">
        <f t="shared" ca="1" si="2"/>
        <v>2013-07</v>
      </c>
      <c r="AY16" s="22" t="e">
        <f t="shared" ca="1" si="31"/>
        <v>#DIV/0!</v>
      </c>
      <c r="AZ16" s="22" t="e">
        <f t="shared" ca="1" si="3"/>
        <v>#DIV/0!</v>
      </c>
      <c r="BA16" s="22" t="e">
        <f t="shared" ca="1" si="4"/>
        <v>#DIV/0!</v>
      </c>
      <c r="BB16" s="22" t="e">
        <f t="shared" ca="1" si="5"/>
        <v>#DIV/0!</v>
      </c>
      <c r="BC16" s="22" t="e">
        <f t="shared" ca="1" si="6"/>
        <v>#DIV/0!</v>
      </c>
      <c r="BD16" s="22" t="e">
        <f t="shared" ca="1" si="7"/>
        <v>#DIV/0!</v>
      </c>
      <c r="BE16" s="22" t="e">
        <f t="shared" ca="1" si="8"/>
        <v>#DIV/0!</v>
      </c>
      <c r="BF16" s="22" t="e">
        <f t="shared" ca="1" si="9"/>
        <v>#DIV/0!</v>
      </c>
      <c r="BG16" s="22" t="e">
        <f t="shared" ca="1" si="10"/>
        <v>#DIV/0!</v>
      </c>
      <c r="BH16" s="22" t="e">
        <f t="shared" ca="1" si="11"/>
        <v>#DIV/0!</v>
      </c>
      <c r="BI16" s="22" t="e">
        <f t="shared" ca="1" si="12"/>
        <v>#DIV/0!</v>
      </c>
      <c r="BJ16" s="22" t="e">
        <f t="shared" ca="1" si="13"/>
        <v>#DIV/0!</v>
      </c>
      <c r="BK16" s="22" t="e">
        <f t="shared" ca="1" si="14"/>
        <v>#DIV/0!</v>
      </c>
      <c r="BL16" s="22" t="e">
        <f t="shared" ca="1" si="15"/>
        <v>#DIV/0!</v>
      </c>
      <c r="BN16" s="4" t="str">
        <f t="shared" ca="1" si="16"/>
        <v>2013-07</v>
      </c>
      <c r="BO16" s="22" t="e">
        <f t="shared" ca="1" si="17"/>
        <v>#DIV/0!</v>
      </c>
      <c r="BP16" s="22" t="e">
        <f t="shared" ca="1" si="18"/>
        <v>#DIV/0!</v>
      </c>
      <c r="BQ16" s="22" t="e">
        <f t="shared" ca="1" si="19"/>
        <v>#DIV/0!</v>
      </c>
      <c r="BR16" s="22" t="e">
        <f t="shared" ca="1" si="20"/>
        <v>#DIV/0!</v>
      </c>
      <c r="BS16" s="22" t="e">
        <f t="shared" ca="1" si="21"/>
        <v>#DIV/0!</v>
      </c>
      <c r="BT16" s="22" t="e">
        <f t="shared" ca="1" si="22"/>
        <v>#DIV/0!</v>
      </c>
      <c r="BU16" s="22" t="e">
        <f t="shared" ca="1" si="23"/>
        <v>#DIV/0!</v>
      </c>
      <c r="BV16" s="22" t="e">
        <f t="shared" ca="1" si="24"/>
        <v>#DIV/0!</v>
      </c>
      <c r="BW16" s="22" t="e">
        <f t="shared" ca="1" si="25"/>
        <v>#DIV/0!</v>
      </c>
      <c r="BX16" s="22" t="e">
        <f t="shared" ca="1" si="26"/>
        <v>#DIV/0!</v>
      </c>
      <c r="BY16" s="22" t="e">
        <f t="shared" ca="1" si="27"/>
        <v>#DIV/0!</v>
      </c>
      <c r="BZ16" s="22" t="e">
        <f t="shared" ca="1" si="28"/>
        <v>#DIV/0!</v>
      </c>
      <c r="CA16" s="22" t="e">
        <f t="shared" ca="1" si="29"/>
        <v>#DIV/0!</v>
      </c>
      <c r="CB16" s="22" t="e">
        <f t="shared" ca="1" si="30"/>
        <v>#DIV/0!</v>
      </c>
    </row>
    <row r="17" spans="2:80" ht="15" hidden="1" customHeight="1" x14ac:dyDescent="0.15">
      <c r="B17" s="4" t="str">
        <f ca="1">图表数据!E16</f>
        <v>2013-08</v>
      </c>
      <c r="C17" s="24">
        <v>0</v>
      </c>
      <c r="D17" s="24">
        <v>0</v>
      </c>
      <c r="E17" s="24">
        <v>0</v>
      </c>
      <c r="F17" s="24">
        <v>0</v>
      </c>
      <c r="G17" s="24">
        <v>0</v>
      </c>
      <c r="H17" s="24">
        <v>0</v>
      </c>
      <c r="I17" s="24">
        <v>0</v>
      </c>
      <c r="J17" s="24">
        <v>0</v>
      </c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0</v>
      </c>
      <c r="R17" s="4" t="str">
        <f ca="1">图表数据!E16</f>
        <v>2013-08</v>
      </c>
      <c r="S17" s="4">
        <f ca="1">图表数据!F16</f>
        <v>0</v>
      </c>
      <c r="T17" s="4">
        <f ca="1">图表数据!G16</f>
        <v>0</v>
      </c>
      <c r="U17" s="4">
        <f ca="1">图表数据!H16</f>
        <v>0</v>
      </c>
      <c r="V17" s="4">
        <f ca="1">图表数据!I16</f>
        <v>0</v>
      </c>
      <c r="W17" s="4">
        <f ca="1">图表数据!J16</f>
        <v>0</v>
      </c>
      <c r="X17" s="4">
        <f ca="1">图表数据!K16</f>
        <v>0</v>
      </c>
      <c r="Y17" s="4">
        <f ca="1">图表数据!L16</f>
        <v>0</v>
      </c>
      <c r="Z17" s="4">
        <f ca="1">图表数据!M16</f>
        <v>0</v>
      </c>
      <c r="AA17" s="4">
        <f ca="1">图表数据!N16</f>
        <v>0</v>
      </c>
      <c r="AB17" s="4">
        <f ca="1">图表数据!O16</f>
        <v>0</v>
      </c>
      <c r="AC17" s="4">
        <f ca="1">图表数据!P16</f>
        <v>0</v>
      </c>
      <c r="AD17" s="4">
        <f ca="1">图表数据!Q16</f>
        <v>0</v>
      </c>
      <c r="AE17" s="4">
        <f ca="1">图表数据!R16</f>
        <v>0</v>
      </c>
      <c r="AF17" s="4">
        <f ca="1">图表数据!S16</f>
        <v>0</v>
      </c>
      <c r="AH17" s="4" t="str">
        <f t="shared" ca="1" si="1"/>
        <v>2013-08</v>
      </c>
      <c r="AI17" s="22" t="e">
        <f t="shared" ref="AI17:AV17" ca="1" si="34">S17/S5-1</f>
        <v>#DIV/0!</v>
      </c>
      <c r="AJ17" s="22" t="e">
        <f t="shared" ca="1" si="34"/>
        <v>#DIV/0!</v>
      </c>
      <c r="AK17" s="22" t="e">
        <f t="shared" ca="1" si="34"/>
        <v>#DIV/0!</v>
      </c>
      <c r="AL17" s="22" t="e">
        <f t="shared" ca="1" si="34"/>
        <v>#DIV/0!</v>
      </c>
      <c r="AM17" s="22" t="e">
        <f t="shared" ca="1" si="34"/>
        <v>#DIV/0!</v>
      </c>
      <c r="AN17" s="22" t="e">
        <f t="shared" ca="1" si="34"/>
        <v>#DIV/0!</v>
      </c>
      <c r="AO17" s="22" t="e">
        <f t="shared" ca="1" si="34"/>
        <v>#DIV/0!</v>
      </c>
      <c r="AP17" s="22" t="e">
        <f t="shared" ca="1" si="34"/>
        <v>#DIV/0!</v>
      </c>
      <c r="AQ17" s="22" t="e">
        <f t="shared" ca="1" si="34"/>
        <v>#DIV/0!</v>
      </c>
      <c r="AR17" s="22" t="e">
        <f t="shared" ca="1" si="34"/>
        <v>#DIV/0!</v>
      </c>
      <c r="AS17" s="22" t="e">
        <f t="shared" ca="1" si="34"/>
        <v>#DIV/0!</v>
      </c>
      <c r="AT17" s="22" t="e">
        <f t="shared" ca="1" si="34"/>
        <v>#DIV/0!</v>
      </c>
      <c r="AU17" s="22" t="e">
        <f t="shared" ca="1" si="34"/>
        <v>#DIV/0!</v>
      </c>
      <c r="AV17" s="22" t="e">
        <f t="shared" ca="1" si="34"/>
        <v>#DIV/0!</v>
      </c>
      <c r="AX17" s="4" t="str">
        <f t="shared" ca="1" si="2"/>
        <v>2013-08</v>
      </c>
      <c r="AY17" s="22" t="e">
        <f t="shared" ca="1" si="31"/>
        <v>#DIV/0!</v>
      </c>
      <c r="AZ17" s="22" t="e">
        <f t="shared" ca="1" si="3"/>
        <v>#DIV/0!</v>
      </c>
      <c r="BA17" s="22" t="e">
        <f t="shared" ca="1" si="4"/>
        <v>#DIV/0!</v>
      </c>
      <c r="BB17" s="22" t="e">
        <f t="shared" ca="1" si="5"/>
        <v>#DIV/0!</v>
      </c>
      <c r="BC17" s="22" t="e">
        <f t="shared" ca="1" si="6"/>
        <v>#DIV/0!</v>
      </c>
      <c r="BD17" s="22" t="e">
        <f t="shared" ca="1" si="7"/>
        <v>#DIV/0!</v>
      </c>
      <c r="BE17" s="22" t="e">
        <f t="shared" ca="1" si="8"/>
        <v>#DIV/0!</v>
      </c>
      <c r="BF17" s="22" t="e">
        <f t="shared" ca="1" si="9"/>
        <v>#DIV/0!</v>
      </c>
      <c r="BG17" s="22" t="e">
        <f t="shared" ca="1" si="10"/>
        <v>#DIV/0!</v>
      </c>
      <c r="BH17" s="22" t="e">
        <f t="shared" ca="1" si="11"/>
        <v>#DIV/0!</v>
      </c>
      <c r="BI17" s="22" t="e">
        <f t="shared" ca="1" si="12"/>
        <v>#DIV/0!</v>
      </c>
      <c r="BJ17" s="22" t="e">
        <f t="shared" ca="1" si="13"/>
        <v>#DIV/0!</v>
      </c>
      <c r="BK17" s="22" t="e">
        <f t="shared" ca="1" si="14"/>
        <v>#DIV/0!</v>
      </c>
      <c r="BL17" s="22" t="e">
        <f t="shared" ca="1" si="15"/>
        <v>#DIV/0!</v>
      </c>
      <c r="BN17" s="4" t="str">
        <f t="shared" ca="1" si="16"/>
        <v>2013-08</v>
      </c>
      <c r="BO17" s="22" t="e">
        <f t="shared" ca="1" si="17"/>
        <v>#DIV/0!</v>
      </c>
      <c r="BP17" s="22" t="e">
        <f t="shared" ca="1" si="18"/>
        <v>#DIV/0!</v>
      </c>
      <c r="BQ17" s="22" t="e">
        <f t="shared" ca="1" si="19"/>
        <v>#DIV/0!</v>
      </c>
      <c r="BR17" s="22" t="e">
        <f t="shared" ca="1" si="20"/>
        <v>#DIV/0!</v>
      </c>
      <c r="BS17" s="22" t="e">
        <f t="shared" ca="1" si="21"/>
        <v>#DIV/0!</v>
      </c>
      <c r="BT17" s="22" t="e">
        <f t="shared" ca="1" si="22"/>
        <v>#DIV/0!</v>
      </c>
      <c r="BU17" s="22" t="e">
        <f t="shared" ca="1" si="23"/>
        <v>#DIV/0!</v>
      </c>
      <c r="BV17" s="22" t="e">
        <f t="shared" ca="1" si="24"/>
        <v>#DIV/0!</v>
      </c>
      <c r="BW17" s="22" t="e">
        <f t="shared" ca="1" si="25"/>
        <v>#DIV/0!</v>
      </c>
      <c r="BX17" s="22" t="e">
        <f t="shared" ca="1" si="26"/>
        <v>#DIV/0!</v>
      </c>
      <c r="BY17" s="22" t="e">
        <f t="shared" ca="1" si="27"/>
        <v>#DIV/0!</v>
      </c>
      <c r="BZ17" s="22" t="e">
        <f t="shared" ca="1" si="28"/>
        <v>#DIV/0!</v>
      </c>
      <c r="CA17" s="22" t="e">
        <f t="shared" ca="1" si="29"/>
        <v>#DIV/0!</v>
      </c>
      <c r="CB17" s="22" t="e">
        <f t="shared" ca="1" si="30"/>
        <v>#DIV/0!</v>
      </c>
    </row>
    <row r="18" spans="2:80" ht="15" hidden="1" customHeight="1" x14ac:dyDescent="0.15">
      <c r="B18" s="4" t="str">
        <f ca="1">图表数据!E17</f>
        <v>2013-09</v>
      </c>
      <c r="C18" s="24">
        <v>0</v>
      </c>
      <c r="D18" s="24">
        <v>0</v>
      </c>
      <c r="E18" s="24">
        <v>0</v>
      </c>
      <c r="F18" s="24">
        <v>0</v>
      </c>
      <c r="G18" s="24">
        <v>0</v>
      </c>
      <c r="H18" s="24">
        <v>0</v>
      </c>
      <c r="I18" s="24">
        <v>0</v>
      </c>
      <c r="J18" s="24">
        <v>0</v>
      </c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R18" s="4" t="str">
        <f ca="1">图表数据!E17</f>
        <v>2013-09</v>
      </c>
      <c r="S18" s="4">
        <f ca="1">图表数据!F17</f>
        <v>0</v>
      </c>
      <c r="T18" s="4">
        <f ca="1">图表数据!G17</f>
        <v>0</v>
      </c>
      <c r="U18" s="4">
        <f ca="1">图表数据!H17</f>
        <v>0</v>
      </c>
      <c r="V18" s="4">
        <f ca="1">图表数据!I17</f>
        <v>0</v>
      </c>
      <c r="W18" s="4">
        <f ca="1">图表数据!J17</f>
        <v>0</v>
      </c>
      <c r="X18" s="4">
        <f ca="1">图表数据!K17</f>
        <v>0</v>
      </c>
      <c r="Y18" s="4">
        <f ca="1">图表数据!L17</f>
        <v>0</v>
      </c>
      <c r="Z18" s="4">
        <f ca="1">图表数据!M17</f>
        <v>0</v>
      </c>
      <c r="AA18" s="4">
        <f ca="1">图表数据!N17</f>
        <v>0</v>
      </c>
      <c r="AB18" s="4">
        <f ca="1">图表数据!O17</f>
        <v>0</v>
      </c>
      <c r="AC18" s="4">
        <f ca="1">图表数据!P17</f>
        <v>0</v>
      </c>
      <c r="AD18" s="4">
        <f ca="1">图表数据!Q17</f>
        <v>0</v>
      </c>
      <c r="AE18" s="4">
        <f ca="1">图表数据!R17</f>
        <v>0</v>
      </c>
      <c r="AF18" s="4">
        <f ca="1">图表数据!S17</f>
        <v>0</v>
      </c>
      <c r="AH18" s="4" t="str">
        <f t="shared" ca="1" si="1"/>
        <v>2013-09</v>
      </c>
      <c r="AI18" s="22" t="e">
        <f t="shared" ref="AI18:AV18" ca="1" si="35">S18/S6-1</f>
        <v>#DIV/0!</v>
      </c>
      <c r="AJ18" s="22" t="e">
        <f t="shared" ca="1" si="35"/>
        <v>#DIV/0!</v>
      </c>
      <c r="AK18" s="22" t="e">
        <f t="shared" ca="1" si="35"/>
        <v>#DIV/0!</v>
      </c>
      <c r="AL18" s="22" t="e">
        <f t="shared" ca="1" si="35"/>
        <v>#DIV/0!</v>
      </c>
      <c r="AM18" s="22" t="e">
        <f t="shared" ca="1" si="35"/>
        <v>#DIV/0!</v>
      </c>
      <c r="AN18" s="22" t="e">
        <f t="shared" ca="1" si="35"/>
        <v>#DIV/0!</v>
      </c>
      <c r="AO18" s="22" t="e">
        <f t="shared" ca="1" si="35"/>
        <v>#DIV/0!</v>
      </c>
      <c r="AP18" s="22" t="e">
        <f t="shared" ca="1" si="35"/>
        <v>#DIV/0!</v>
      </c>
      <c r="AQ18" s="22" t="e">
        <f t="shared" ca="1" si="35"/>
        <v>#DIV/0!</v>
      </c>
      <c r="AR18" s="22" t="e">
        <f t="shared" ca="1" si="35"/>
        <v>#DIV/0!</v>
      </c>
      <c r="AS18" s="22" t="e">
        <f t="shared" ca="1" si="35"/>
        <v>#DIV/0!</v>
      </c>
      <c r="AT18" s="22" t="e">
        <f t="shared" ca="1" si="35"/>
        <v>#DIV/0!</v>
      </c>
      <c r="AU18" s="22" t="e">
        <f t="shared" ca="1" si="35"/>
        <v>#DIV/0!</v>
      </c>
      <c r="AV18" s="22" t="e">
        <f t="shared" ca="1" si="35"/>
        <v>#DIV/0!</v>
      </c>
      <c r="AX18" s="4" t="str">
        <f t="shared" ca="1" si="2"/>
        <v>2013-09</v>
      </c>
      <c r="AY18" s="22" t="e">
        <f t="shared" ca="1" si="31"/>
        <v>#DIV/0!</v>
      </c>
      <c r="AZ18" s="22" t="e">
        <f t="shared" ca="1" si="3"/>
        <v>#DIV/0!</v>
      </c>
      <c r="BA18" s="22" t="e">
        <f t="shared" ca="1" si="4"/>
        <v>#DIV/0!</v>
      </c>
      <c r="BB18" s="22" t="e">
        <f t="shared" ca="1" si="5"/>
        <v>#DIV/0!</v>
      </c>
      <c r="BC18" s="22" t="e">
        <f t="shared" ca="1" si="6"/>
        <v>#DIV/0!</v>
      </c>
      <c r="BD18" s="22" t="e">
        <f t="shared" ca="1" si="7"/>
        <v>#DIV/0!</v>
      </c>
      <c r="BE18" s="22" t="e">
        <f t="shared" ca="1" si="8"/>
        <v>#DIV/0!</v>
      </c>
      <c r="BF18" s="22" t="e">
        <f t="shared" ca="1" si="9"/>
        <v>#DIV/0!</v>
      </c>
      <c r="BG18" s="22" t="e">
        <f t="shared" ca="1" si="10"/>
        <v>#DIV/0!</v>
      </c>
      <c r="BH18" s="22" t="e">
        <f t="shared" ca="1" si="11"/>
        <v>#DIV/0!</v>
      </c>
      <c r="BI18" s="22" t="e">
        <f t="shared" ca="1" si="12"/>
        <v>#DIV/0!</v>
      </c>
      <c r="BJ18" s="22" t="e">
        <f t="shared" ca="1" si="13"/>
        <v>#DIV/0!</v>
      </c>
      <c r="BK18" s="22" t="e">
        <f t="shared" ca="1" si="14"/>
        <v>#DIV/0!</v>
      </c>
      <c r="BL18" s="22" t="e">
        <f t="shared" ca="1" si="15"/>
        <v>#DIV/0!</v>
      </c>
      <c r="BN18" s="4" t="str">
        <f t="shared" ca="1" si="16"/>
        <v>2013-09</v>
      </c>
      <c r="BO18" s="22" t="e">
        <f t="shared" ca="1" si="17"/>
        <v>#DIV/0!</v>
      </c>
      <c r="BP18" s="22" t="e">
        <f t="shared" ca="1" si="18"/>
        <v>#DIV/0!</v>
      </c>
      <c r="BQ18" s="22" t="e">
        <f t="shared" ca="1" si="19"/>
        <v>#DIV/0!</v>
      </c>
      <c r="BR18" s="22" t="e">
        <f t="shared" ca="1" si="20"/>
        <v>#DIV/0!</v>
      </c>
      <c r="BS18" s="22" t="e">
        <f t="shared" ca="1" si="21"/>
        <v>#DIV/0!</v>
      </c>
      <c r="BT18" s="22" t="e">
        <f t="shared" ca="1" si="22"/>
        <v>#DIV/0!</v>
      </c>
      <c r="BU18" s="22" t="e">
        <f t="shared" ca="1" si="23"/>
        <v>#DIV/0!</v>
      </c>
      <c r="BV18" s="22" t="e">
        <f t="shared" ca="1" si="24"/>
        <v>#DIV/0!</v>
      </c>
      <c r="BW18" s="22" t="e">
        <f t="shared" ca="1" si="25"/>
        <v>#DIV/0!</v>
      </c>
      <c r="BX18" s="22" t="e">
        <f t="shared" ca="1" si="26"/>
        <v>#DIV/0!</v>
      </c>
      <c r="BY18" s="22" t="e">
        <f t="shared" ca="1" si="27"/>
        <v>#DIV/0!</v>
      </c>
      <c r="BZ18" s="22" t="e">
        <f t="shared" ca="1" si="28"/>
        <v>#DIV/0!</v>
      </c>
      <c r="CA18" s="22" t="e">
        <f t="shared" ca="1" si="29"/>
        <v>#DIV/0!</v>
      </c>
      <c r="CB18" s="22" t="e">
        <f t="shared" ca="1" si="30"/>
        <v>#DIV/0!</v>
      </c>
    </row>
    <row r="19" spans="2:80" ht="15" hidden="1" customHeight="1" x14ac:dyDescent="0.15">
      <c r="B19" s="4" t="str">
        <f ca="1">图表数据!E18</f>
        <v>2013-10</v>
      </c>
      <c r="C19" s="24">
        <v>0</v>
      </c>
      <c r="D19" s="24">
        <v>0</v>
      </c>
      <c r="E19" s="24">
        <v>0</v>
      </c>
      <c r="F19" s="24">
        <v>0</v>
      </c>
      <c r="G19" s="24">
        <v>0</v>
      </c>
      <c r="H19" s="24">
        <v>0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0</v>
      </c>
      <c r="R19" s="4" t="str">
        <f ca="1">图表数据!E18</f>
        <v>2013-10</v>
      </c>
      <c r="S19" s="4">
        <f ca="1">图表数据!F18</f>
        <v>0</v>
      </c>
      <c r="T19" s="4">
        <f ca="1">图表数据!G18</f>
        <v>0</v>
      </c>
      <c r="U19" s="4">
        <f ca="1">图表数据!H18</f>
        <v>0</v>
      </c>
      <c r="V19" s="4">
        <f ca="1">图表数据!I18</f>
        <v>0</v>
      </c>
      <c r="W19" s="4">
        <f ca="1">图表数据!J18</f>
        <v>0</v>
      </c>
      <c r="X19" s="4">
        <f ca="1">图表数据!K18</f>
        <v>0</v>
      </c>
      <c r="Y19" s="4">
        <f ca="1">图表数据!L18</f>
        <v>0</v>
      </c>
      <c r="Z19" s="4">
        <f ca="1">图表数据!M18</f>
        <v>0</v>
      </c>
      <c r="AA19" s="4">
        <f ca="1">图表数据!N18</f>
        <v>0</v>
      </c>
      <c r="AB19" s="4">
        <f ca="1">图表数据!O18</f>
        <v>0</v>
      </c>
      <c r="AC19" s="4">
        <f ca="1">图表数据!P18</f>
        <v>0</v>
      </c>
      <c r="AD19" s="4">
        <f ca="1">图表数据!Q18</f>
        <v>0</v>
      </c>
      <c r="AE19" s="4">
        <f ca="1">图表数据!R18</f>
        <v>0</v>
      </c>
      <c r="AF19" s="4">
        <f ca="1">图表数据!S18</f>
        <v>0</v>
      </c>
      <c r="AH19" s="4" t="str">
        <f t="shared" ca="1" si="1"/>
        <v>2013-10</v>
      </c>
      <c r="AI19" s="22" t="e">
        <f t="shared" ref="AI19:AV19" ca="1" si="36">S19/S7-1</f>
        <v>#DIV/0!</v>
      </c>
      <c r="AJ19" s="22" t="e">
        <f t="shared" ca="1" si="36"/>
        <v>#DIV/0!</v>
      </c>
      <c r="AK19" s="22" t="e">
        <f t="shared" ca="1" si="36"/>
        <v>#DIV/0!</v>
      </c>
      <c r="AL19" s="22" t="e">
        <f t="shared" ca="1" si="36"/>
        <v>#DIV/0!</v>
      </c>
      <c r="AM19" s="22" t="e">
        <f t="shared" ca="1" si="36"/>
        <v>#DIV/0!</v>
      </c>
      <c r="AN19" s="22" t="e">
        <f t="shared" ca="1" si="36"/>
        <v>#DIV/0!</v>
      </c>
      <c r="AO19" s="22" t="e">
        <f t="shared" ca="1" si="36"/>
        <v>#DIV/0!</v>
      </c>
      <c r="AP19" s="22" t="e">
        <f t="shared" ca="1" si="36"/>
        <v>#DIV/0!</v>
      </c>
      <c r="AQ19" s="22" t="e">
        <f t="shared" ca="1" si="36"/>
        <v>#DIV/0!</v>
      </c>
      <c r="AR19" s="22" t="e">
        <f t="shared" ca="1" si="36"/>
        <v>#DIV/0!</v>
      </c>
      <c r="AS19" s="22" t="e">
        <f t="shared" ca="1" si="36"/>
        <v>#DIV/0!</v>
      </c>
      <c r="AT19" s="22" t="e">
        <f t="shared" ca="1" si="36"/>
        <v>#DIV/0!</v>
      </c>
      <c r="AU19" s="22" t="e">
        <f t="shared" ca="1" si="36"/>
        <v>#DIV/0!</v>
      </c>
      <c r="AV19" s="22" t="e">
        <f t="shared" ca="1" si="36"/>
        <v>#DIV/0!</v>
      </c>
      <c r="AX19" s="4" t="str">
        <f t="shared" ca="1" si="2"/>
        <v>2013-10</v>
      </c>
      <c r="AY19" s="22" t="e">
        <f t="shared" ca="1" si="31"/>
        <v>#DIV/0!</v>
      </c>
      <c r="AZ19" s="22" t="e">
        <f t="shared" ca="1" si="3"/>
        <v>#DIV/0!</v>
      </c>
      <c r="BA19" s="22" t="e">
        <f t="shared" ca="1" si="4"/>
        <v>#DIV/0!</v>
      </c>
      <c r="BB19" s="22" t="e">
        <f t="shared" ca="1" si="5"/>
        <v>#DIV/0!</v>
      </c>
      <c r="BC19" s="22" t="e">
        <f t="shared" ca="1" si="6"/>
        <v>#DIV/0!</v>
      </c>
      <c r="BD19" s="22" t="e">
        <f t="shared" ca="1" si="7"/>
        <v>#DIV/0!</v>
      </c>
      <c r="BE19" s="22" t="e">
        <f t="shared" ca="1" si="8"/>
        <v>#DIV/0!</v>
      </c>
      <c r="BF19" s="22" t="e">
        <f t="shared" ca="1" si="9"/>
        <v>#DIV/0!</v>
      </c>
      <c r="BG19" s="22" t="e">
        <f t="shared" ca="1" si="10"/>
        <v>#DIV/0!</v>
      </c>
      <c r="BH19" s="22" t="e">
        <f t="shared" ca="1" si="11"/>
        <v>#DIV/0!</v>
      </c>
      <c r="BI19" s="22" t="e">
        <f t="shared" ca="1" si="12"/>
        <v>#DIV/0!</v>
      </c>
      <c r="BJ19" s="22" t="e">
        <f t="shared" ca="1" si="13"/>
        <v>#DIV/0!</v>
      </c>
      <c r="BK19" s="22" t="e">
        <f t="shared" ca="1" si="14"/>
        <v>#DIV/0!</v>
      </c>
      <c r="BL19" s="22" t="e">
        <f t="shared" ca="1" si="15"/>
        <v>#DIV/0!</v>
      </c>
      <c r="BN19" s="4" t="str">
        <f t="shared" ca="1" si="16"/>
        <v>2013-10</v>
      </c>
      <c r="BO19" s="22" t="e">
        <f t="shared" ca="1" si="17"/>
        <v>#DIV/0!</v>
      </c>
      <c r="BP19" s="22" t="e">
        <f t="shared" ca="1" si="18"/>
        <v>#DIV/0!</v>
      </c>
      <c r="BQ19" s="22" t="e">
        <f t="shared" ca="1" si="19"/>
        <v>#DIV/0!</v>
      </c>
      <c r="BR19" s="22" t="e">
        <f t="shared" ca="1" si="20"/>
        <v>#DIV/0!</v>
      </c>
      <c r="BS19" s="22" t="e">
        <f t="shared" ca="1" si="21"/>
        <v>#DIV/0!</v>
      </c>
      <c r="BT19" s="22" t="e">
        <f t="shared" ca="1" si="22"/>
        <v>#DIV/0!</v>
      </c>
      <c r="BU19" s="22" t="e">
        <f t="shared" ca="1" si="23"/>
        <v>#DIV/0!</v>
      </c>
      <c r="BV19" s="22" t="e">
        <f t="shared" ca="1" si="24"/>
        <v>#DIV/0!</v>
      </c>
      <c r="BW19" s="22" t="e">
        <f t="shared" ca="1" si="25"/>
        <v>#DIV/0!</v>
      </c>
      <c r="BX19" s="22" t="e">
        <f t="shared" ca="1" si="26"/>
        <v>#DIV/0!</v>
      </c>
      <c r="BY19" s="22" t="e">
        <f t="shared" ca="1" si="27"/>
        <v>#DIV/0!</v>
      </c>
      <c r="BZ19" s="22" t="e">
        <f t="shared" ca="1" si="28"/>
        <v>#DIV/0!</v>
      </c>
      <c r="CA19" s="22" t="e">
        <f t="shared" ca="1" si="29"/>
        <v>#DIV/0!</v>
      </c>
      <c r="CB19" s="22" t="e">
        <f t="shared" ca="1" si="30"/>
        <v>#DIV/0!</v>
      </c>
    </row>
    <row r="20" spans="2:80" ht="15" hidden="1" customHeight="1" x14ac:dyDescent="0.15">
      <c r="B20" s="4" t="str">
        <f ca="1">图表数据!E19</f>
        <v>2013-11</v>
      </c>
      <c r="C20" s="24">
        <v>0</v>
      </c>
      <c r="D20" s="24">
        <v>0</v>
      </c>
      <c r="E20" s="24">
        <v>0</v>
      </c>
      <c r="F20" s="24">
        <v>0</v>
      </c>
      <c r="G20" s="24">
        <v>0</v>
      </c>
      <c r="H20" s="24">
        <v>0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R20" s="4" t="str">
        <f ca="1">图表数据!E19</f>
        <v>2013-11</v>
      </c>
      <c r="S20" s="4">
        <f ca="1">图表数据!F19</f>
        <v>0</v>
      </c>
      <c r="T20" s="4">
        <f ca="1">图表数据!G19</f>
        <v>0</v>
      </c>
      <c r="U20" s="4">
        <f ca="1">图表数据!H19</f>
        <v>0</v>
      </c>
      <c r="V20" s="4">
        <f ca="1">图表数据!I19</f>
        <v>0</v>
      </c>
      <c r="W20" s="4">
        <f ca="1">图表数据!J19</f>
        <v>0</v>
      </c>
      <c r="X20" s="4">
        <f ca="1">图表数据!K19</f>
        <v>0</v>
      </c>
      <c r="Y20" s="4">
        <f ca="1">图表数据!L19</f>
        <v>0</v>
      </c>
      <c r="Z20" s="4">
        <f ca="1">图表数据!M19</f>
        <v>0</v>
      </c>
      <c r="AA20" s="4">
        <f ca="1">图表数据!N19</f>
        <v>0</v>
      </c>
      <c r="AB20" s="4">
        <f ca="1">图表数据!O19</f>
        <v>0</v>
      </c>
      <c r="AC20" s="4">
        <f ca="1">图表数据!P19</f>
        <v>0</v>
      </c>
      <c r="AD20" s="4">
        <f ca="1">图表数据!Q19</f>
        <v>0</v>
      </c>
      <c r="AE20" s="4">
        <f ca="1">图表数据!R19</f>
        <v>0</v>
      </c>
      <c r="AF20" s="4">
        <f ca="1">图表数据!S19</f>
        <v>0</v>
      </c>
      <c r="AH20" s="4" t="str">
        <f t="shared" ca="1" si="1"/>
        <v>2013-11</v>
      </c>
      <c r="AI20" s="22" t="e">
        <f t="shared" ref="AI20:AV20" ca="1" si="37">S20/S8-1</f>
        <v>#DIV/0!</v>
      </c>
      <c r="AJ20" s="22" t="e">
        <f t="shared" ca="1" si="37"/>
        <v>#DIV/0!</v>
      </c>
      <c r="AK20" s="22" t="e">
        <f t="shared" ca="1" si="37"/>
        <v>#DIV/0!</v>
      </c>
      <c r="AL20" s="22" t="e">
        <f t="shared" ca="1" si="37"/>
        <v>#DIV/0!</v>
      </c>
      <c r="AM20" s="22" t="e">
        <f t="shared" ca="1" si="37"/>
        <v>#DIV/0!</v>
      </c>
      <c r="AN20" s="22" t="e">
        <f t="shared" ca="1" si="37"/>
        <v>#DIV/0!</v>
      </c>
      <c r="AO20" s="22" t="e">
        <f t="shared" ca="1" si="37"/>
        <v>#DIV/0!</v>
      </c>
      <c r="AP20" s="22" t="e">
        <f t="shared" ca="1" si="37"/>
        <v>#DIV/0!</v>
      </c>
      <c r="AQ20" s="22" t="e">
        <f t="shared" ca="1" si="37"/>
        <v>#DIV/0!</v>
      </c>
      <c r="AR20" s="22" t="e">
        <f t="shared" ca="1" si="37"/>
        <v>#DIV/0!</v>
      </c>
      <c r="AS20" s="22" t="e">
        <f t="shared" ca="1" si="37"/>
        <v>#DIV/0!</v>
      </c>
      <c r="AT20" s="22" t="e">
        <f t="shared" ca="1" si="37"/>
        <v>#DIV/0!</v>
      </c>
      <c r="AU20" s="22" t="e">
        <f t="shared" ca="1" si="37"/>
        <v>#DIV/0!</v>
      </c>
      <c r="AV20" s="22" t="e">
        <f t="shared" ca="1" si="37"/>
        <v>#DIV/0!</v>
      </c>
      <c r="AX20" s="4" t="str">
        <f t="shared" ca="1" si="2"/>
        <v>2013-11</v>
      </c>
      <c r="AY20" s="22" t="e">
        <f t="shared" ca="1" si="31"/>
        <v>#DIV/0!</v>
      </c>
      <c r="AZ20" s="22" t="e">
        <f t="shared" ca="1" si="3"/>
        <v>#DIV/0!</v>
      </c>
      <c r="BA20" s="22" t="e">
        <f t="shared" ca="1" si="4"/>
        <v>#DIV/0!</v>
      </c>
      <c r="BB20" s="22" t="e">
        <f t="shared" ca="1" si="5"/>
        <v>#DIV/0!</v>
      </c>
      <c r="BC20" s="22" t="e">
        <f t="shared" ca="1" si="6"/>
        <v>#DIV/0!</v>
      </c>
      <c r="BD20" s="22" t="e">
        <f t="shared" ca="1" si="7"/>
        <v>#DIV/0!</v>
      </c>
      <c r="BE20" s="22" t="e">
        <f t="shared" ca="1" si="8"/>
        <v>#DIV/0!</v>
      </c>
      <c r="BF20" s="22" t="e">
        <f t="shared" ca="1" si="9"/>
        <v>#DIV/0!</v>
      </c>
      <c r="BG20" s="22" t="e">
        <f t="shared" ca="1" si="10"/>
        <v>#DIV/0!</v>
      </c>
      <c r="BH20" s="22" t="e">
        <f t="shared" ca="1" si="11"/>
        <v>#DIV/0!</v>
      </c>
      <c r="BI20" s="22" t="e">
        <f t="shared" ca="1" si="12"/>
        <v>#DIV/0!</v>
      </c>
      <c r="BJ20" s="22" t="e">
        <f t="shared" ca="1" si="13"/>
        <v>#DIV/0!</v>
      </c>
      <c r="BK20" s="22" t="e">
        <f t="shared" ca="1" si="14"/>
        <v>#DIV/0!</v>
      </c>
      <c r="BL20" s="22" t="e">
        <f t="shared" ca="1" si="15"/>
        <v>#DIV/0!</v>
      </c>
      <c r="BN20" s="4" t="str">
        <f t="shared" ca="1" si="16"/>
        <v>2013-11</v>
      </c>
      <c r="BO20" s="22" t="e">
        <f t="shared" ca="1" si="17"/>
        <v>#DIV/0!</v>
      </c>
      <c r="BP20" s="22" t="e">
        <f t="shared" ca="1" si="18"/>
        <v>#DIV/0!</v>
      </c>
      <c r="BQ20" s="22" t="e">
        <f t="shared" ca="1" si="19"/>
        <v>#DIV/0!</v>
      </c>
      <c r="BR20" s="22" t="e">
        <f t="shared" ca="1" si="20"/>
        <v>#DIV/0!</v>
      </c>
      <c r="BS20" s="22" t="e">
        <f t="shared" ca="1" si="21"/>
        <v>#DIV/0!</v>
      </c>
      <c r="BT20" s="22" t="e">
        <f t="shared" ca="1" si="22"/>
        <v>#DIV/0!</v>
      </c>
      <c r="BU20" s="22" t="e">
        <f t="shared" ca="1" si="23"/>
        <v>#DIV/0!</v>
      </c>
      <c r="BV20" s="22" t="e">
        <f t="shared" ca="1" si="24"/>
        <v>#DIV/0!</v>
      </c>
      <c r="BW20" s="22" t="e">
        <f t="shared" ca="1" si="25"/>
        <v>#DIV/0!</v>
      </c>
      <c r="BX20" s="22" t="e">
        <f t="shared" ca="1" si="26"/>
        <v>#DIV/0!</v>
      </c>
      <c r="BY20" s="22" t="e">
        <f t="shared" ca="1" si="27"/>
        <v>#DIV/0!</v>
      </c>
      <c r="BZ20" s="22" t="e">
        <f t="shared" ca="1" si="28"/>
        <v>#DIV/0!</v>
      </c>
      <c r="CA20" s="22" t="e">
        <f t="shared" ca="1" si="29"/>
        <v>#DIV/0!</v>
      </c>
      <c r="CB20" s="22" t="e">
        <f t="shared" ca="1" si="30"/>
        <v>#DIV/0!</v>
      </c>
    </row>
    <row r="21" spans="2:80" ht="15" hidden="1" customHeight="1" x14ac:dyDescent="0.15">
      <c r="B21" s="4" t="str">
        <f ca="1">图表数据!E20</f>
        <v>2013-12</v>
      </c>
      <c r="C21" s="24">
        <v>0</v>
      </c>
      <c r="D21" s="24">
        <v>0</v>
      </c>
      <c r="E21" s="24">
        <v>0</v>
      </c>
      <c r="F21" s="24">
        <v>0</v>
      </c>
      <c r="G21" s="24">
        <v>0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  <c r="P21" s="24">
        <v>0</v>
      </c>
      <c r="R21" s="4" t="str">
        <f ca="1">图表数据!E20</f>
        <v>2013-12</v>
      </c>
      <c r="S21" s="4">
        <f ca="1">图表数据!F20</f>
        <v>0</v>
      </c>
      <c r="T21" s="4">
        <f ca="1">图表数据!G20</f>
        <v>0</v>
      </c>
      <c r="U21" s="4">
        <f ca="1">图表数据!H20</f>
        <v>0</v>
      </c>
      <c r="V21" s="4">
        <f ca="1">图表数据!I20</f>
        <v>0</v>
      </c>
      <c r="W21" s="4">
        <f ca="1">图表数据!J20</f>
        <v>0</v>
      </c>
      <c r="X21" s="4">
        <f ca="1">图表数据!K20</f>
        <v>0</v>
      </c>
      <c r="Y21" s="4">
        <f ca="1">图表数据!L20</f>
        <v>0</v>
      </c>
      <c r="Z21" s="4">
        <f ca="1">图表数据!M20</f>
        <v>0</v>
      </c>
      <c r="AA21" s="4">
        <f ca="1">图表数据!N20</f>
        <v>0</v>
      </c>
      <c r="AB21" s="4">
        <f ca="1">图表数据!O20</f>
        <v>0</v>
      </c>
      <c r="AC21" s="4">
        <f ca="1">图表数据!P20</f>
        <v>0</v>
      </c>
      <c r="AD21" s="4">
        <f ca="1">图表数据!Q20</f>
        <v>0</v>
      </c>
      <c r="AE21" s="4">
        <f ca="1">图表数据!R20</f>
        <v>0</v>
      </c>
      <c r="AF21" s="4">
        <f ca="1">图表数据!S20</f>
        <v>0</v>
      </c>
      <c r="AH21" s="4" t="str">
        <f t="shared" ca="1" si="1"/>
        <v>2013-12</v>
      </c>
      <c r="AI21" s="22" t="e">
        <f t="shared" ref="AI21:AV21" ca="1" si="38">S21/S9-1</f>
        <v>#DIV/0!</v>
      </c>
      <c r="AJ21" s="22" t="e">
        <f t="shared" ca="1" si="38"/>
        <v>#DIV/0!</v>
      </c>
      <c r="AK21" s="22" t="e">
        <f t="shared" ca="1" si="38"/>
        <v>#DIV/0!</v>
      </c>
      <c r="AL21" s="22" t="e">
        <f t="shared" ca="1" si="38"/>
        <v>#DIV/0!</v>
      </c>
      <c r="AM21" s="22" t="e">
        <f t="shared" ca="1" si="38"/>
        <v>#DIV/0!</v>
      </c>
      <c r="AN21" s="22" t="e">
        <f t="shared" ca="1" si="38"/>
        <v>#DIV/0!</v>
      </c>
      <c r="AO21" s="22" t="e">
        <f t="shared" ca="1" si="38"/>
        <v>#DIV/0!</v>
      </c>
      <c r="AP21" s="22" t="e">
        <f t="shared" ca="1" si="38"/>
        <v>#DIV/0!</v>
      </c>
      <c r="AQ21" s="22" t="e">
        <f t="shared" ca="1" si="38"/>
        <v>#DIV/0!</v>
      </c>
      <c r="AR21" s="22" t="e">
        <f t="shared" ca="1" si="38"/>
        <v>#DIV/0!</v>
      </c>
      <c r="AS21" s="22" t="e">
        <f t="shared" ca="1" si="38"/>
        <v>#DIV/0!</v>
      </c>
      <c r="AT21" s="22" t="e">
        <f t="shared" ca="1" si="38"/>
        <v>#DIV/0!</v>
      </c>
      <c r="AU21" s="22" t="e">
        <f t="shared" ca="1" si="38"/>
        <v>#DIV/0!</v>
      </c>
      <c r="AV21" s="22" t="e">
        <f t="shared" ca="1" si="38"/>
        <v>#DIV/0!</v>
      </c>
      <c r="AX21" s="4" t="str">
        <f t="shared" ca="1" si="2"/>
        <v>2013-12</v>
      </c>
      <c r="AY21" s="22" t="e">
        <f t="shared" ca="1" si="31"/>
        <v>#DIV/0!</v>
      </c>
      <c r="AZ21" s="22" t="e">
        <f t="shared" ca="1" si="3"/>
        <v>#DIV/0!</v>
      </c>
      <c r="BA21" s="22" t="e">
        <f t="shared" ca="1" si="4"/>
        <v>#DIV/0!</v>
      </c>
      <c r="BB21" s="22" t="e">
        <f t="shared" ca="1" si="5"/>
        <v>#DIV/0!</v>
      </c>
      <c r="BC21" s="22" t="e">
        <f t="shared" ca="1" si="6"/>
        <v>#DIV/0!</v>
      </c>
      <c r="BD21" s="22" t="e">
        <f t="shared" ca="1" si="7"/>
        <v>#DIV/0!</v>
      </c>
      <c r="BE21" s="22" t="e">
        <f t="shared" ca="1" si="8"/>
        <v>#DIV/0!</v>
      </c>
      <c r="BF21" s="22" t="e">
        <f t="shared" ca="1" si="9"/>
        <v>#DIV/0!</v>
      </c>
      <c r="BG21" s="22" t="e">
        <f t="shared" ca="1" si="10"/>
        <v>#DIV/0!</v>
      </c>
      <c r="BH21" s="22" t="e">
        <f t="shared" ca="1" si="11"/>
        <v>#DIV/0!</v>
      </c>
      <c r="BI21" s="22" t="e">
        <f t="shared" ca="1" si="12"/>
        <v>#DIV/0!</v>
      </c>
      <c r="BJ21" s="22" t="e">
        <f t="shared" ca="1" si="13"/>
        <v>#DIV/0!</v>
      </c>
      <c r="BK21" s="22" t="e">
        <f t="shared" ca="1" si="14"/>
        <v>#DIV/0!</v>
      </c>
      <c r="BL21" s="22" t="e">
        <f t="shared" ca="1" si="15"/>
        <v>#DIV/0!</v>
      </c>
      <c r="BN21" s="4" t="str">
        <f t="shared" ca="1" si="16"/>
        <v>2013-12</v>
      </c>
      <c r="BO21" s="22" t="e">
        <f t="shared" ca="1" si="17"/>
        <v>#DIV/0!</v>
      </c>
      <c r="BP21" s="22" t="e">
        <f t="shared" ca="1" si="18"/>
        <v>#DIV/0!</v>
      </c>
      <c r="BQ21" s="22" t="e">
        <f t="shared" ca="1" si="19"/>
        <v>#DIV/0!</v>
      </c>
      <c r="BR21" s="22" t="e">
        <f t="shared" ca="1" si="20"/>
        <v>#DIV/0!</v>
      </c>
      <c r="BS21" s="22" t="e">
        <f t="shared" ca="1" si="21"/>
        <v>#DIV/0!</v>
      </c>
      <c r="BT21" s="22" t="e">
        <f t="shared" ca="1" si="22"/>
        <v>#DIV/0!</v>
      </c>
      <c r="BU21" s="22" t="e">
        <f t="shared" ca="1" si="23"/>
        <v>#DIV/0!</v>
      </c>
      <c r="BV21" s="22" t="e">
        <f t="shared" ca="1" si="24"/>
        <v>#DIV/0!</v>
      </c>
      <c r="BW21" s="22" t="e">
        <f t="shared" ca="1" si="25"/>
        <v>#DIV/0!</v>
      </c>
      <c r="BX21" s="22" t="e">
        <f t="shared" ca="1" si="26"/>
        <v>#DIV/0!</v>
      </c>
      <c r="BY21" s="22" t="e">
        <f t="shared" ca="1" si="27"/>
        <v>#DIV/0!</v>
      </c>
      <c r="BZ21" s="22" t="e">
        <f t="shared" ca="1" si="28"/>
        <v>#DIV/0!</v>
      </c>
      <c r="CA21" s="22" t="e">
        <f t="shared" ca="1" si="29"/>
        <v>#DIV/0!</v>
      </c>
      <c r="CB21" s="22" t="e">
        <f t="shared" ca="1" si="30"/>
        <v>#DIV/0!</v>
      </c>
    </row>
    <row r="22" spans="2:80" ht="15" hidden="1" customHeight="1" x14ac:dyDescent="0.15">
      <c r="B22" s="4" t="str">
        <f ca="1">图表数据!E21</f>
        <v>2014-01</v>
      </c>
      <c r="C22" s="24">
        <v>0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R22" s="4" t="str">
        <f ca="1">图表数据!E21</f>
        <v>2014-01</v>
      </c>
      <c r="S22" s="4">
        <f ca="1">图表数据!F21</f>
        <v>0</v>
      </c>
      <c r="T22" s="4">
        <f ca="1">图表数据!G21</f>
        <v>0</v>
      </c>
      <c r="U22" s="4">
        <f ca="1">图表数据!H21</f>
        <v>0</v>
      </c>
      <c r="V22" s="4">
        <f ca="1">图表数据!I21</f>
        <v>0</v>
      </c>
      <c r="W22" s="4">
        <f ca="1">图表数据!J21</f>
        <v>0</v>
      </c>
      <c r="X22" s="4">
        <f ca="1">图表数据!K21</f>
        <v>0</v>
      </c>
      <c r="Y22" s="4">
        <f ca="1">图表数据!L21</f>
        <v>0</v>
      </c>
      <c r="Z22" s="4">
        <f ca="1">图表数据!M21</f>
        <v>0</v>
      </c>
      <c r="AA22" s="4">
        <f ca="1">图表数据!N21</f>
        <v>0</v>
      </c>
      <c r="AB22" s="4">
        <f ca="1">图表数据!O21</f>
        <v>0</v>
      </c>
      <c r="AC22" s="4">
        <f ca="1">图表数据!P21</f>
        <v>0</v>
      </c>
      <c r="AD22" s="4">
        <f ca="1">图表数据!Q21</f>
        <v>0</v>
      </c>
      <c r="AE22" s="4">
        <f ca="1">图表数据!R21</f>
        <v>0</v>
      </c>
      <c r="AF22" s="4">
        <f ca="1">图表数据!S21</f>
        <v>0</v>
      </c>
      <c r="AH22" s="4" t="str">
        <f t="shared" ca="1" si="1"/>
        <v>2014-01</v>
      </c>
      <c r="AI22" s="22" t="e">
        <f t="shared" ref="AI22:AV22" ca="1" si="39">S22/S10-1</f>
        <v>#DIV/0!</v>
      </c>
      <c r="AJ22" s="22" t="e">
        <f t="shared" ca="1" si="39"/>
        <v>#DIV/0!</v>
      </c>
      <c r="AK22" s="22" t="e">
        <f t="shared" ca="1" si="39"/>
        <v>#DIV/0!</v>
      </c>
      <c r="AL22" s="22" t="e">
        <f t="shared" ca="1" si="39"/>
        <v>#DIV/0!</v>
      </c>
      <c r="AM22" s="22" t="e">
        <f t="shared" ca="1" si="39"/>
        <v>#DIV/0!</v>
      </c>
      <c r="AN22" s="22" t="e">
        <f t="shared" ca="1" si="39"/>
        <v>#DIV/0!</v>
      </c>
      <c r="AO22" s="22" t="e">
        <f t="shared" ca="1" si="39"/>
        <v>#DIV/0!</v>
      </c>
      <c r="AP22" s="22" t="e">
        <f t="shared" ca="1" si="39"/>
        <v>#DIV/0!</v>
      </c>
      <c r="AQ22" s="22" t="e">
        <f t="shared" ca="1" si="39"/>
        <v>#DIV/0!</v>
      </c>
      <c r="AR22" s="22" t="e">
        <f t="shared" ca="1" si="39"/>
        <v>#DIV/0!</v>
      </c>
      <c r="AS22" s="22" t="e">
        <f t="shared" ca="1" si="39"/>
        <v>#DIV/0!</v>
      </c>
      <c r="AT22" s="22" t="e">
        <f t="shared" ca="1" si="39"/>
        <v>#DIV/0!</v>
      </c>
      <c r="AU22" s="22" t="e">
        <f t="shared" ca="1" si="39"/>
        <v>#DIV/0!</v>
      </c>
      <c r="AV22" s="22" t="e">
        <f t="shared" ca="1" si="39"/>
        <v>#DIV/0!</v>
      </c>
      <c r="AX22" s="4" t="str">
        <f t="shared" ca="1" si="2"/>
        <v>2014-01</v>
      </c>
      <c r="AY22" s="22" t="e">
        <f t="shared" ca="1" si="31"/>
        <v>#DIV/0!</v>
      </c>
      <c r="AZ22" s="22" t="e">
        <f t="shared" ca="1" si="3"/>
        <v>#DIV/0!</v>
      </c>
      <c r="BA22" s="22" t="e">
        <f t="shared" ca="1" si="4"/>
        <v>#DIV/0!</v>
      </c>
      <c r="BB22" s="22" t="e">
        <f t="shared" ca="1" si="5"/>
        <v>#DIV/0!</v>
      </c>
      <c r="BC22" s="22" t="e">
        <f t="shared" ca="1" si="6"/>
        <v>#DIV/0!</v>
      </c>
      <c r="BD22" s="22" t="e">
        <f t="shared" ca="1" si="7"/>
        <v>#DIV/0!</v>
      </c>
      <c r="BE22" s="22" t="e">
        <f t="shared" ca="1" si="8"/>
        <v>#DIV/0!</v>
      </c>
      <c r="BF22" s="22" t="e">
        <f t="shared" ca="1" si="9"/>
        <v>#DIV/0!</v>
      </c>
      <c r="BG22" s="22" t="e">
        <f t="shared" ca="1" si="10"/>
        <v>#DIV/0!</v>
      </c>
      <c r="BH22" s="22" t="e">
        <f t="shared" ca="1" si="11"/>
        <v>#DIV/0!</v>
      </c>
      <c r="BI22" s="22" t="e">
        <f t="shared" ca="1" si="12"/>
        <v>#DIV/0!</v>
      </c>
      <c r="BJ22" s="22" t="e">
        <f t="shared" ca="1" si="13"/>
        <v>#DIV/0!</v>
      </c>
      <c r="BK22" s="22" t="e">
        <f t="shared" ca="1" si="14"/>
        <v>#DIV/0!</v>
      </c>
      <c r="BL22" s="22" t="e">
        <f t="shared" ca="1" si="15"/>
        <v>#DIV/0!</v>
      </c>
      <c r="BN22" s="4" t="str">
        <f t="shared" ca="1" si="16"/>
        <v>2014-01</v>
      </c>
      <c r="BO22" s="22" t="e">
        <f t="shared" ca="1" si="17"/>
        <v>#DIV/0!</v>
      </c>
      <c r="BP22" s="22" t="e">
        <f t="shared" ca="1" si="18"/>
        <v>#DIV/0!</v>
      </c>
      <c r="BQ22" s="22" t="e">
        <f t="shared" ca="1" si="19"/>
        <v>#DIV/0!</v>
      </c>
      <c r="BR22" s="22" t="e">
        <f t="shared" ca="1" si="20"/>
        <v>#DIV/0!</v>
      </c>
      <c r="BS22" s="22" t="e">
        <f t="shared" ca="1" si="21"/>
        <v>#DIV/0!</v>
      </c>
      <c r="BT22" s="22" t="e">
        <f t="shared" ca="1" si="22"/>
        <v>#DIV/0!</v>
      </c>
      <c r="BU22" s="22" t="e">
        <f t="shared" ca="1" si="23"/>
        <v>#DIV/0!</v>
      </c>
      <c r="BV22" s="22" t="e">
        <f t="shared" ca="1" si="24"/>
        <v>#DIV/0!</v>
      </c>
      <c r="BW22" s="22" t="e">
        <f t="shared" ca="1" si="25"/>
        <v>#DIV/0!</v>
      </c>
      <c r="BX22" s="22" t="e">
        <f t="shared" ca="1" si="26"/>
        <v>#DIV/0!</v>
      </c>
      <c r="BY22" s="22" t="e">
        <f t="shared" ca="1" si="27"/>
        <v>#DIV/0!</v>
      </c>
      <c r="BZ22" s="22" t="e">
        <f t="shared" ca="1" si="28"/>
        <v>#DIV/0!</v>
      </c>
      <c r="CA22" s="22" t="e">
        <f t="shared" ca="1" si="29"/>
        <v>#DIV/0!</v>
      </c>
      <c r="CB22" s="22" t="e">
        <f t="shared" ca="1" si="30"/>
        <v>#DIV/0!</v>
      </c>
    </row>
    <row r="23" spans="2:80" ht="15" hidden="1" customHeight="1" x14ac:dyDescent="0.15">
      <c r="B23" s="4" t="str">
        <f ca="1">图表数据!E22</f>
        <v>2014-02</v>
      </c>
      <c r="C23" s="24">
        <v>0</v>
      </c>
      <c r="D23" s="24">
        <v>0</v>
      </c>
      <c r="E23" s="24">
        <v>0</v>
      </c>
      <c r="F23" s="24">
        <v>0</v>
      </c>
      <c r="G23" s="24">
        <v>0</v>
      </c>
      <c r="H23" s="24">
        <v>0</v>
      </c>
      <c r="I23" s="24">
        <v>0</v>
      </c>
      <c r="J23" s="24">
        <v>0</v>
      </c>
      <c r="K23" s="24">
        <v>0</v>
      </c>
      <c r="L23" s="24">
        <v>0</v>
      </c>
      <c r="M23" s="24">
        <v>0</v>
      </c>
      <c r="N23" s="24">
        <v>0</v>
      </c>
      <c r="O23" s="24">
        <v>0</v>
      </c>
      <c r="P23" s="24">
        <v>0</v>
      </c>
      <c r="R23" s="4" t="str">
        <f ca="1">图表数据!E22</f>
        <v>2014-02</v>
      </c>
      <c r="S23" s="4">
        <f ca="1">图表数据!F22</f>
        <v>0</v>
      </c>
      <c r="T23" s="4">
        <f ca="1">图表数据!G22</f>
        <v>0</v>
      </c>
      <c r="U23" s="4">
        <f ca="1">图表数据!H22</f>
        <v>0</v>
      </c>
      <c r="V23" s="4">
        <f ca="1">图表数据!I22</f>
        <v>0</v>
      </c>
      <c r="W23" s="4">
        <f ca="1">图表数据!J22</f>
        <v>0</v>
      </c>
      <c r="X23" s="4">
        <f ca="1">图表数据!K22</f>
        <v>0</v>
      </c>
      <c r="Y23" s="4">
        <f ca="1">图表数据!L22</f>
        <v>0</v>
      </c>
      <c r="Z23" s="4">
        <f ca="1">图表数据!M22</f>
        <v>0</v>
      </c>
      <c r="AA23" s="4">
        <f ca="1">图表数据!N22</f>
        <v>0</v>
      </c>
      <c r="AB23" s="4">
        <f ca="1">图表数据!O22</f>
        <v>0</v>
      </c>
      <c r="AC23" s="4">
        <f ca="1">图表数据!P22</f>
        <v>0</v>
      </c>
      <c r="AD23" s="4">
        <f ca="1">图表数据!Q22</f>
        <v>0</v>
      </c>
      <c r="AE23" s="4">
        <f ca="1">图表数据!R22</f>
        <v>0</v>
      </c>
      <c r="AF23" s="4">
        <f ca="1">图表数据!S22</f>
        <v>0</v>
      </c>
      <c r="AH23" s="4" t="str">
        <f t="shared" ca="1" si="1"/>
        <v>2014-02</v>
      </c>
      <c r="AI23" s="22" t="e">
        <f t="shared" ref="AI23:AV23" ca="1" si="40">S23/S11-1</f>
        <v>#DIV/0!</v>
      </c>
      <c r="AJ23" s="22" t="e">
        <f t="shared" ca="1" si="40"/>
        <v>#DIV/0!</v>
      </c>
      <c r="AK23" s="22" t="e">
        <f t="shared" ca="1" si="40"/>
        <v>#DIV/0!</v>
      </c>
      <c r="AL23" s="22" t="e">
        <f t="shared" ca="1" si="40"/>
        <v>#DIV/0!</v>
      </c>
      <c r="AM23" s="22" t="e">
        <f t="shared" ca="1" si="40"/>
        <v>#DIV/0!</v>
      </c>
      <c r="AN23" s="22" t="e">
        <f t="shared" ca="1" si="40"/>
        <v>#DIV/0!</v>
      </c>
      <c r="AO23" s="22" t="e">
        <f t="shared" ca="1" si="40"/>
        <v>#DIV/0!</v>
      </c>
      <c r="AP23" s="22" t="e">
        <f t="shared" ca="1" si="40"/>
        <v>#DIV/0!</v>
      </c>
      <c r="AQ23" s="22" t="e">
        <f t="shared" ca="1" si="40"/>
        <v>#DIV/0!</v>
      </c>
      <c r="AR23" s="22" t="e">
        <f t="shared" ca="1" si="40"/>
        <v>#DIV/0!</v>
      </c>
      <c r="AS23" s="22" t="e">
        <f t="shared" ca="1" si="40"/>
        <v>#DIV/0!</v>
      </c>
      <c r="AT23" s="22" t="e">
        <f t="shared" ca="1" si="40"/>
        <v>#DIV/0!</v>
      </c>
      <c r="AU23" s="22" t="e">
        <f t="shared" ca="1" si="40"/>
        <v>#DIV/0!</v>
      </c>
      <c r="AV23" s="22" t="e">
        <f t="shared" ca="1" si="40"/>
        <v>#DIV/0!</v>
      </c>
      <c r="AX23" s="4" t="str">
        <f t="shared" ca="1" si="2"/>
        <v>2014-02</v>
      </c>
      <c r="AY23" s="22" t="e">
        <f t="shared" ca="1" si="31"/>
        <v>#DIV/0!</v>
      </c>
      <c r="AZ23" s="22" t="e">
        <f t="shared" ca="1" si="3"/>
        <v>#DIV/0!</v>
      </c>
      <c r="BA23" s="22" t="e">
        <f t="shared" ca="1" si="4"/>
        <v>#DIV/0!</v>
      </c>
      <c r="BB23" s="22" t="e">
        <f t="shared" ca="1" si="5"/>
        <v>#DIV/0!</v>
      </c>
      <c r="BC23" s="22" t="e">
        <f t="shared" ca="1" si="6"/>
        <v>#DIV/0!</v>
      </c>
      <c r="BD23" s="22" t="e">
        <f t="shared" ca="1" si="7"/>
        <v>#DIV/0!</v>
      </c>
      <c r="BE23" s="22" t="e">
        <f t="shared" ca="1" si="8"/>
        <v>#DIV/0!</v>
      </c>
      <c r="BF23" s="22" t="e">
        <f t="shared" ca="1" si="9"/>
        <v>#DIV/0!</v>
      </c>
      <c r="BG23" s="22" t="e">
        <f t="shared" ca="1" si="10"/>
        <v>#DIV/0!</v>
      </c>
      <c r="BH23" s="22" t="e">
        <f t="shared" ca="1" si="11"/>
        <v>#DIV/0!</v>
      </c>
      <c r="BI23" s="22" t="e">
        <f t="shared" ca="1" si="12"/>
        <v>#DIV/0!</v>
      </c>
      <c r="BJ23" s="22" t="e">
        <f t="shared" ca="1" si="13"/>
        <v>#DIV/0!</v>
      </c>
      <c r="BK23" s="22" t="e">
        <f t="shared" ca="1" si="14"/>
        <v>#DIV/0!</v>
      </c>
      <c r="BL23" s="22" t="e">
        <f t="shared" ca="1" si="15"/>
        <v>#DIV/0!</v>
      </c>
      <c r="BN23" s="4" t="str">
        <f t="shared" ca="1" si="16"/>
        <v>2014-02</v>
      </c>
      <c r="BO23" s="22" t="e">
        <f t="shared" ca="1" si="17"/>
        <v>#DIV/0!</v>
      </c>
      <c r="BP23" s="22" t="e">
        <f t="shared" ca="1" si="18"/>
        <v>#DIV/0!</v>
      </c>
      <c r="BQ23" s="22" t="e">
        <f t="shared" ca="1" si="19"/>
        <v>#DIV/0!</v>
      </c>
      <c r="BR23" s="22" t="e">
        <f t="shared" ca="1" si="20"/>
        <v>#DIV/0!</v>
      </c>
      <c r="BS23" s="22" t="e">
        <f t="shared" ca="1" si="21"/>
        <v>#DIV/0!</v>
      </c>
      <c r="BT23" s="22" t="e">
        <f t="shared" ca="1" si="22"/>
        <v>#DIV/0!</v>
      </c>
      <c r="BU23" s="22" t="e">
        <f t="shared" ca="1" si="23"/>
        <v>#DIV/0!</v>
      </c>
      <c r="BV23" s="22" t="e">
        <f t="shared" ca="1" si="24"/>
        <v>#DIV/0!</v>
      </c>
      <c r="BW23" s="22" t="e">
        <f t="shared" ca="1" si="25"/>
        <v>#DIV/0!</v>
      </c>
      <c r="BX23" s="22" t="e">
        <f t="shared" ca="1" si="26"/>
        <v>#DIV/0!</v>
      </c>
      <c r="BY23" s="22" t="e">
        <f t="shared" ca="1" si="27"/>
        <v>#DIV/0!</v>
      </c>
      <c r="BZ23" s="22" t="e">
        <f t="shared" ca="1" si="28"/>
        <v>#DIV/0!</v>
      </c>
      <c r="CA23" s="22" t="e">
        <f t="shared" ca="1" si="29"/>
        <v>#DIV/0!</v>
      </c>
      <c r="CB23" s="22" t="e">
        <f t="shared" ca="1" si="30"/>
        <v>#DIV/0!</v>
      </c>
    </row>
    <row r="24" spans="2:80" ht="15" hidden="1" customHeight="1" x14ac:dyDescent="0.15">
      <c r="B24" s="4" t="str">
        <f ca="1">图表数据!E23</f>
        <v>2014-03</v>
      </c>
      <c r="C24" s="24">
        <v>0</v>
      </c>
      <c r="D24" s="24">
        <v>0</v>
      </c>
      <c r="E24" s="24">
        <v>0</v>
      </c>
      <c r="F24" s="24">
        <v>0</v>
      </c>
      <c r="G24" s="24">
        <v>0</v>
      </c>
      <c r="H24" s="24">
        <v>0</v>
      </c>
      <c r="I24" s="24">
        <v>0</v>
      </c>
      <c r="J24" s="24">
        <v>0</v>
      </c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R24" s="4" t="str">
        <f ca="1">图表数据!E23</f>
        <v>2014-03</v>
      </c>
      <c r="S24" s="4">
        <f ca="1">图表数据!F23</f>
        <v>0</v>
      </c>
      <c r="T24" s="4">
        <f ca="1">图表数据!G23</f>
        <v>0</v>
      </c>
      <c r="U24" s="4">
        <f ca="1">图表数据!H23</f>
        <v>0</v>
      </c>
      <c r="V24" s="4">
        <f ca="1">图表数据!I23</f>
        <v>0</v>
      </c>
      <c r="W24" s="4">
        <f ca="1">图表数据!J23</f>
        <v>0</v>
      </c>
      <c r="X24" s="4">
        <f ca="1">图表数据!K23</f>
        <v>0</v>
      </c>
      <c r="Y24" s="4">
        <f ca="1">图表数据!L23</f>
        <v>0</v>
      </c>
      <c r="Z24" s="4">
        <f ca="1">图表数据!M23</f>
        <v>0</v>
      </c>
      <c r="AA24" s="4">
        <f ca="1">图表数据!N23</f>
        <v>0</v>
      </c>
      <c r="AB24" s="4">
        <f ca="1">图表数据!O23</f>
        <v>0</v>
      </c>
      <c r="AC24" s="4">
        <f ca="1">图表数据!P23</f>
        <v>0</v>
      </c>
      <c r="AD24" s="4">
        <f ca="1">图表数据!Q23</f>
        <v>0</v>
      </c>
      <c r="AE24" s="4">
        <f ca="1">图表数据!R23</f>
        <v>0</v>
      </c>
      <c r="AF24" s="4">
        <f ca="1">图表数据!S23</f>
        <v>0</v>
      </c>
      <c r="AH24" s="4" t="str">
        <f t="shared" ca="1" si="1"/>
        <v>2014-03</v>
      </c>
      <c r="AI24" s="22" t="e">
        <f t="shared" ref="AI24:AV24" ca="1" si="41">S24/S12-1</f>
        <v>#DIV/0!</v>
      </c>
      <c r="AJ24" s="22" t="e">
        <f t="shared" ca="1" si="41"/>
        <v>#DIV/0!</v>
      </c>
      <c r="AK24" s="22" t="e">
        <f t="shared" ca="1" si="41"/>
        <v>#DIV/0!</v>
      </c>
      <c r="AL24" s="22" t="e">
        <f t="shared" ca="1" si="41"/>
        <v>#DIV/0!</v>
      </c>
      <c r="AM24" s="22" t="e">
        <f t="shared" ca="1" si="41"/>
        <v>#DIV/0!</v>
      </c>
      <c r="AN24" s="22" t="e">
        <f t="shared" ca="1" si="41"/>
        <v>#DIV/0!</v>
      </c>
      <c r="AO24" s="22" t="e">
        <f t="shared" ca="1" si="41"/>
        <v>#DIV/0!</v>
      </c>
      <c r="AP24" s="22" t="e">
        <f t="shared" ca="1" si="41"/>
        <v>#DIV/0!</v>
      </c>
      <c r="AQ24" s="22" t="e">
        <f t="shared" ca="1" si="41"/>
        <v>#DIV/0!</v>
      </c>
      <c r="AR24" s="22" t="e">
        <f t="shared" ca="1" si="41"/>
        <v>#DIV/0!</v>
      </c>
      <c r="AS24" s="22" t="e">
        <f t="shared" ca="1" si="41"/>
        <v>#DIV/0!</v>
      </c>
      <c r="AT24" s="22" t="e">
        <f t="shared" ca="1" si="41"/>
        <v>#DIV/0!</v>
      </c>
      <c r="AU24" s="22" t="e">
        <f t="shared" ca="1" si="41"/>
        <v>#DIV/0!</v>
      </c>
      <c r="AV24" s="22" t="e">
        <f t="shared" ca="1" si="41"/>
        <v>#DIV/0!</v>
      </c>
      <c r="AX24" s="4" t="str">
        <f t="shared" ca="1" si="2"/>
        <v>2014-03</v>
      </c>
      <c r="AY24" s="22" t="e">
        <f t="shared" ca="1" si="31"/>
        <v>#DIV/0!</v>
      </c>
      <c r="AZ24" s="22" t="e">
        <f t="shared" ca="1" si="3"/>
        <v>#DIV/0!</v>
      </c>
      <c r="BA24" s="22" t="e">
        <f t="shared" ca="1" si="4"/>
        <v>#DIV/0!</v>
      </c>
      <c r="BB24" s="22" t="e">
        <f t="shared" ca="1" si="5"/>
        <v>#DIV/0!</v>
      </c>
      <c r="BC24" s="22" t="e">
        <f t="shared" ca="1" si="6"/>
        <v>#DIV/0!</v>
      </c>
      <c r="BD24" s="22" t="e">
        <f t="shared" ca="1" si="7"/>
        <v>#DIV/0!</v>
      </c>
      <c r="BE24" s="22" t="e">
        <f t="shared" ca="1" si="8"/>
        <v>#DIV/0!</v>
      </c>
      <c r="BF24" s="22" t="e">
        <f t="shared" ca="1" si="9"/>
        <v>#DIV/0!</v>
      </c>
      <c r="BG24" s="22" t="e">
        <f t="shared" ca="1" si="10"/>
        <v>#DIV/0!</v>
      </c>
      <c r="BH24" s="22" t="e">
        <f t="shared" ca="1" si="11"/>
        <v>#DIV/0!</v>
      </c>
      <c r="BI24" s="22" t="e">
        <f t="shared" ca="1" si="12"/>
        <v>#DIV/0!</v>
      </c>
      <c r="BJ24" s="22" t="e">
        <f t="shared" ca="1" si="13"/>
        <v>#DIV/0!</v>
      </c>
      <c r="BK24" s="22" t="e">
        <f t="shared" ca="1" si="14"/>
        <v>#DIV/0!</v>
      </c>
      <c r="BL24" s="22" t="e">
        <f t="shared" ca="1" si="15"/>
        <v>#DIV/0!</v>
      </c>
      <c r="BN24" s="4" t="str">
        <f t="shared" ca="1" si="16"/>
        <v>2014-03</v>
      </c>
      <c r="BO24" s="22" t="e">
        <f t="shared" ca="1" si="17"/>
        <v>#DIV/0!</v>
      </c>
      <c r="BP24" s="22" t="e">
        <f t="shared" ca="1" si="18"/>
        <v>#DIV/0!</v>
      </c>
      <c r="BQ24" s="22" t="e">
        <f t="shared" ca="1" si="19"/>
        <v>#DIV/0!</v>
      </c>
      <c r="BR24" s="22" t="e">
        <f t="shared" ca="1" si="20"/>
        <v>#DIV/0!</v>
      </c>
      <c r="BS24" s="22" t="e">
        <f t="shared" ca="1" si="21"/>
        <v>#DIV/0!</v>
      </c>
      <c r="BT24" s="22" t="e">
        <f t="shared" ca="1" si="22"/>
        <v>#DIV/0!</v>
      </c>
      <c r="BU24" s="22" t="e">
        <f t="shared" ca="1" si="23"/>
        <v>#DIV/0!</v>
      </c>
      <c r="BV24" s="22" t="e">
        <f t="shared" ca="1" si="24"/>
        <v>#DIV/0!</v>
      </c>
      <c r="BW24" s="22" t="e">
        <f t="shared" ca="1" si="25"/>
        <v>#DIV/0!</v>
      </c>
      <c r="BX24" s="22" t="e">
        <f t="shared" ca="1" si="26"/>
        <v>#DIV/0!</v>
      </c>
      <c r="BY24" s="22" t="e">
        <f t="shared" ca="1" si="27"/>
        <v>#DIV/0!</v>
      </c>
      <c r="BZ24" s="22" t="e">
        <f t="shared" ca="1" si="28"/>
        <v>#DIV/0!</v>
      </c>
      <c r="CA24" s="22" t="e">
        <f t="shared" ca="1" si="29"/>
        <v>#DIV/0!</v>
      </c>
      <c r="CB24" s="22" t="e">
        <f t="shared" ca="1" si="30"/>
        <v>#DIV/0!</v>
      </c>
    </row>
    <row r="25" spans="2:80" ht="15" hidden="1" customHeight="1" x14ac:dyDescent="0.15">
      <c r="B25" s="4" t="str">
        <f ca="1">图表数据!E24</f>
        <v>2014-04</v>
      </c>
      <c r="C25" s="24">
        <v>0</v>
      </c>
      <c r="D25" s="24">
        <v>0</v>
      </c>
      <c r="E25" s="24">
        <v>0</v>
      </c>
      <c r="F25" s="24">
        <v>0</v>
      </c>
      <c r="G25" s="24">
        <v>0</v>
      </c>
      <c r="H25" s="24">
        <v>0</v>
      </c>
      <c r="I25" s="24">
        <v>0</v>
      </c>
      <c r="J25" s="24">
        <v>0</v>
      </c>
      <c r="K25" s="24">
        <v>0</v>
      </c>
      <c r="L25" s="24">
        <v>0</v>
      </c>
      <c r="M25" s="24">
        <v>0</v>
      </c>
      <c r="N25" s="24">
        <v>0</v>
      </c>
      <c r="O25" s="24">
        <v>0</v>
      </c>
      <c r="P25" s="24">
        <v>0</v>
      </c>
      <c r="R25" s="4" t="str">
        <f ca="1">图表数据!E24</f>
        <v>2014-04</v>
      </c>
      <c r="S25" s="4">
        <f ca="1">图表数据!F24</f>
        <v>0</v>
      </c>
      <c r="T25" s="4">
        <f ca="1">图表数据!G24</f>
        <v>0</v>
      </c>
      <c r="U25" s="4">
        <f ca="1">图表数据!H24</f>
        <v>0</v>
      </c>
      <c r="V25" s="4">
        <f ca="1">图表数据!I24</f>
        <v>0</v>
      </c>
      <c r="W25" s="4">
        <f ca="1">图表数据!J24</f>
        <v>0</v>
      </c>
      <c r="X25" s="4">
        <f ca="1">图表数据!K24</f>
        <v>0</v>
      </c>
      <c r="Y25" s="4">
        <f ca="1">图表数据!L24</f>
        <v>0</v>
      </c>
      <c r="Z25" s="4">
        <f ca="1">图表数据!M24</f>
        <v>0</v>
      </c>
      <c r="AA25" s="4">
        <f ca="1">图表数据!N24</f>
        <v>0</v>
      </c>
      <c r="AB25" s="4">
        <f ca="1">图表数据!O24</f>
        <v>0</v>
      </c>
      <c r="AC25" s="4">
        <f ca="1">图表数据!P24</f>
        <v>0</v>
      </c>
      <c r="AD25" s="4">
        <f ca="1">图表数据!Q24</f>
        <v>0</v>
      </c>
      <c r="AE25" s="4">
        <f ca="1">图表数据!R24</f>
        <v>0</v>
      </c>
      <c r="AF25" s="4">
        <f ca="1">图表数据!S24</f>
        <v>0</v>
      </c>
      <c r="AH25" s="4" t="str">
        <f t="shared" ca="1" si="1"/>
        <v>2014-04</v>
      </c>
      <c r="AI25" s="22" t="e">
        <f t="shared" ref="AI25:AV25" ca="1" si="42">S25/S13-1</f>
        <v>#DIV/0!</v>
      </c>
      <c r="AJ25" s="22" t="e">
        <f t="shared" ca="1" si="42"/>
        <v>#DIV/0!</v>
      </c>
      <c r="AK25" s="22" t="e">
        <f t="shared" ca="1" si="42"/>
        <v>#DIV/0!</v>
      </c>
      <c r="AL25" s="22" t="e">
        <f t="shared" ca="1" si="42"/>
        <v>#DIV/0!</v>
      </c>
      <c r="AM25" s="22" t="e">
        <f t="shared" ca="1" si="42"/>
        <v>#DIV/0!</v>
      </c>
      <c r="AN25" s="22" t="e">
        <f t="shared" ca="1" si="42"/>
        <v>#DIV/0!</v>
      </c>
      <c r="AO25" s="22" t="e">
        <f t="shared" ca="1" si="42"/>
        <v>#DIV/0!</v>
      </c>
      <c r="AP25" s="22" t="e">
        <f t="shared" ca="1" si="42"/>
        <v>#DIV/0!</v>
      </c>
      <c r="AQ25" s="22" t="e">
        <f t="shared" ca="1" si="42"/>
        <v>#DIV/0!</v>
      </c>
      <c r="AR25" s="22" t="e">
        <f t="shared" ca="1" si="42"/>
        <v>#DIV/0!</v>
      </c>
      <c r="AS25" s="22" t="e">
        <f t="shared" ca="1" si="42"/>
        <v>#DIV/0!</v>
      </c>
      <c r="AT25" s="22" t="e">
        <f t="shared" ca="1" si="42"/>
        <v>#DIV/0!</v>
      </c>
      <c r="AU25" s="22" t="e">
        <f t="shared" ca="1" si="42"/>
        <v>#DIV/0!</v>
      </c>
      <c r="AV25" s="22" t="e">
        <f t="shared" ca="1" si="42"/>
        <v>#DIV/0!</v>
      </c>
      <c r="AX25" s="4" t="str">
        <f t="shared" ca="1" si="2"/>
        <v>2014-04</v>
      </c>
      <c r="AY25" s="22" t="e">
        <f t="shared" ca="1" si="31"/>
        <v>#DIV/0!</v>
      </c>
      <c r="AZ25" s="22" t="e">
        <f t="shared" ca="1" si="3"/>
        <v>#DIV/0!</v>
      </c>
      <c r="BA25" s="22" t="e">
        <f t="shared" ca="1" si="4"/>
        <v>#DIV/0!</v>
      </c>
      <c r="BB25" s="22" t="e">
        <f t="shared" ca="1" si="5"/>
        <v>#DIV/0!</v>
      </c>
      <c r="BC25" s="22" t="e">
        <f t="shared" ca="1" si="6"/>
        <v>#DIV/0!</v>
      </c>
      <c r="BD25" s="22" t="e">
        <f t="shared" ca="1" si="7"/>
        <v>#DIV/0!</v>
      </c>
      <c r="BE25" s="22" t="e">
        <f t="shared" ca="1" si="8"/>
        <v>#DIV/0!</v>
      </c>
      <c r="BF25" s="22" t="e">
        <f t="shared" ca="1" si="9"/>
        <v>#DIV/0!</v>
      </c>
      <c r="BG25" s="22" t="e">
        <f t="shared" ca="1" si="10"/>
        <v>#DIV/0!</v>
      </c>
      <c r="BH25" s="22" t="e">
        <f t="shared" ca="1" si="11"/>
        <v>#DIV/0!</v>
      </c>
      <c r="BI25" s="22" t="e">
        <f t="shared" ca="1" si="12"/>
        <v>#DIV/0!</v>
      </c>
      <c r="BJ25" s="22" t="e">
        <f t="shared" ca="1" si="13"/>
        <v>#DIV/0!</v>
      </c>
      <c r="BK25" s="22" t="e">
        <f t="shared" ca="1" si="14"/>
        <v>#DIV/0!</v>
      </c>
      <c r="BL25" s="22" t="e">
        <f t="shared" ca="1" si="15"/>
        <v>#DIV/0!</v>
      </c>
      <c r="BN25" s="4" t="str">
        <f t="shared" ca="1" si="16"/>
        <v>2014-04</v>
      </c>
      <c r="BO25" s="22" t="e">
        <f t="shared" ca="1" si="17"/>
        <v>#DIV/0!</v>
      </c>
      <c r="BP25" s="22" t="e">
        <f t="shared" ca="1" si="18"/>
        <v>#DIV/0!</v>
      </c>
      <c r="BQ25" s="22" t="e">
        <f t="shared" ca="1" si="19"/>
        <v>#DIV/0!</v>
      </c>
      <c r="BR25" s="22" t="e">
        <f t="shared" ca="1" si="20"/>
        <v>#DIV/0!</v>
      </c>
      <c r="BS25" s="22" t="e">
        <f t="shared" ca="1" si="21"/>
        <v>#DIV/0!</v>
      </c>
      <c r="BT25" s="22" t="e">
        <f t="shared" ca="1" si="22"/>
        <v>#DIV/0!</v>
      </c>
      <c r="BU25" s="22" t="e">
        <f t="shared" ca="1" si="23"/>
        <v>#DIV/0!</v>
      </c>
      <c r="BV25" s="22" t="e">
        <f t="shared" ca="1" si="24"/>
        <v>#DIV/0!</v>
      </c>
      <c r="BW25" s="22" t="e">
        <f t="shared" ca="1" si="25"/>
        <v>#DIV/0!</v>
      </c>
      <c r="BX25" s="22" t="e">
        <f t="shared" ca="1" si="26"/>
        <v>#DIV/0!</v>
      </c>
      <c r="BY25" s="22" t="e">
        <f t="shared" ca="1" si="27"/>
        <v>#DIV/0!</v>
      </c>
      <c r="BZ25" s="22" t="e">
        <f t="shared" ca="1" si="28"/>
        <v>#DIV/0!</v>
      </c>
      <c r="CA25" s="22" t="e">
        <f t="shared" ca="1" si="29"/>
        <v>#DIV/0!</v>
      </c>
      <c r="CB25" s="22" t="e">
        <f t="shared" ca="1" si="30"/>
        <v>#DIV/0!</v>
      </c>
    </row>
    <row r="26" spans="2:80" ht="15" hidden="1" customHeight="1" x14ac:dyDescent="0.15">
      <c r="B26" s="4" t="str">
        <f ca="1">图表数据!E25</f>
        <v>2014-05</v>
      </c>
      <c r="C26" s="24">
        <v>0</v>
      </c>
      <c r="D26" s="24">
        <v>0</v>
      </c>
      <c r="E26" s="24">
        <v>0</v>
      </c>
      <c r="F26" s="24">
        <v>0</v>
      </c>
      <c r="G26" s="24">
        <v>0</v>
      </c>
      <c r="H26" s="24">
        <v>0</v>
      </c>
      <c r="I26" s="24">
        <v>0</v>
      </c>
      <c r="J26" s="24">
        <v>0</v>
      </c>
      <c r="K26" s="24">
        <v>0</v>
      </c>
      <c r="L26" s="24">
        <v>0</v>
      </c>
      <c r="M26" s="24">
        <v>0</v>
      </c>
      <c r="N26" s="24">
        <v>0</v>
      </c>
      <c r="O26" s="24">
        <v>0</v>
      </c>
      <c r="P26" s="24">
        <v>0</v>
      </c>
      <c r="R26" s="4" t="str">
        <f ca="1">图表数据!E25</f>
        <v>2014-05</v>
      </c>
      <c r="S26" s="4">
        <f ca="1">图表数据!F25</f>
        <v>0</v>
      </c>
      <c r="T26" s="4">
        <f ca="1">图表数据!G25</f>
        <v>0</v>
      </c>
      <c r="U26" s="4">
        <f ca="1">图表数据!H25</f>
        <v>0</v>
      </c>
      <c r="V26" s="4">
        <f ca="1">图表数据!I25</f>
        <v>0</v>
      </c>
      <c r="W26" s="4">
        <f ca="1">图表数据!J25</f>
        <v>0</v>
      </c>
      <c r="X26" s="4">
        <f ca="1">图表数据!K25</f>
        <v>0</v>
      </c>
      <c r="Y26" s="4">
        <f ca="1">图表数据!L25</f>
        <v>0</v>
      </c>
      <c r="Z26" s="4">
        <f ca="1">图表数据!M25</f>
        <v>0</v>
      </c>
      <c r="AA26" s="4">
        <f ca="1">图表数据!N25</f>
        <v>0</v>
      </c>
      <c r="AB26" s="4">
        <f ca="1">图表数据!O25</f>
        <v>0</v>
      </c>
      <c r="AC26" s="4">
        <f ca="1">图表数据!P25</f>
        <v>0</v>
      </c>
      <c r="AD26" s="4">
        <f ca="1">图表数据!Q25</f>
        <v>0</v>
      </c>
      <c r="AE26" s="4">
        <f ca="1">图表数据!R25</f>
        <v>0</v>
      </c>
      <c r="AF26" s="4">
        <f ca="1">图表数据!S25</f>
        <v>0</v>
      </c>
      <c r="AH26" s="4" t="str">
        <f t="shared" ca="1" si="1"/>
        <v>2014-05</v>
      </c>
      <c r="AI26" s="22" t="e">
        <f t="shared" ref="AI26:AV26" ca="1" si="43">S26/S14-1</f>
        <v>#DIV/0!</v>
      </c>
      <c r="AJ26" s="22" t="e">
        <f t="shared" ca="1" si="43"/>
        <v>#DIV/0!</v>
      </c>
      <c r="AK26" s="22" t="e">
        <f t="shared" ca="1" si="43"/>
        <v>#DIV/0!</v>
      </c>
      <c r="AL26" s="22" t="e">
        <f t="shared" ca="1" si="43"/>
        <v>#DIV/0!</v>
      </c>
      <c r="AM26" s="22" t="e">
        <f t="shared" ca="1" si="43"/>
        <v>#DIV/0!</v>
      </c>
      <c r="AN26" s="22" t="e">
        <f t="shared" ca="1" si="43"/>
        <v>#DIV/0!</v>
      </c>
      <c r="AO26" s="22" t="e">
        <f t="shared" ca="1" si="43"/>
        <v>#DIV/0!</v>
      </c>
      <c r="AP26" s="22" t="e">
        <f t="shared" ca="1" si="43"/>
        <v>#DIV/0!</v>
      </c>
      <c r="AQ26" s="22" t="e">
        <f t="shared" ca="1" si="43"/>
        <v>#DIV/0!</v>
      </c>
      <c r="AR26" s="22" t="e">
        <f t="shared" ca="1" si="43"/>
        <v>#DIV/0!</v>
      </c>
      <c r="AS26" s="22" t="e">
        <f t="shared" ca="1" si="43"/>
        <v>#DIV/0!</v>
      </c>
      <c r="AT26" s="22" t="e">
        <f t="shared" ca="1" si="43"/>
        <v>#DIV/0!</v>
      </c>
      <c r="AU26" s="22" t="e">
        <f t="shared" ca="1" si="43"/>
        <v>#DIV/0!</v>
      </c>
      <c r="AV26" s="22" t="e">
        <f t="shared" ca="1" si="43"/>
        <v>#DIV/0!</v>
      </c>
      <c r="AX26" s="4" t="str">
        <f t="shared" ca="1" si="2"/>
        <v>2014-05</v>
      </c>
      <c r="AY26" s="22" t="e">
        <f t="shared" ca="1" si="31"/>
        <v>#DIV/0!</v>
      </c>
      <c r="AZ26" s="22" t="e">
        <f t="shared" ca="1" si="3"/>
        <v>#DIV/0!</v>
      </c>
      <c r="BA26" s="22" t="e">
        <f t="shared" ca="1" si="4"/>
        <v>#DIV/0!</v>
      </c>
      <c r="BB26" s="22" t="e">
        <f t="shared" ca="1" si="5"/>
        <v>#DIV/0!</v>
      </c>
      <c r="BC26" s="22" t="e">
        <f t="shared" ca="1" si="6"/>
        <v>#DIV/0!</v>
      </c>
      <c r="BD26" s="22" t="e">
        <f t="shared" ca="1" si="7"/>
        <v>#DIV/0!</v>
      </c>
      <c r="BE26" s="22" t="e">
        <f t="shared" ca="1" si="8"/>
        <v>#DIV/0!</v>
      </c>
      <c r="BF26" s="22" t="e">
        <f t="shared" ca="1" si="9"/>
        <v>#DIV/0!</v>
      </c>
      <c r="BG26" s="22" t="e">
        <f t="shared" ca="1" si="10"/>
        <v>#DIV/0!</v>
      </c>
      <c r="BH26" s="22" t="e">
        <f t="shared" ca="1" si="11"/>
        <v>#DIV/0!</v>
      </c>
      <c r="BI26" s="22" t="e">
        <f t="shared" ca="1" si="12"/>
        <v>#DIV/0!</v>
      </c>
      <c r="BJ26" s="22" t="e">
        <f t="shared" ca="1" si="13"/>
        <v>#DIV/0!</v>
      </c>
      <c r="BK26" s="22" t="e">
        <f t="shared" ca="1" si="14"/>
        <v>#DIV/0!</v>
      </c>
      <c r="BL26" s="22" t="e">
        <f t="shared" ca="1" si="15"/>
        <v>#DIV/0!</v>
      </c>
      <c r="BN26" s="4" t="str">
        <f t="shared" ca="1" si="16"/>
        <v>2014-05</v>
      </c>
      <c r="BO26" s="22" t="e">
        <f t="shared" ca="1" si="17"/>
        <v>#DIV/0!</v>
      </c>
      <c r="BP26" s="22" t="e">
        <f t="shared" ca="1" si="18"/>
        <v>#DIV/0!</v>
      </c>
      <c r="BQ26" s="22" t="e">
        <f t="shared" ca="1" si="19"/>
        <v>#DIV/0!</v>
      </c>
      <c r="BR26" s="22" t="e">
        <f t="shared" ca="1" si="20"/>
        <v>#DIV/0!</v>
      </c>
      <c r="BS26" s="22" t="e">
        <f t="shared" ca="1" si="21"/>
        <v>#DIV/0!</v>
      </c>
      <c r="BT26" s="22" t="e">
        <f t="shared" ca="1" si="22"/>
        <v>#DIV/0!</v>
      </c>
      <c r="BU26" s="22" t="e">
        <f t="shared" ca="1" si="23"/>
        <v>#DIV/0!</v>
      </c>
      <c r="BV26" s="22" t="e">
        <f t="shared" ca="1" si="24"/>
        <v>#DIV/0!</v>
      </c>
      <c r="BW26" s="22" t="e">
        <f t="shared" ca="1" si="25"/>
        <v>#DIV/0!</v>
      </c>
      <c r="BX26" s="22" t="e">
        <f t="shared" ca="1" si="26"/>
        <v>#DIV/0!</v>
      </c>
      <c r="BY26" s="22" t="e">
        <f t="shared" ca="1" si="27"/>
        <v>#DIV/0!</v>
      </c>
      <c r="BZ26" s="22" t="e">
        <f t="shared" ca="1" si="28"/>
        <v>#DIV/0!</v>
      </c>
      <c r="CA26" s="22" t="e">
        <f t="shared" ca="1" si="29"/>
        <v>#DIV/0!</v>
      </c>
      <c r="CB26" s="22" t="e">
        <f t="shared" ca="1" si="30"/>
        <v>#DIV/0!</v>
      </c>
    </row>
    <row r="27" spans="2:80" ht="15" hidden="1" customHeight="1" x14ac:dyDescent="0.15">
      <c r="B27" s="4" t="str">
        <f ca="1">图表数据!E26</f>
        <v>2014-06</v>
      </c>
      <c r="C27" s="24">
        <v>0</v>
      </c>
      <c r="D27" s="24">
        <v>0</v>
      </c>
      <c r="E27" s="24">
        <v>0</v>
      </c>
      <c r="F27" s="24">
        <v>0</v>
      </c>
      <c r="G27" s="24">
        <v>0</v>
      </c>
      <c r="H27" s="24">
        <v>0</v>
      </c>
      <c r="I27" s="24">
        <v>0</v>
      </c>
      <c r="J27" s="24">
        <v>0</v>
      </c>
      <c r="K27" s="24">
        <v>0</v>
      </c>
      <c r="L27" s="24">
        <v>0</v>
      </c>
      <c r="M27" s="24">
        <v>0</v>
      </c>
      <c r="N27" s="24">
        <v>0</v>
      </c>
      <c r="O27" s="24">
        <v>0</v>
      </c>
      <c r="P27" s="24">
        <v>0</v>
      </c>
      <c r="R27" s="4" t="str">
        <f ca="1">图表数据!E26</f>
        <v>2014-06</v>
      </c>
      <c r="S27" s="4">
        <f ca="1">图表数据!F26</f>
        <v>0</v>
      </c>
      <c r="T27" s="4">
        <f ca="1">图表数据!G26</f>
        <v>0</v>
      </c>
      <c r="U27" s="4">
        <f ca="1">图表数据!H26</f>
        <v>0</v>
      </c>
      <c r="V27" s="4">
        <f ca="1">图表数据!I26</f>
        <v>0</v>
      </c>
      <c r="W27" s="4">
        <f ca="1">图表数据!J26</f>
        <v>0</v>
      </c>
      <c r="X27" s="4">
        <f ca="1">图表数据!K26</f>
        <v>0</v>
      </c>
      <c r="Y27" s="4">
        <f ca="1">图表数据!L26</f>
        <v>0</v>
      </c>
      <c r="Z27" s="4">
        <f ca="1">图表数据!M26</f>
        <v>0</v>
      </c>
      <c r="AA27" s="4">
        <f ca="1">图表数据!N26</f>
        <v>0</v>
      </c>
      <c r="AB27" s="4">
        <f ca="1">图表数据!O26</f>
        <v>0</v>
      </c>
      <c r="AC27" s="4">
        <f ca="1">图表数据!P26</f>
        <v>0</v>
      </c>
      <c r="AD27" s="4">
        <f ca="1">图表数据!Q26</f>
        <v>0</v>
      </c>
      <c r="AE27" s="4">
        <f ca="1">图表数据!R26</f>
        <v>0</v>
      </c>
      <c r="AF27" s="4">
        <f ca="1">图表数据!S26</f>
        <v>0</v>
      </c>
      <c r="AH27" s="4" t="str">
        <f t="shared" ca="1" si="1"/>
        <v>2014-06</v>
      </c>
      <c r="AI27" s="22" t="e">
        <f t="shared" ref="AI27:AV27" ca="1" si="44">S27/S15-1</f>
        <v>#DIV/0!</v>
      </c>
      <c r="AJ27" s="22" t="e">
        <f t="shared" ca="1" si="44"/>
        <v>#DIV/0!</v>
      </c>
      <c r="AK27" s="22" t="e">
        <f t="shared" ca="1" si="44"/>
        <v>#DIV/0!</v>
      </c>
      <c r="AL27" s="22" t="e">
        <f t="shared" ca="1" si="44"/>
        <v>#DIV/0!</v>
      </c>
      <c r="AM27" s="22" t="e">
        <f t="shared" ca="1" si="44"/>
        <v>#DIV/0!</v>
      </c>
      <c r="AN27" s="22" t="e">
        <f t="shared" ca="1" si="44"/>
        <v>#DIV/0!</v>
      </c>
      <c r="AO27" s="22" t="e">
        <f t="shared" ca="1" si="44"/>
        <v>#DIV/0!</v>
      </c>
      <c r="AP27" s="22" t="e">
        <f t="shared" ca="1" si="44"/>
        <v>#DIV/0!</v>
      </c>
      <c r="AQ27" s="22" t="e">
        <f t="shared" ca="1" si="44"/>
        <v>#DIV/0!</v>
      </c>
      <c r="AR27" s="22" t="e">
        <f t="shared" ca="1" si="44"/>
        <v>#DIV/0!</v>
      </c>
      <c r="AS27" s="22" t="e">
        <f t="shared" ca="1" si="44"/>
        <v>#DIV/0!</v>
      </c>
      <c r="AT27" s="22" t="e">
        <f t="shared" ca="1" si="44"/>
        <v>#DIV/0!</v>
      </c>
      <c r="AU27" s="22" t="e">
        <f t="shared" ca="1" si="44"/>
        <v>#DIV/0!</v>
      </c>
      <c r="AV27" s="22" t="e">
        <f t="shared" ca="1" si="44"/>
        <v>#DIV/0!</v>
      </c>
      <c r="AX27" s="4" t="str">
        <f t="shared" ca="1" si="2"/>
        <v>2014-06</v>
      </c>
      <c r="AY27" s="22" t="e">
        <f t="shared" ca="1" si="31"/>
        <v>#DIV/0!</v>
      </c>
      <c r="AZ27" s="22" t="e">
        <f t="shared" ca="1" si="3"/>
        <v>#DIV/0!</v>
      </c>
      <c r="BA27" s="22" t="e">
        <f t="shared" ca="1" si="4"/>
        <v>#DIV/0!</v>
      </c>
      <c r="BB27" s="22" t="e">
        <f t="shared" ca="1" si="5"/>
        <v>#DIV/0!</v>
      </c>
      <c r="BC27" s="22" t="e">
        <f t="shared" ca="1" si="6"/>
        <v>#DIV/0!</v>
      </c>
      <c r="BD27" s="22" t="e">
        <f t="shared" ca="1" si="7"/>
        <v>#DIV/0!</v>
      </c>
      <c r="BE27" s="22" t="e">
        <f t="shared" ca="1" si="8"/>
        <v>#DIV/0!</v>
      </c>
      <c r="BF27" s="22" t="e">
        <f t="shared" ca="1" si="9"/>
        <v>#DIV/0!</v>
      </c>
      <c r="BG27" s="22" t="e">
        <f t="shared" ca="1" si="10"/>
        <v>#DIV/0!</v>
      </c>
      <c r="BH27" s="22" t="e">
        <f t="shared" ca="1" si="11"/>
        <v>#DIV/0!</v>
      </c>
      <c r="BI27" s="22" t="e">
        <f t="shared" ca="1" si="12"/>
        <v>#DIV/0!</v>
      </c>
      <c r="BJ27" s="22" t="e">
        <f t="shared" ca="1" si="13"/>
        <v>#DIV/0!</v>
      </c>
      <c r="BK27" s="22" t="e">
        <f t="shared" ca="1" si="14"/>
        <v>#DIV/0!</v>
      </c>
      <c r="BL27" s="22" t="e">
        <f t="shared" ca="1" si="15"/>
        <v>#DIV/0!</v>
      </c>
      <c r="BN27" s="4" t="str">
        <f t="shared" ca="1" si="16"/>
        <v>2014-06</v>
      </c>
      <c r="BO27" s="22" t="e">
        <f t="shared" ca="1" si="17"/>
        <v>#DIV/0!</v>
      </c>
      <c r="BP27" s="22" t="e">
        <f t="shared" ca="1" si="18"/>
        <v>#DIV/0!</v>
      </c>
      <c r="BQ27" s="22" t="e">
        <f t="shared" ca="1" si="19"/>
        <v>#DIV/0!</v>
      </c>
      <c r="BR27" s="22" t="e">
        <f t="shared" ca="1" si="20"/>
        <v>#DIV/0!</v>
      </c>
      <c r="BS27" s="22" t="e">
        <f t="shared" ca="1" si="21"/>
        <v>#DIV/0!</v>
      </c>
      <c r="BT27" s="22" t="e">
        <f t="shared" ca="1" si="22"/>
        <v>#DIV/0!</v>
      </c>
      <c r="BU27" s="22" t="e">
        <f t="shared" ca="1" si="23"/>
        <v>#DIV/0!</v>
      </c>
      <c r="BV27" s="22" t="e">
        <f t="shared" ca="1" si="24"/>
        <v>#DIV/0!</v>
      </c>
      <c r="BW27" s="22" t="e">
        <f t="shared" ca="1" si="25"/>
        <v>#DIV/0!</v>
      </c>
      <c r="BX27" s="22" t="e">
        <f t="shared" ca="1" si="26"/>
        <v>#DIV/0!</v>
      </c>
      <c r="BY27" s="22" t="e">
        <f t="shared" ca="1" si="27"/>
        <v>#DIV/0!</v>
      </c>
      <c r="BZ27" s="22" t="e">
        <f t="shared" ca="1" si="28"/>
        <v>#DIV/0!</v>
      </c>
      <c r="CA27" s="22" t="e">
        <f t="shared" ca="1" si="29"/>
        <v>#DIV/0!</v>
      </c>
      <c r="CB27" s="22" t="e">
        <f t="shared" ca="1" si="30"/>
        <v>#DIV/0!</v>
      </c>
    </row>
    <row r="28" spans="2:80" ht="15" hidden="1" customHeight="1" x14ac:dyDescent="0.15">
      <c r="B28" s="4" t="str">
        <f ca="1">图表数据!E27</f>
        <v>2014-07</v>
      </c>
      <c r="C28" s="24">
        <v>0</v>
      </c>
      <c r="D28" s="24">
        <v>0</v>
      </c>
      <c r="E28" s="24">
        <v>0</v>
      </c>
      <c r="F28" s="24">
        <v>0</v>
      </c>
      <c r="G28" s="24">
        <v>0</v>
      </c>
      <c r="H28" s="24">
        <v>0</v>
      </c>
      <c r="I28" s="24">
        <v>0</v>
      </c>
      <c r="J28" s="24">
        <v>0</v>
      </c>
      <c r="K28" s="24">
        <v>0</v>
      </c>
      <c r="L28" s="24">
        <v>0</v>
      </c>
      <c r="M28" s="24">
        <v>0</v>
      </c>
      <c r="N28" s="24">
        <v>0</v>
      </c>
      <c r="O28" s="24">
        <v>0</v>
      </c>
      <c r="P28" s="24">
        <v>0</v>
      </c>
      <c r="R28" s="4" t="str">
        <f ca="1">图表数据!E27</f>
        <v>2014-07</v>
      </c>
      <c r="S28" s="4">
        <f ca="1">图表数据!F27</f>
        <v>0</v>
      </c>
      <c r="T28" s="4">
        <f ca="1">图表数据!G27</f>
        <v>0</v>
      </c>
      <c r="U28" s="4">
        <f ca="1">图表数据!H27</f>
        <v>0</v>
      </c>
      <c r="V28" s="4">
        <f ca="1">图表数据!I27</f>
        <v>0</v>
      </c>
      <c r="W28" s="4">
        <f ca="1">图表数据!J27</f>
        <v>0</v>
      </c>
      <c r="X28" s="4">
        <f ca="1">图表数据!K27</f>
        <v>0</v>
      </c>
      <c r="Y28" s="4">
        <f ca="1">图表数据!L27</f>
        <v>0</v>
      </c>
      <c r="Z28" s="4">
        <f ca="1">图表数据!M27</f>
        <v>0</v>
      </c>
      <c r="AA28" s="4">
        <f ca="1">图表数据!N27</f>
        <v>0</v>
      </c>
      <c r="AB28" s="4">
        <f ca="1">图表数据!O27</f>
        <v>0</v>
      </c>
      <c r="AC28" s="4">
        <f ca="1">图表数据!P27</f>
        <v>0</v>
      </c>
      <c r="AD28" s="4">
        <f ca="1">图表数据!Q27</f>
        <v>0</v>
      </c>
      <c r="AE28" s="4">
        <f ca="1">图表数据!R27</f>
        <v>0</v>
      </c>
      <c r="AF28" s="4">
        <f ca="1">图表数据!S27</f>
        <v>0</v>
      </c>
      <c r="AH28" s="4" t="str">
        <f t="shared" ca="1" si="1"/>
        <v>2014-07</v>
      </c>
      <c r="AI28" s="22" t="e">
        <f t="shared" ref="AI28:AV28" ca="1" si="45">S28/S16-1</f>
        <v>#DIV/0!</v>
      </c>
      <c r="AJ28" s="22" t="e">
        <f t="shared" ca="1" si="45"/>
        <v>#DIV/0!</v>
      </c>
      <c r="AK28" s="22" t="e">
        <f t="shared" ca="1" si="45"/>
        <v>#DIV/0!</v>
      </c>
      <c r="AL28" s="22" t="e">
        <f t="shared" ca="1" si="45"/>
        <v>#DIV/0!</v>
      </c>
      <c r="AM28" s="22" t="e">
        <f t="shared" ca="1" si="45"/>
        <v>#DIV/0!</v>
      </c>
      <c r="AN28" s="22" t="e">
        <f t="shared" ca="1" si="45"/>
        <v>#DIV/0!</v>
      </c>
      <c r="AO28" s="22" t="e">
        <f t="shared" ca="1" si="45"/>
        <v>#DIV/0!</v>
      </c>
      <c r="AP28" s="22" t="e">
        <f t="shared" ca="1" si="45"/>
        <v>#DIV/0!</v>
      </c>
      <c r="AQ28" s="22" t="e">
        <f t="shared" ca="1" si="45"/>
        <v>#DIV/0!</v>
      </c>
      <c r="AR28" s="22" t="e">
        <f t="shared" ca="1" si="45"/>
        <v>#DIV/0!</v>
      </c>
      <c r="AS28" s="22" t="e">
        <f t="shared" ca="1" si="45"/>
        <v>#DIV/0!</v>
      </c>
      <c r="AT28" s="22" t="e">
        <f t="shared" ca="1" si="45"/>
        <v>#DIV/0!</v>
      </c>
      <c r="AU28" s="22" t="e">
        <f t="shared" ca="1" si="45"/>
        <v>#DIV/0!</v>
      </c>
      <c r="AV28" s="22" t="e">
        <f t="shared" ca="1" si="45"/>
        <v>#DIV/0!</v>
      </c>
      <c r="AX28" s="4" t="str">
        <f t="shared" ca="1" si="2"/>
        <v>2014-07</v>
      </c>
      <c r="AY28" s="22" t="e">
        <f t="shared" ca="1" si="31"/>
        <v>#DIV/0!</v>
      </c>
      <c r="AZ28" s="22" t="e">
        <f t="shared" ca="1" si="3"/>
        <v>#DIV/0!</v>
      </c>
      <c r="BA28" s="22" t="e">
        <f t="shared" ca="1" si="4"/>
        <v>#DIV/0!</v>
      </c>
      <c r="BB28" s="22" t="e">
        <f t="shared" ca="1" si="5"/>
        <v>#DIV/0!</v>
      </c>
      <c r="BC28" s="22" t="e">
        <f t="shared" ca="1" si="6"/>
        <v>#DIV/0!</v>
      </c>
      <c r="BD28" s="22" t="e">
        <f t="shared" ca="1" si="7"/>
        <v>#DIV/0!</v>
      </c>
      <c r="BE28" s="22" t="e">
        <f t="shared" ca="1" si="8"/>
        <v>#DIV/0!</v>
      </c>
      <c r="BF28" s="22" t="e">
        <f t="shared" ca="1" si="9"/>
        <v>#DIV/0!</v>
      </c>
      <c r="BG28" s="22" t="e">
        <f t="shared" ca="1" si="10"/>
        <v>#DIV/0!</v>
      </c>
      <c r="BH28" s="22" t="e">
        <f t="shared" ca="1" si="11"/>
        <v>#DIV/0!</v>
      </c>
      <c r="BI28" s="22" t="e">
        <f t="shared" ca="1" si="12"/>
        <v>#DIV/0!</v>
      </c>
      <c r="BJ28" s="22" t="e">
        <f t="shared" ca="1" si="13"/>
        <v>#DIV/0!</v>
      </c>
      <c r="BK28" s="22" t="e">
        <f t="shared" ca="1" si="14"/>
        <v>#DIV/0!</v>
      </c>
      <c r="BL28" s="22" t="e">
        <f t="shared" ca="1" si="15"/>
        <v>#DIV/0!</v>
      </c>
      <c r="BN28" s="4" t="str">
        <f t="shared" ca="1" si="16"/>
        <v>2014-07</v>
      </c>
      <c r="BO28" s="22" t="e">
        <f t="shared" ca="1" si="17"/>
        <v>#DIV/0!</v>
      </c>
      <c r="BP28" s="22" t="e">
        <f t="shared" ca="1" si="18"/>
        <v>#DIV/0!</v>
      </c>
      <c r="BQ28" s="22" t="e">
        <f t="shared" ca="1" si="19"/>
        <v>#DIV/0!</v>
      </c>
      <c r="BR28" s="22" t="e">
        <f t="shared" ca="1" si="20"/>
        <v>#DIV/0!</v>
      </c>
      <c r="BS28" s="22" t="e">
        <f t="shared" ca="1" si="21"/>
        <v>#DIV/0!</v>
      </c>
      <c r="BT28" s="22" t="e">
        <f t="shared" ca="1" si="22"/>
        <v>#DIV/0!</v>
      </c>
      <c r="BU28" s="22" t="e">
        <f t="shared" ca="1" si="23"/>
        <v>#DIV/0!</v>
      </c>
      <c r="BV28" s="22" t="e">
        <f t="shared" ca="1" si="24"/>
        <v>#DIV/0!</v>
      </c>
      <c r="BW28" s="22" t="e">
        <f t="shared" ca="1" si="25"/>
        <v>#DIV/0!</v>
      </c>
      <c r="BX28" s="22" t="e">
        <f t="shared" ca="1" si="26"/>
        <v>#DIV/0!</v>
      </c>
      <c r="BY28" s="22" t="e">
        <f t="shared" ca="1" si="27"/>
        <v>#DIV/0!</v>
      </c>
      <c r="BZ28" s="22" t="e">
        <f t="shared" ca="1" si="28"/>
        <v>#DIV/0!</v>
      </c>
      <c r="CA28" s="22" t="e">
        <f t="shared" ca="1" si="29"/>
        <v>#DIV/0!</v>
      </c>
      <c r="CB28" s="22" t="e">
        <f t="shared" ca="1" si="30"/>
        <v>#DIV/0!</v>
      </c>
    </row>
    <row r="29" spans="2:80" ht="15" hidden="1" customHeight="1" x14ac:dyDescent="0.15">
      <c r="B29" s="4" t="str">
        <f ca="1">图表数据!E28</f>
        <v>2014-08</v>
      </c>
      <c r="C29" s="24">
        <v>0</v>
      </c>
      <c r="D29" s="24">
        <v>0</v>
      </c>
      <c r="E29" s="24">
        <v>0</v>
      </c>
      <c r="F29" s="24">
        <v>0</v>
      </c>
      <c r="G29" s="24">
        <v>0</v>
      </c>
      <c r="H29" s="24">
        <v>0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R29" s="4" t="str">
        <f ca="1">图表数据!E28</f>
        <v>2014-08</v>
      </c>
      <c r="S29" s="4">
        <f ca="1">图表数据!F28</f>
        <v>0</v>
      </c>
      <c r="T29" s="4">
        <f ca="1">图表数据!G28</f>
        <v>0</v>
      </c>
      <c r="U29" s="4">
        <f ca="1">图表数据!H28</f>
        <v>0</v>
      </c>
      <c r="V29" s="4">
        <f ca="1">图表数据!I28</f>
        <v>0</v>
      </c>
      <c r="W29" s="4">
        <f ca="1">图表数据!J28</f>
        <v>0</v>
      </c>
      <c r="X29" s="4">
        <f ca="1">图表数据!K28</f>
        <v>0</v>
      </c>
      <c r="Y29" s="4">
        <f ca="1">图表数据!L28</f>
        <v>0</v>
      </c>
      <c r="Z29" s="4">
        <f ca="1">图表数据!M28</f>
        <v>0</v>
      </c>
      <c r="AA29" s="4">
        <f ca="1">图表数据!N28</f>
        <v>0</v>
      </c>
      <c r="AB29" s="4">
        <f ca="1">图表数据!O28</f>
        <v>0</v>
      </c>
      <c r="AC29" s="4">
        <f ca="1">图表数据!P28</f>
        <v>0</v>
      </c>
      <c r="AD29" s="4">
        <f ca="1">图表数据!Q28</f>
        <v>0</v>
      </c>
      <c r="AE29" s="4">
        <f ca="1">图表数据!R28</f>
        <v>0</v>
      </c>
      <c r="AF29" s="4">
        <f ca="1">图表数据!S28</f>
        <v>0</v>
      </c>
      <c r="AH29" s="4" t="str">
        <f t="shared" ca="1" si="1"/>
        <v>2014-08</v>
      </c>
      <c r="AI29" s="22" t="e">
        <f t="shared" ref="AI29:AV29" ca="1" si="46">S29/S17-1</f>
        <v>#DIV/0!</v>
      </c>
      <c r="AJ29" s="22" t="e">
        <f t="shared" ca="1" si="46"/>
        <v>#DIV/0!</v>
      </c>
      <c r="AK29" s="22" t="e">
        <f t="shared" ca="1" si="46"/>
        <v>#DIV/0!</v>
      </c>
      <c r="AL29" s="22" t="e">
        <f t="shared" ca="1" si="46"/>
        <v>#DIV/0!</v>
      </c>
      <c r="AM29" s="22" t="e">
        <f t="shared" ca="1" si="46"/>
        <v>#DIV/0!</v>
      </c>
      <c r="AN29" s="22" t="e">
        <f t="shared" ca="1" si="46"/>
        <v>#DIV/0!</v>
      </c>
      <c r="AO29" s="22" t="e">
        <f t="shared" ca="1" si="46"/>
        <v>#DIV/0!</v>
      </c>
      <c r="AP29" s="22" t="e">
        <f t="shared" ca="1" si="46"/>
        <v>#DIV/0!</v>
      </c>
      <c r="AQ29" s="22" t="e">
        <f t="shared" ca="1" si="46"/>
        <v>#DIV/0!</v>
      </c>
      <c r="AR29" s="22" t="e">
        <f t="shared" ca="1" si="46"/>
        <v>#DIV/0!</v>
      </c>
      <c r="AS29" s="22" t="e">
        <f t="shared" ca="1" si="46"/>
        <v>#DIV/0!</v>
      </c>
      <c r="AT29" s="22" t="e">
        <f t="shared" ca="1" si="46"/>
        <v>#DIV/0!</v>
      </c>
      <c r="AU29" s="22" t="e">
        <f t="shared" ca="1" si="46"/>
        <v>#DIV/0!</v>
      </c>
      <c r="AV29" s="22" t="e">
        <f t="shared" ca="1" si="46"/>
        <v>#DIV/0!</v>
      </c>
      <c r="AX29" s="4" t="str">
        <f t="shared" ca="1" si="2"/>
        <v>2014-08</v>
      </c>
      <c r="AY29" s="22" t="e">
        <f t="shared" ca="1" si="31"/>
        <v>#DIV/0!</v>
      </c>
      <c r="AZ29" s="22" t="e">
        <f t="shared" ca="1" si="3"/>
        <v>#DIV/0!</v>
      </c>
      <c r="BA29" s="22" t="e">
        <f t="shared" ca="1" si="4"/>
        <v>#DIV/0!</v>
      </c>
      <c r="BB29" s="22" t="e">
        <f t="shared" ca="1" si="5"/>
        <v>#DIV/0!</v>
      </c>
      <c r="BC29" s="22" t="e">
        <f t="shared" ca="1" si="6"/>
        <v>#DIV/0!</v>
      </c>
      <c r="BD29" s="22" t="e">
        <f t="shared" ca="1" si="7"/>
        <v>#DIV/0!</v>
      </c>
      <c r="BE29" s="22" t="e">
        <f t="shared" ca="1" si="8"/>
        <v>#DIV/0!</v>
      </c>
      <c r="BF29" s="22" t="e">
        <f t="shared" ca="1" si="9"/>
        <v>#DIV/0!</v>
      </c>
      <c r="BG29" s="22" t="e">
        <f t="shared" ca="1" si="10"/>
        <v>#DIV/0!</v>
      </c>
      <c r="BH29" s="22" t="e">
        <f t="shared" ca="1" si="11"/>
        <v>#DIV/0!</v>
      </c>
      <c r="BI29" s="22" t="e">
        <f t="shared" ca="1" si="12"/>
        <v>#DIV/0!</v>
      </c>
      <c r="BJ29" s="22" t="e">
        <f t="shared" ca="1" si="13"/>
        <v>#DIV/0!</v>
      </c>
      <c r="BK29" s="22" t="e">
        <f t="shared" ca="1" si="14"/>
        <v>#DIV/0!</v>
      </c>
      <c r="BL29" s="22" t="e">
        <f t="shared" ca="1" si="15"/>
        <v>#DIV/0!</v>
      </c>
      <c r="BN29" s="4" t="str">
        <f t="shared" ca="1" si="16"/>
        <v>2014-08</v>
      </c>
      <c r="BO29" s="22" t="e">
        <f t="shared" ca="1" si="17"/>
        <v>#DIV/0!</v>
      </c>
      <c r="BP29" s="22" t="e">
        <f t="shared" ca="1" si="18"/>
        <v>#DIV/0!</v>
      </c>
      <c r="BQ29" s="22" t="e">
        <f t="shared" ca="1" si="19"/>
        <v>#DIV/0!</v>
      </c>
      <c r="BR29" s="22" t="e">
        <f t="shared" ca="1" si="20"/>
        <v>#DIV/0!</v>
      </c>
      <c r="BS29" s="22" t="e">
        <f t="shared" ca="1" si="21"/>
        <v>#DIV/0!</v>
      </c>
      <c r="BT29" s="22" t="e">
        <f t="shared" ca="1" si="22"/>
        <v>#DIV/0!</v>
      </c>
      <c r="BU29" s="22" t="e">
        <f t="shared" ca="1" si="23"/>
        <v>#DIV/0!</v>
      </c>
      <c r="BV29" s="22" t="e">
        <f t="shared" ca="1" si="24"/>
        <v>#DIV/0!</v>
      </c>
      <c r="BW29" s="22" t="e">
        <f t="shared" ca="1" si="25"/>
        <v>#DIV/0!</v>
      </c>
      <c r="BX29" s="22" t="e">
        <f t="shared" ca="1" si="26"/>
        <v>#DIV/0!</v>
      </c>
      <c r="BY29" s="22" t="e">
        <f t="shared" ca="1" si="27"/>
        <v>#DIV/0!</v>
      </c>
      <c r="BZ29" s="22" t="e">
        <f t="shared" ca="1" si="28"/>
        <v>#DIV/0!</v>
      </c>
      <c r="CA29" s="22" t="e">
        <f t="shared" ca="1" si="29"/>
        <v>#DIV/0!</v>
      </c>
      <c r="CB29" s="22" t="e">
        <f t="shared" ca="1" si="30"/>
        <v>#DIV/0!</v>
      </c>
    </row>
    <row r="30" spans="2:80" ht="15" hidden="1" customHeight="1" x14ac:dyDescent="0.15">
      <c r="B30" s="4" t="str">
        <f ca="1">图表数据!E29</f>
        <v>2014-09</v>
      </c>
      <c r="C30" s="24">
        <v>0</v>
      </c>
      <c r="D30" s="24">
        <v>0</v>
      </c>
      <c r="E30" s="24">
        <v>0</v>
      </c>
      <c r="F30" s="24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4">
        <v>0</v>
      </c>
      <c r="M30" s="24">
        <v>0</v>
      </c>
      <c r="N30" s="24">
        <v>0</v>
      </c>
      <c r="O30" s="24">
        <v>0</v>
      </c>
      <c r="P30" s="24">
        <v>0</v>
      </c>
      <c r="R30" s="4" t="str">
        <f ca="1">图表数据!E29</f>
        <v>2014-09</v>
      </c>
      <c r="S30" s="4">
        <f ca="1">图表数据!F29</f>
        <v>0</v>
      </c>
      <c r="T30" s="4">
        <f ca="1">图表数据!G29</f>
        <v>0</v>
      </c>
      <c r="U30" s="4">
        <f ca="1">图表数据!H29</f>
        <v>0</v>
      </c>
      <c r="V30" s="4">
        <f ca="1">图表数据!I29</f>
        <v>0</v>
      </c>
      <c r="W30" s="4">
        <f ca="1">图表数据!J29</f>
        <v>0</v>
      </c>
      <c r="X30" s="4">
        <f ca="1">图表数据!K29</f>
        <v>0</v>
      </c>
      <c r="Y30" s="4">
        <f ca="1">图表数据!L29</f>
        <v>0</v>
      </c>
      <c r="Z30" s="4">
        <f ca="1">图表数据!M29</f>
        <v>0</v>
      </c>
      <c r="AA30" s="4">
        <f ca="1">图表数据!N29</f>
        <v>0</v>
      </c>
      <c r="AB30" s="4">
        <f ca="1">图表数据!O29</f>
        <v>0</v>
      </c>
      <c r="AC30" s="4">
        <f ca="1">图表数据!P29</f>
        <v>0</v>
      </c>
      <c r="AD30" s="4">
        <f ca="1">图表数据!Q29</f>
        <v>0</v>
      </c>
      <c r="AE30" s="4">
        <f ca="1">图表数据!R29</f>
        <v>0</v>
      </c>
      <c r="AF30" s="4">
        <f ca="1">图表数据!S29</f>
        <v>0</v>
      </c>
      <c r="AH30" s="4" t="str">
        <f t="shared" ca="1" si="1"/>
        <v>2014-09</v>
      </c>
      <c r="AI30" s="22" t="e">
        <f t="shared" ref="AI30:AV30" ca="1" si="47">S30/S18-1</f>
        <v>#DIV/0!</v>
      </c>
      <c r="AJ30" s="22" t="e">
        <f t="shared" ca="1" si="47"/>
        <v>#DIV/0!</v>
      </c>
      <c r="AK30" s="22" t="e">
        <f t="shared" ca="1" si="47"/>
        <v>#DIV/0!</v>
      </c>
      <c r="AL30" s="22" t="e">
        <f t="shared" ca="1" si="47"/>
        <v>#DIV/0!</v>
      </c>
      <c r="AM30" s="22" t="e">
        <f t="shared" ca="1" si="47"/>
        <v>#DIV/0!</v>
      </c>
      <c r="AN30" s="22" t="e">
        <f t="shared" ca="1" si="47"/>
        <v>#DIV/0!</v>
      </c>
      <c r="AO30" s="22" t="e">
        <f t="shared" ca="1" si="47"/>
        <v>#DIV/0!</v>
      </c>
      <c r="AP30" s="22" t="e">
        <f t="shared" ca="1" si="47"/>
        <v>#DIV/0!</v>
      </c>
      <c r="AQ30" s="22" t="e">
        <f t="shared" ca="1" si="47"/>
        <v>#DIV/0!</v>
      </c>
      <c r="AR30" s="22" t="e">
        <f t="shared" ca="1" si="47"/>
        <v>#DIV/0!</v>
      </c>
      <c r="AS30" s="22" t="e">
        <f t="shared" ca="1" si="47"/>
        <v>#DIV/0!</v>
      </c>
      <c r="AT30" s="22" t="e">
        <f t="shared" ca="1" si="47"/>
        <v>#DIV/0!</v>
      </c>
      <c r="AU30" s="22" t="e">
        <f t="shared" ca="1" si="47"/>
        <v>#DIV/0!</v>
      </c>
      <c r="AV30" s="22" t="e">
        <f t="shared" ca="1" si="47"/>
        <v>#DIV/0!</v>
      </c>
      <c r="AX30" s="4" t="str">
        <f t="shared" ca="1" si="2"/>
        <v>2014-09</v>
      </c>
      <c r="AY30" s="22" t="e">
        <f t="shared" ca="1" si="31"/>
        <v>#DIV/0!</v>
      </c>
      <c r="AZ30" s="22" t="e">
        <f t="shared" ca="1" si="3"/>
        <v>#DIV/0!</v>
      </c>
      <c r="BA30" s="22" t="e">
        <f t="shared" ca="1" si="4"/>
        <v>#DIV/0!</v>
      </c>
      <c r="BB30" s="22" t="e">
        <f t="shared" ca="1" si="5"/>
        <v>#DIV/0!</v>
      </c>
      <c r="BC30" s="22" t="e">
        <f t="shared" ca="1" si="6"/>
        <v>#DIV/0!</v>
      </c>
      <c r="BD30" s="22" t="e">
        <f t="shared" ca="1" si="7"/>
        <v>#DIV/0!</v>
      </c>
      <c r="BE30" s="22" t="e">
        <f t="shared" ca="1" si="8"/>
        <v>#DIV/0!</v>
      </c>
      <c r="BF30" s="22" t="e">
        <f t="shared" ca="1" si="9"/>
        <v>#DIV/0!</v>
      </c>
      <c r="BG30" s="22" t="e">
        <f t="shared" ca="1" si="10"/>
        <v>#DIV/0!</v>
      </c>
      <c r="BH30" s="22" t="e">
        <f t="shared" ca="1" si="11"/>
        <v>#DIV/0!</v>
      </c>
      <c r="BI30" s="22" t="e">
        <f t="shared" ca="1" si="12"/>
        <v>#DIV/0!</v>
      </c>
      <c r="BJ30" s="22" t="e">
        <f t="shared" ca="1" si="13"/>
        <v>#DIV/0!</v>
      </c>
      <c r="BK30" s="22" t="e">
        <f t="shared" ca="1" si="14"/>
        <v>#DIV/0!</v>
      </c>
      <c r="BL30" s="22" t="e">
        <f t="shared" ca="1" si="15"/>
        <v>#DIV/0!</v>
      </c>
      <c r="BN30" s="4" t="str">
        <f t="shared" ca="1" si="16"/>
        <v>2014-09</v>
      </c>
      <c r="BO30" s="22" t="e">
        <f t="shared" ca="1" si="17"/>
        <v>#DIV/0!</v>
      </c>
      <c r="BP30" s="22" t="e">
        <f t="shared" ca="1" si="18"/>
        <v>#DIV/0!</v>
      </c>
      <c r="BQ30" s="22" t="e">
        <f t="shared" ca="1" si="19"/>
        <v>#DIV/0!</v>
      </c>
      <c r="BR30" s="22" t="e">
        <f t="shared" ca="1" si="20"/>
        <v>#DIV/0!</v>
      </c>
      <c r="BS30" s="22" t="e">
        <f t="shared" ca="1" si="21"/>
        <v>#DIV/0!</v>
      </c>
      <c r="BT30" s="22" t="e">
        <f t="shared" ca="1" si="22"/>
        <v>#DIV/0!</v>
      </c>
      <c r="BU30" s="22" t="e">
        <f t="shared" ca="1" si="23"/>
        <v>#DIV/0!</v>
      </c>
      <c r="BV30" s="22" t="e">
        <f t="shared" ca="1" si="24"/>
        <v>#DIV/0!</v>
      </c>
      <c r="BW30" s="22" t="e">
        <f t="shared" ca="1" si="25"/>
        <v>#DIV/0!</v>
      </c>
      <c r="BX30" s="22" t="e">
        <f t="shared" ca="1" si="26"/>
        <v>#DIV/0!</v>
      </c>
      <c r="BY30" s="22" t="e">
        <f t="shared" ca="1" si="27"/>
        <v>#DIV/0!</v>
      </c>
      <c r="BZ30" s="22" t="e">
        <f t="shared" ca="1" si="28"/>
        <v>#DIV/0!</v>
      </c>
      <c r="CA30" s="22" t="e">
        <f t="shared" ca="1" si="29"/>
        <v>#DIV/0!</v>
      </c>
      <c r="CB30" s="22" t="e">
        <f t="shared" ca="1" si="30"/>
        <v>#DIV/0!</v>
      </c>
    </row>
    <row r="31" spans="2:80" ht="15" hidden="1" customHeight="1" x14ac:dyDescent="0.15">
      <c r="B31" s="4" t="str">
        <f ca="1">图表数据!E30</f>
        <v>2014-10</v>
      </c>
      <c r="C31" s="24">
        <v>0</v>
      </c>
      <c r="D31" s="24">
        <v>0</v>
      </c>
      <c r="E31" s="24">
        <v>0</v>
      </c>
      <c r="F31" s="24">
        <v>0</v>
      </c>
      <c r="G31" s="24">
        <v>0</v>
      </c>
      <c r="H31" s="24">
        <v>0</v>
      </c>
      <c r="I31" s="24">
        <v>0</v>
      </c>
      <c r="J31" s="24">
        <v>0</v>
      </c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0</v>
      </c>
      <c r="R31" s="4" t="str">
        <f ca="1">图表数据!E30</f>
        <v>2014-10</v>
      </c>
      <c r="S31" s="4">
        <f ca="1">图表数据!F30</f>
        <v>0</v>
      </c>
      <c r="T31" s="4">
        <f ca="1">图表数据!G30</f>
        <v>0</v>
      </c>
      <c r="U31" s="4">
        <f ca="1">图表数据!H30</f>
        <v>0</v>
      </c>
      <c r="V31" s="4">
        <f ca="1">图表数据!I30</f>
        <v>0</v>
      </c>
      <c r="W31" s="4">
        <f ca="1">图表数据!J30</f>
        <v>0</v>
      </c>
      <c r="X31" s="4">
        <f ca="1">图表数据!K30</f>
        <v>0</v>
      </c>
      <c r="Y31" s="4">
        <f ca="1">图表数据!L30</f>
        <v>0</v>
      </c>
      <c r="Z31" s="4">
        <f ca="1">图表数据!M30</f>
        <v>0</v>
      </c>
      <c r="AA31" s="4">
        <f ca="1">图表数据!N30</f>
        <v>0</v>
      </c>
      <c r="AB31" s="4">
        <f ca="1">图表数据!O30</f>
        <v>0</v>
      </c>
      <c r="AC31" s="4">
        <f ca="1">图表数据!P30</f>
        <v>0</v>
      </c>
      <c r="AD31" s="4">
        <f ca="1">图表数据!Q30</f>
        <v>0</v>
      </c>
      <c r="AE31" s="4">
        <f ca="1">图表数据!R30</f>
        <v>0</v>
      </c>
      <c r="AF31" s="4">
        <f ca="1">图表数据!S30</f>
        <v>0</v>
      </c>
      <c r="AH31" s="4" t="str">
        <f t="shared" ca="1" si="1"/>
        <v>2014-10</v>
      </c>
      <c r="AI31" s="22" t="e">
        <f t="shared" ref="AI31:AV31" ca="1" si="48">S31/S19-1</f>
        <v>#DIV/0!</v>
      </c>
      <c r="AJ31" s="22" t="e">
        <f t="shared" ca="1" si="48"/>
        <v>#DIV/0!</v>
      </c>
      <c r="AK31" s="22" t="e">
        <f t="shared" ca="1" si="48"/>
        <v>#DIV/0!</v>
      </c>
      <c r="AL31" s="22" t="e">
        <f t="shared" ca="1" si="48"/>
        <v>#DIV/0!</v>
      </c>
      <c r="AM31" s="22" t="e">
        <f t="shared" ca="1" si="48"/>
        <v>#DIV/0!</v>
      </c>
      <c r="AN31" s="22" t="e">
        <f t="shared" ca="1" si="48"/>
        <v>#DIV/0!</v>
      </c>
      <c r="AO31" s="22" t="e">
        <f t="shared" ca="1" si="48"/>
        <v>#DIV/0!</v>
      </c>
      <c r="AP31" s="22" t="e">
        <f t="shared" ca="1" si="48"/>
        <v>#DIV/0!</v>
      </c>
      <c r="AQ31" s="22" t="e">
        <f t="shared" ca="1" si="48"/>
        <v>#DIV/0!</v>
      </c>
      <c r="AR31" s="22" t="e">
        <f t="shared" ca="1" si="48"/>
        <v>#DIV/0!</v>
      </c>
      <c r="AS31" s="22" t="e">
        <f t="shared" ca="1" si="48"/>
        <v>#DIV/0!</v>
      </c>
      <c r="AT31" s="22" t="e">
        <f t="shared" ca="1" si="48"/>
        <v>#DIV/0!</v>
      </c>
      <c r="AU31" s="22" t="e">
        <f t="shared" ca="1" si="48"/>
        <v>#DIV/0!</v>
      </c>
      <c r="AV31" s="22" t="e">
        <f t="shared" ca="1" si="48"/>
        <v>#DIV/0!</v>
      </c>
      <c r="AX31" s="4" t="str">
        <f t="shared" ca="1" si="2"/>
        <v>2014-10</v>
      </c>
      <c r="AY31" s="22" t="e">
        <f t="shared" ca="1" si="31"/>
        <v>#DIV/0!</v>
      </c>
      <c r="AZ31" s="22" t="e">
        <f t="shared" ca="1" si="3"/>
        <v>#DIV/0!</v>
      </c>
      <c r="BA31" s="22" t="e">
        <f t="shared" ca="1" si="4"/>
        <v>#DIV/0!</v>
      </c>
      <c r="BB31" s="22" t="e">
        <f t="shared" ca="1" si="5"/>
        <v>#DIV/0!</v>
      </c>
      <c r="BC31" s="22" t="e">
        <f t="shared" ca="1" si="6"/>
        <v>#DIV/0!</v>
      </c>
      <c r="BD31" s="22" t="e">
        <f t="shared" ca="1" si="7"/>
        <v>#DIV/0!</v>
      </c>
      <c r="BE31" s="22" t="e">
        <f t="shared" ca="1" si="8"/>
        <v>#DIV/0!</v>
      </c>
      <c r="BF31" s="22" t="e">
        <f t="shared" ca="1" si="9"/>
        <v>#DIV/0!</v>
      </c>
      <c r="BG31" s="22" t="e">
        <f t="shared" ca="1" si="10"/>
        <v>#DIV/0!</v>
      </c>
      <c r="BH31" s="22" t="e">
        <f t="shared" ca="1" si="11"/>
        <v>#DIV/0!</v>
      </c>
      <c r="BI31" s="22" t="e">
        <f t="shared" ca="1" si="12"/>
        <v>#DIV/0!</v>
      </c>
      <c r="BJ31" s="22" t="e">
        <f t="shared" ca="1" si="13"/>
        <v>#DIV/0!</v>
      </c>
      <c r="BK31" s="22" t="e">
        <f t="shared" ca="1" si="14"/>
        <v>#DIV/0!</v>
      </c>
      <c r="BL31" s="22" t="e">
        <f t="shared" ca="1" si="15"/>
        <v>#DIV/0!</v>
      </c>
      <c r="BN31" s="4" t="str">
        <f t="shared" ca="1" si="16"/>
        <v>2014-10</v>
      </c>
      <c r="BO31" s="22" t="e">
        <f t="shared" ca="1" si="17"/>
        <v>#DIV/0!</v>
      </c>
      <c r="BP31" s="22" t="e">
        <f t="shared" ca="1" si="18"/>
        <v>#DIV/0!</v>
      </c>
      <c r="BQ31" s="22" t="e">
        <f t="shared" ca="1" si="19"/>
        <v>#DIV/0!</v>
      </c>
      <c r="BR31" s="22" t="e">
        <f t="shared" ca="1" si="20"/>
        <v>#DIV/0!</v>
      </c>
      <c r="BS31" s="22" t="e">
        <f t="shared" ca="1" si="21"/>
        <v>#DIV/0!</v>
      </c>
      <c r="BT31" s="22" t="e">
        <f t="shared" ca="1" si="22"/>
        <v>#DIV/0!</v>
      </c>
      <c r="BU31" s="22" t="e">
        <f t="shared" ca="1" si="23"/>
        <v>#DIV/0!</v>
      </c>
      <c r="BV31" s="22" t="e">
        <f t="shared" ca="1" si="24"/>
        <v>#DIV/0!</v>
      </c>
      <c r="BW31" s="22" t="e">
        <f t="shared" ca="1" si="25"/>
        <v>#DIV/0!</v>
      </c>
      <c r="BX31" s="22" t="e">
        <f t="shared" ca="1" si="26"/>
        <v>#DIV/0!</v>
      </c>
      <c r="BY31" s="22" t="e">
        <f t="shared" ca="1" si="27"/>
        <v>#DIV/0!</v>
      </c>
      <c r="BZ31" s="22" t="e">
        <f t="shared" ca="1" si="28"/>
        <v>#DIV/0!</v>
      </c>
      <c r="CA31" s="22" t="e">
        <f t="shared" ca="1" si="29"/>
        <v>#DIV/0!</v>
      </c>
      <c r="CB31" s="22" t="e">
        <f t="shared" ca="1" si="30"/>
        <v>#DIV/0!</v>
      </c>
    </row>
    <row r="32" spans="2:80" ht="15" hidden="1" customHeight="1" x14ac:dyDescent="0.15">
      <c r="B32" s="4" t="str">
        <f ca="1">图表数据!E31</f>
        <v>2014-11</v>
      </c>
      <c r="C32" s="24">
        <v>0</v>
      </c>
      <c r="D32" s="24">
        <v>0</v>
      </c>
      <c r="E32" s="24">
        <v>0</v>
      </c>
      <c r="F32" s="24">
        <v>0</v>
      </c>
      <c r="G32" s="24">
        <v>0</v>
      </c>
      <c r="H32" s="24">
        <v>0</v>
      </c>
      <c r="I32" s="24">
        <v>0</v>
      </c>
      <c r="J32" s="24">
        <v>0</v>
      </c>
      <c r="K32" s="24">
        <v>0</v>
      </c>
      <c r="L32" s="24">
        <v>0</v>
      </c>
      <c r="M32" s="24">
        <v>0</v>
      </c>
      <c r="N32" s="24">
        <v>0</v>
      </c>
      <c r="O32" s="24">
        <v>0</v>
      </c>
      <c r="P32" s="24">
        <v>0</v>
      </c>
      <c r="R32" s="4" t="str">
        <f ca="1">图表数据!E31</f>
        <v>2014-11</v>
      </c>
      <c r="S32" s="4">
        <f ca="1">图表数据!F31</f>
        <v>0</v>
      </c>
      <c r="T32" s="4">
        <f ca="1">图表数据!G31</f>
        <v>0</v>
      </c>
      <c r="U32" s="4">
        <f ca="1">图表数据!H31</f>
        <v>0</v>
      </c>
      <c r="V32" s="4">
        <f ca="1">图表数据!I31</f>
        <v>0</v>
      </c>
      <c r="W32" s="4">
        <f ca="1">图表数据!J31</f>
        <v>0</v>
      </c>
      <c r="X32" s="4">
        <f ca="1">图表数据!K31</f>
        <v>0</v>
      </c>
      <c r="Y32" s="4">
        <f ca="1">图表数据!L31</f>
        <v>0</v>
      </c>
      <c r="Z32" s="4">
        <f ca="1">图表数据!M31</f>
        <v>0</v>
      </c>
      <c r="AA32" s="4">
        <f ca="1">图表数据!N31</f>
        <v>0</v>
      </c>
      <c r="AB32" s="4">
        <f ca="1">图表数据!O31</f>
        <v>0</v>
      </c>
      <c r="AC32" s="4">
        <f ca="1">图表数据!P31</f>
        <v>0</v>
      </c>
      <c r="AD32" s="4">
        <f ca="1">图表数据!Q31</f>
        <v>0</v>
      </c>
      <c r="AE32" s="4">
        <f ca="1">图表数据!R31</f>
        <v>0</v>
      </c>
      <c r="AF32" s="4">
        <f ca="1">图表数据!S31</f>
        <v>0</v>
      </c>
      <c r="AH32" s="4" t="str">
        <f t="shared" ca="1" si="1"/>
        <v>2014-11</v>
      </c>
      <c r="AI32" s="22" t="e">
        <f t="shared" ref="AI32:AV32" ca="1" si="49">S32/S20-1</f>
        <v>#DIV/0!</v>
      </c>
      <c r="AJ32" s="22" t="e">
        <f t="shared" ca="1" si="49"/>
        <v>#DIV/0!</v>
      </c>
      <c r="AK32" s="22" t="e">
        <f t="shared" ca="1" si="49"/>
        <v>#DIV/0!</v>
      </c>
      <c r="AL32" s="22" t="e">
        <f t="shared" ca="1" si="49"/>
        <v>#DIV/0!</v>
      </c>
      <c r="AM32" s="22" t="e">
        <f t="shared" ca="1" si="49"/>
        <v>#DIV/0!</v>
      </c>
      <c r="AN32" s="22" t="e">
        <f t="shared" ca="1" si="49"/>
        <v>#DIV/0!</v>
      </c>
      <c r="AO32" s="22" t="e">
        <f t="shared" ca="1" si="49"/>
        <v>#DIV/0!</v>
      </c>
      <c r="AP32" s="22" t="e">
        <f t="shared" ca="1" si="49"/>
        <v>#DIV/0!</v>
      </c>
      <c r="AQ32" s="22" t="e">
        <f t="shared" ca="1" si="49"/>
        <v>#DIV/0!</v>
      </c>
      <c r="AR32" s="22" t="e">
        <f t="shared" ca="1" si="49"/>
        <v>#DIV/0!</v>
      </c>
      <c r="AS32" s="22" t="e">
        <f t="shared" ca="1" si="49"/>
        <v>#DIV/0!</v>
      </c>
      <c r="AT32" s="22" t="e">
        <f t="shared" ca="1" si="49"/>
        <v>#DIV/0!</v>
      </c>
      <c r="AU32" s="22" t="e">
        <f t="shared" ca="1" si="49"/>
        <v>#DIV/0!</v>
      </c>
      <c r="AV32" s="22" t="e">
        <f t="shared" ca="1" si="49"/>
        <v>#DIV/0!</v>
      </c>
      <c r="AX32" s="4" t="str">
        <f t="shared" ca="1" si="2"/>
        <v>2014-11</v>
      </c>
      <c r="AY32" s="22" t="e">
        <f t="shared" ca="1" si="31"/>
        <v>#DIV/0!</v>
      </c>
      <c r="AZ32" s="22" t="e">
        <f t="shared" ca="1" si="3"/>
        <v>#DIV/0!</v>
      </c>
      <c r="BA32" s="22" t="e">
        <f t="shared" ca="1" si="4"/>
        <v>#DIV/0!</v>
      </c>
      <c r="BB32" s="22" t="e">
        <f t="shared" ca="1" si="5"/>
        <v>#DIV/0!</v>
      </c>
      <c r="BC32" s="22" t="e">
        <f t="shared" ca="1" si="6"/>
        <v>#DIV/0!</v>
      </c>
      <c r="BD32" s="22" t="e">
        <f t="shared" ca="1" si="7"/>
        <v>#DIV/0!</v>
      </c>
      <c r="BE32" s="22" t="e">
        <f t="shared" ca="1" si="8"/>
        <v>#DIV/0!</v>
      </c>
      <c r="BF32" s="22" t="e">
        <f t="shared" ca="1" si="9"/>
        <v>#DIV/0!</v>
      </c>
      <c r="BG32" s="22" t="e">
        <f t="shared" ca="1" si="10"/>
        <v>#DIV/0!</v>
      </c>
      <c r="BH32" s="22" t="e">
        <f t="shared" ca="1" si="11"/>
        <v>#DIV/0!</v>
      </c>
      <c r="BI32" s="22" t="e">
        <f t="shared" ca="1" si="12"/>
        <v>#DIV/0!</v>
      </c>
      <c r="BJ32" s="22" t="e">
        <f t="shared" ca="1" si="13"/>
        <v>#DIV/0!</v>
      </c>
      <c r="BK32" s="22" t="e">
        <f t="shared" ca="1" si="14"/>
        <v>#DIV/0!</v>
      </c>
      <c r="BL32" s="22" t="e">
        <f t="shared" ca="1" si="15"/>
        <v>#DIV/0!</v>
      </c>
      <c r="BN32" s="4" t="str">
        <f t="shared" ca="1" si="16"/>
        <v>2014-11</v>
      </c>
      <c r="BO32" s="22" t="e">
        <f t="shared" ca="1" si="17"/>
        <v>#DIV/0!</v>
      </c>
      <c r="BP32" s="22" t="e">
        <f t="shared" ca="1" si="18"/>
        <v>#DIV/0!</v>
      </c>
      <c r="BQ32" s="22" t="e">
        <f t="shared" ca="1" si="19"/>
        <v>#DIV/0!</v>
      </c>
      <c r="BR32" s="22" t="e">
        <f t="shared" ca="1" si="20"/>
        <v>#DIV/0!</v>
      </c>
      <c r="BS32" s="22" t="e">
        <f t="shared" ca="1" si="21"/>
        <v>#DIV/0!</v>
      </c>
      <c r="BT32" s="22" t="e">
        <f t="shared" ca="1" si="22"/>
        <v>#DIV/0!</v>
      </c>
      <c r="BU32" s="22" t="e">
        <f t="shared" ca="1" si="23"/>
        <v>#DIV/0!</v>
      </c>
      <c r="BV32" s="22" t="e">
        <f t="shared" ca="1" si="24"/>
        <v>#DIV/0!</v>
      </c>
      <c r="BW32" s="22" t="e">
        <f t="shared" ca="1" si="25"/>
        <v>#DIV/0!</v>
      </c>
      <c r="BX32" s="22" t="e">
        <f t="shared" ca="1" si="26"/>
        <v>#DIV/0!</v>
      </c>
      <c r="BY32" s="22" t="e">
        <f t="shared" ca="1" si="27"/>
        <v>#DIV/0!</v>
      </c>
      <c r="BZ32" s="22" t="e">
        <f t="shared" ca="1" si="28"/>
        <v>#DIV/0!</v>
      </c>
      <c r="CA32" s="22" t="e">
        <f t="shared" ca="1" si="29"/>
        <v>#DIV/0!</v>
      </c>
      <c r="CB32" s="22" t="e">
        <f t="shared" ca="1" si="30"/>
        <v>#DIV/0!</v>
      </c>
    </row>
    <row r="33" spans="2:80" ht="15" hidden="1" customHeight="1" x14ac:dyDescent="0.15">
      <c r="B33" s="4" t="str">
        <f ca="1">图表数据!E32</f>
        <v>2014-12</v>
      </c>
      <c r="C33" s="24">
        <v>0</v>
      </c>
      <c r="D33" s="24">
        <v>0</v>
      </c>
      <c r="E33" s="24">
        <v>2</v>
      </c>
      <c r="F33" s="24">
        <v>0</v>
      </c>
      <c r="G33" s="24">
        <v>0</v>
      </c>
      <c r="H33" s="24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2</v>
      </c>
      <c r="R33" s="4" t="str">
        <f ca="1">图表数据!E32</f>
        <v>2014-12</v>
      </c>
      <c r="S33" s="4">
        <f ca="1">图表数据!F32</f>
        <v>0</v>
      </c>
      <c r="T33" s="4">
        <f ca="1">图表数据!G32</f>
        <v>0</v>
      </c>
      <c r="U33" s="4">
        <f ca="1">图表数据!H32</f>
        <v>2</v>
      </c>
      <c r="V33" s="4">
        <f ca="1">图表数据!I32</f>
        <v>0</v>
      </c>
      <c r="W33" s="4">
        <f ca="1">图表数据!J32</f>
        <v>0</v>
      </c>
      <c r="X33" s="4">
        <f ca="1">图表数据!K32</f>
        <v>0</v>
      </c>
      <c r="Y33" s="4">
        <f ca="1">图表数据!L32</f>
        <v>0</v>
      </c>
      <c r="Z33" s="4">
        <f ca="1">图表数据!M32</f>
        <v>0</v>
      </c>
      <c r="AA33" s="4">
        <f ca="1">图表数据!N32</f>
        <v>0</v>
      </c>
      <c r="AB33" s="4">
        <f ca="1">图表数据!O32</f>
        <v>0</v>
      </c>
      <c r="AC33" s="4">
        <f ca="1">图表数据!P32</f>
        <v>0</v>
      </c>
      <c r="AD33" s="4">
        <f ca="1">图表数据!Q32</f>
        <v>0</v>
      </c>
      <c r="AE33" s="4">
        <f ca="1">图表数据!R32</f>
        <v>0</v>
      </c>
      <c r="AF33" s="4">
        <f ca="1">图表数据!S32</f>
        <v>2</v>
      </c>
      <c r="AH33" s="4" t="str">
        <f t="shared" ca="1" si="1"/>
        <v>2014-12</v>
      </c>
      <c r="AI33" s="22" t="e">
        <f t="shared" ref="AI33:AV33" ca="1" si="50">S33/S21-1</f>
        <v>#DIV/0!</v>
      </c>
      <c r="AJ33" s="22" t="e">
        <f t="shared" ca="1" si="50"/>
        <v>#DIV/0!</v>
      </c>
      <c r="AK33" s="22" t="e">
        <f t="shared" ca="1" si="50"/>
        <v>#DIV/0!</v>
      </c>
      <c r="AL33" s="22" t="e">
        <f t="shared" ca="1" si="50"/>
        <v>#DIV/0!</v>
      </c>
      <c r="AM33" s="22" t="e">
        <f t="shared" ca="1" si="50"/>
        <v>#DIV/0!</v>
      </c>
      <c r="AN33" s="22" t="e">
        <f t="shared" ca="1" si="50"/>
        <v>#DIV/0!</v>
      </c>
      <c r="AO33" s="22" t="e">
        <f t="shared" ca="1" si="50"/>
        <v>#DIV/0!</v>
      </c>
      <c r="AP33" s="22" t="e">
        <f t="shared" ca="1" si="50"/>
        <v>#DIV/0!</v>
      </c>
      <c r="AQ33" s="22" t="e">
        <f t="shared" ca="1" si="50"/>
        <v>#DIV/0!</v>
      </c>
      <c r="AR33" s="22" t="e">
        <f t="shared" ca="1" si="50"/>
        <v>#DIV/0!</v>
      </c>
      <c r="AS33" s="22" t="e">
        <f t="shared" ca="1" si="50"/>
        <v>#DIV/0!</v>
      </c>
      <c r="AT33" s="22" t="e">
        <f t="shared" ca="1" si="50"/>
        <v>#DIV/0!</v>
      </c>
      <c r="AU33" s="22" t="e">
        <f t="shared" ca="1" si="50"/>
        <v>#DIV/0!</v>
      </c>
      <c r="AV33" s="22" t="e">
        <f t="shared" ca="1" si="50"/>
        <v>#DIV/0!</v>
      </c>
      <c r="AX33" s="4" t="str">
        <f t="shared" ca="1" si="2"/>
        <v>2014-12</v>
      </c>
      <c r="AY33" s="22" t="e">
        <f t="shared" ca="1" si="31"/>
        <v>#DIV/0!</v>
      </c>
      <c r="AZ33" s="22" t="e">
        <f t="shared" ca="1" si="3"/>
        <v>#DIV/0!</v>
      </c>
      <c r="BA33" s="22" t="e">
        <f t="shared" ca="1" si="4"/>
        <v>#DIV/0!</v>
      </c>
      <c r="BB33" s="22" t="e">
        <f t="shared" ca="1" si="5"/>
        <v>#DIV/0!</v>
      </c>
      <c r="BC33" s="22" t="e">
        <f t="shared" ca="1" si="6"/>
        <v>#DIV/0!</v>
      </c>
      <c r="BD33" s="22" t="e">
        <f t="shared" ca="1" si="7"/>
        <v>#DIV/0!</v>
      </c>
      <c r="BE33" s="22" t="e">
        <f t="shared" ca="1" si="8"/>
        <v>#DIV/0!</v>
      </c>
      <c r="BF33" s="22" t="e">
        <f t="shared" ca="1" si="9"/>
        <v>#DIV/0!</v>
      </c>
      <c r="BG33" s="22" t="e">
        <f t="shared" ca="1" si="10"/>
        <v>#DIV/0!</v>
      </c>
      <c r="BH33" s="22" t="e">
        <f t="shared" ca="1" si="11"/>
        <v>#DIV/0!</v>
      </c>
      <c r="BI33" s="22" t="e">
        <f t="shared" ca="1" si="12"/>
        <v>#DIV/0!</v>
      </c>
      <c r="BJ33" s="22" t="e">
        <f t="shared" ca="1" si="13"/>
        <v>#DIV/0!</v>
      </c>
      <c r="BK33" s="22" t="e">
        <f t="shared" ca="1" si="14"/>
        <v>#DIV/0!</v>
      </c>
      <c r="BL33" s="22" t="e">
        <f t="shared" ca="1" si="15"/>
        <v>#DIV/0!</v>
      </c>
      <c r="BN33" s="4" t="str">
        <f t="shared" ca="1" si="16"/>
        <v>2014-12</v>
      </c>
      <c r="BO33" s="22">
        <f t="shared" ca="1" si="17"/>
        <v>0</v>
      </c>
      <c r="BP33" s="22">
        <f t="shared" ca="1" si="18"/>
        <v>0</v>
      </c>
      <c r="BQ33" s="22">
        <f t="shared" ca="1" si="19"/>
        <v>1</v>
      </c>
      <c r="BR33" s="22">
        <f t="shared" ca="1" si="20"/>
        <v>0</v>
      </c>
      <c r="BS33" s="22">
        <f t="shared" ca="1" si="21"/>
        <v>0</v>
      </c>
      <c r="BT33" s="22">
        <f t="shared" ca="1" si="22"/>
        <v>0</v>
      </c>
      <c r="BU33" s="22">
        <f t="shared" ca="1" si="23"/>
        <v>0</v>
      </c>
      <c r="BV33" s="22">
        <f t="shared" ca="1" si="24"/>
        <v>0</v>
      </c>
      <c r="BW33" s="22">
        <f t="shared" ca="1" si="25"/>
        <v>0</v>
      </c>
      <c r="BX33" s="22">
        <f t="shared" ca="1" si="26"/>
        <v>0</v>
      </c>
      <c r="BY33" s="22">
        <f t="shared" ca="1" si="27"/>
        <v>0</v>
      </c>
      <c r="BZ33" s="22">
        <f t="shared" ca="1" si="28"/>
        <v>0</v>
      </c>
      <c r="CA33" s="22">
        <f t="shared" ca="1" si="29"/>
        <v>0</v>
      </c>
      <c r="CB33" s="22">
        <f t="shared" ca="1" si="30"/>
        <v>1</v>
      </c>
    </row>
    <row r="34" spans="2:80" ht="15" hidden="1" customHeight="1" x14ac:dyDescent="0.15">
      <c r="B34" s="4" t="str">
        <f ca="1">图表数据!E33</f>
        <v>2015-01</v>
      </c>
      <c r="C34" s="24">
        <v>0</v>
      </c>
      <c r="D34" s="24">
        <v>0</v>
      </c>
      <c r="E34" s="24">
        <v>-2</v>
      </c>
      <c r="F34" s="24">
        <v>0</v>
      </c>
      <c r="G34" s="24">
        <v>0</v>
      </c>
      <c r="H34" s="24">
        <v>0</v>
      </c>
      <c r="I34" s="24">
        <v>0</v>
      </c>
      <c r="J34" s="24">
        <v>0</v>
      </c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-2</v>
      </c>
      <c r="R34" s="4" t="str">
        <f ca="1">图表数据!E33</f>
        <v>2015-01</v>
      </c>
      <c r="S34" s="4">
        <f ca="1">图表数据!F33</f>
        <v>0</v>
      </c>
      <c r="T34" s="4">
        <f ca="1">图表数据!G33</f>
        <v>0</v>
      </c>
      <c r="U34" s="4">
        <f ca="1">图表数据!H33</f>
        <v>-2</v>
      </c>
      <c r="V34" s="4">
        <f ca="1">图表数据!I33</f>
        <v>0</v>
      </c>
      <c r="W34" s="4">
        <f ca="1">图表数据!J33</f>
        <v>0</v>
      </c>
      <c r="X34" s="4">
        <f ca="1">图表数据!K33</f>
        <v>0</v>
      </c>
      <c r="Y34" s="4">
        <f ca="1">图表数据!L33</f>
        <v>0</v>
      </c>
      <c r="Z34" s="4">
        <f ca="1">图表数据!M33</f>
        <v>0</v>
      </c>
      <c r="AA34" s="4">
        <f ca="1">图表数据!N33</f>
        <v>0</v>
      </c>
      <c r="AB34" s="4">
        <f ca="1">图表数据!O33</f>
        <v>0</v>
      </c>
      <c r="AC34" s="4">
        <f ca="1">图表数据!P33</f>
        <v>0</v>
      </c>
      <c r="AD34" s="4">
        <f ca="1">图表数据!Q33</f>
        <v>0</v>
      </c>
      <c r="AE34" s="4">
        <f ca="1">图表数据!R33</f>
        <v>0</v>
      </c>
      <c r="AF34" s="4">
        <f ca="1">图表数据!S33</f>
        <v>-2</v>
      </c>
      <c r="AH34" s="4" t="str">
        <f t="shared" ca="1" si="1"/>
        <v>2015-01</v>
      </c>
      <c r="AI34" s="22" t="e">
        <f t="shared" ref="AI34:AV34" ca="1" si="51">S34/S22-1</f>
        <v>#DIV/0!</v>
      </c>
      <c r="AJ34" s="22" t="e">
        <f t="shared" ca="1" si="51"/>
        <v>#DIV/0!</v>
      </c>
      <c r="AK34" s="22" t="e">
        <f t="shared" ca="1" si="51"/>
        <v>#DIV/0!</v>
      </c>
      <c r="AL34" s="22" t="e">
        <f t="shared" ca="1" si="51"/>
        <v>#DIV/0!</v>
      </c>
      <c r="AM34" s="22" t="e">
        <f t="shared" ca="1" si="51"/>
        <v>#DIV/0!</v>
      </c>
      <c r="AN34" s="22" t="e">
        <f t="shared" ca="1" si="51"/>
        <v>#DIV/0!</v>
      </c>
      <c r="AO34" s="22" t="e">
        <f t="shared" ca="1" si="51"/>
        <v>#DIV/0!</v>
      </c>
      <c r="AP34" s="22" t="e">
        <f t="shared" ca="1" si="51"/>
        <v>#DIV/0!</v>
      </c>
      <c r="AQ34" s="22" t="e">
        <f t="shared" ca="1" si="51"/>
        <v>#DIV/0!</v>
      </c>
      <c r="AR34" s="22" t="e">
        <f t="shared" ca="1" si="51"/>
        <v>#DIV/0!</v>
      </c>
      <c r="AS34" s="22" t="e">
        <f t="shared" ca="1" si="51"/>
        <v>#DIV/0!</v>
      </c>
      <c r="AT34" s="22" t="e">
        <f t="shared" ca="1" si="51"/>
        <v>#DIV/0!</v>
      </c>
      <c r="AU34" s="22" t="e">
        <f t="shared" ca="1" si="51"/>
        <v>#DIV/0!</v>
      </c>
      <c r="AV34" s="22" t="e">
        <f t="shared" ca="1" si="51"/>
        <v>#DIV/0!</v>
      </c>
      <c r="AX34" s="4" t="str">
        <f t="shared" ca="1" si="2"/>
        <v>2015-01</v>
      </c>
      <c r="AY34" s="22" t="e">
        <f t="shared" ca="1" si="31"/>
        <v>#DIV/0!</v>
      </c>
      <c r="AZ34" s="22" t="e">
        <f t="shared" ca="1" si="3"/>
        <v>#DIV/0!</v>
      </c>
      <c r="BA34" s="22">
        <f t="shared" ca="1" si="4"/>
        <v>-2</v>
      </c>
      <c r="BB34" s="22" t="e">
        <f t="shared" ca="1" si="5"/>
        <v>#DIV/0!</v>
      </c>
      <c r="BC34" s="22" t="e">
        <f t="shared" ca="1" si="6"/>
        <v>#DIV/0!</v>
      </c>
      <c r="BD34" s="22" t="e">
        <f t="shared" ca="1" si="7"/>
        <v>#DIV/0!</v>
      </c>
      <c r="BE34" s="22" t="e">
        <f t="shared" ca="1" si="8"/>
        <v>#DIV/0!</v>
      </c>
      <c r="BF34" s="22" t="e">
        <f t="shared" ca="1" si="9"/>
        <v>#DIV/0!</v>
      </c>
      <c r="BG34" s="22" t="e">
        <f t="shared" ca="1" si="10"/>
        <v>#DIV/0!</v>
      </c>
      <c r="BH34" s="22" t="e">
        <f t="shared" ca="1" si="11"/>
        <v>#DIV/0!</v>
      </c>
      <c r="BI34" s="22" t="e">
        <f t="shared" ca="1" si="12"/>
        <v>#DIV/0!</v>
      </c>
      <c r="BJ34" s="22" t="e">
        <f t="shared" ca="1" si="13"/>
        <v>#DIV/0!</v>
      </c>
      <c r="BK34" s="22" t="e">
        <f t="shared" ca="1" si="14"/>
        <v>#DIV/0!</v>
      </c>
      <c r="BL34" s="22">
        <f t="shared" ca="1" si="15"/>
        <v>-2</v>
      </c>
      <c r="BN34" s="4" t="str">
        <f t="shared" ca="1" si="16"/>
        <v>2015-01</v>
      </c>
      <c r="BO34" s="22">
        <f t="shared" ca="1" si="17"/>
        <v>0</v>
      </c>
      <c r="BP34" s="22">
        <f t="shared" ca="1" si="18"/>
        <v>0</v>
      </c>
      <c r="BQ34" s="22">
        <f t="shared" ca="1" si="19"/>
        <v>1</v>
      </c>
      <c r="BR34" s="22">
        <f t="shared" ca="1" si="20"/>
        <v>0</v>
      </c>
      <c r="BS34" s="22">
        <f t="shared" ca="1" si="21"/>
        <v>0</v>
      </c>
      <c r="BT34" s="22">
        <f t="shared" ca="1" si="22"/>
        <v>0</v>
      </c>
      <c r="BU34" s="22">
        <f t="shared" ca="1" si="23"/>
        <v>0</v>
      </c>
      <c r="BV34" s="22">
        <f t="shared" ca="1" si="24"/>
        <v>0</v>
      </c>
      <c r="BW34" s="22">
        <f t="shared" ca="1" si="25"/>
        <v>0</v>
      </c>
      <c r="BX34" s="22">
        <f t="shared" ca="1" si="26"/>
        <v>0</v>
      </c>
      <c r="BY34" s="22">
        <f t="shared" ca="1" si="27"/>
        <v>0</v>
      </c>
      <c r="BZ34" s="22">
        <f t="shared" ca="1" si="28"/>
        <v>0</v>
      </c>
      <c r="CA34" s="22">
        <f t="shared" ca="1" si="29"/>
        <v>0</v>
      </c>
      <c r="CB34" s="22">
        <f t="shared" ca="1" si="30"/>
        <v>1</v>
      </c>
    </row>
    <row r="35" spans="2:80" ht="15" hidden="1" customHeight="1" x14ac:dyDescent="0.15">
      <c r="B35" s="4" t="str">
        <f ca="1">图表数据!E34</f>
        <v>2015-02</v>
      </c>
      <c r="C35" s="24">
        <v>0</v>
      </c>
      <c r="D35" s="24">
        <v>0</v>
      </c>
      <c r="E35" s="24">
        <v>0</v>
      </c>
      <c r="F35" s="24">
        <v>0</v>
      </c>
      <c r="G35" s="24">
        <v>0</v>
      </c>
      <c r="H35" s="24">
        <v>0</v>
      </c>
      <c r="I35" s="24">
        <v>0</v>
      </c>
      <c r="J35" s="24">
        <v>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R35" s="4" t="str">
        <f ca="1">图表数据!E34</f>
        <v>2015-02</v>
      </c>
      <c r="S35" s="4">
        <f ca="1">图表数据!F34</f>
        <v>0</v>
      </c>
      <c r="T35" s="4">
        <f ca="1">图表数据!G34</f>
        <v>0</v>
      </c>
      <c r="U35" s="4">
        <f ca="1">图表数据!H34</f>
        <v>0</v>
      </c>
      <c r="V35" s="4">
        <f ca="1">图表数据!I34</f>
        <v>0</v>
      </c>
      <c r="W35" s="4">
        <f ca="1">图表数据!J34</f>
        <v>0</v>
      </c>
      <c r="X35" s="4">
        <f ca="1">图表数据!K34</f>
        <v>0</v>
      </c>
      <c r="Y35" s="4">
        <f ca="1">图表数据!L34</f>
        <v>0</v>
      </c>
      <c r="Z35" s="4">
        <f ca="1">图表数据!M34</f>
        <v>0</v>
      </c>
      <c r="AA35" s="4">
        <f ca="1">图表数据!N34</f>
        <v>0</v>
      </c>
      <c r="AB35" s="4">
        <f ca="1">图表数据!O34</f>
        <v>0</v>
      </c>
      <c r="AC35" s="4">
        <f ca="1">图表数据!P34</f>
        <v>0</v>
      </c>
      <c r="AD35" s="4">
        <f ca="1">图表数据!Q34</f>
        <v>0</v>
      </c>
      <c r="AE35" s="4">
        <f ca="1">图表数据!R34</f>
        <v>0</v>
      </c>
      <c r="AF35" s="4">
        <f ca="1">图表数据!S34</f>
        <v>0</v>
      </c>
      <c r="AH35" s="4" t="str">
        <f t="shared" ca="1" si="1"/>
        <v>2015-02</v>
      </c>
      <c r="AI35" s="22" t="e">
        <f t="shared" ref="AI35:AV35" ca="1" si="52">S35/S23-1</f>
        <v>#DIV/0!</v>
      </c>
      <c r="AJ35" s="22" t="e">
        <f t="shared" ca="1" si="52"/>
        <v>#DIV/0!</v>
      </c>
      <c r="AK35" s="22" t="e">
        <f t="shared" ca="1" si="52"/>
        <v>#DIV/0!</v>
      </c>
      <c r="AL35" s="22" t="e">
        <f t="shared" ca="1" si="52"/>
        <v>#DIV/0!</v>
      </c>
      <c r="AM35" s="22" t="e">
        <f t="shared" ca="1" si="52"/>
        <v>#DIV/0!</v>
      </c>
      <c r="AN35" s="22" t="e">
        <f t="shared" ca="1" si="52"/>
        <v>#DIV/0!</v>
      </c>
      <c r="AO35" s="22" t="e">
        <f t="shared" ca="1" si="52"/>
        <v>#DIV/0!</v>
      </c>
      <c r="AP35" s="22" t="e">
        <f t="shared" ca="1" si="52"/>
        <v>#DIV/0!</v>
      </c>
      <c r="AQ35" s="22" t="e">
        <f t="shared" ca="1" si="52"/>
        <v>#DIV/0!</v>
      </c>
      <c r="AR35" s="22" t="e">
        <f t="shared" ca="1" si="52"/>
        <v>#DIV/0!</v>
      </c>
      <c r="AS35" s="22" t="e">
        <f t="shared" ca="1" si="52"/>
        <v>#DIV/0!</v>
      </c>
      <c r="AT35" s="22" t="e">
        <f t="shared" ca="1" si="52"/>
        <v>#DIV/0!</v>
      </c>
      <c r="AU35" s="22" t="e">
        <f t="shared" ca="1" si="52"/>
        <v>#DIV/0!</v>
      </c>
      <c r="AV35" s="22" t="e">
        <f t="shared" ca="1" si="52"/>
        <v>#DIV/0!</v>
      </c>
      <c r="AX35" s="4" t="str">
        <f t="shared" ca="1" si="2"/>
        <v>2015-02</v>
      </c>
      <c r="AY35" s="22" t="e">
        <f t="shared" ca="1" si="31"/>
        <v>#DIV/0!</v>
      </c>
      <c r="AZ35" s="22" t="e">
        <f t="shared" ca="1" si="3"/>
        <v>#DIV/0!</v>
      </c>
      <c r="BA35" s="22">
        <f t="shared" ca="1" si="4"/>
        <v>-1</v>
      </c>
      <c r="BB35" s="22" t="e">
        <f t="shared" ca="1" si="5"/>
        <v>#DIV/0!</v>
      </c>
      <c r="BC35" s="22" t="e">
        <f t="shared" ca="1" si="6"/>
        <v>#DIV/0!</v>
      </c>
      <c r="BD35" s="22" t="e">
        <f t="shared" ca="1" si="7"/>
        <v>#DIV/0!</v>
      </c>
      <c r="BE35" s="22" t="e">
        <f t="shared" ca="1" si="8"/>
        <v>#DIV/0!</v>
      </c>
      <c r="BF35" s="22" t="e">
        <f t="shared" ca="1" si="9"/>
        <v>#DIV/0!</v>
      </c>
      <c r="BG35" s="22" t="e">
        <f t="shared" ca="1" si="10"/>
        <v>#DIV/0!</v>
      </c>
      <c r="BH35" s="22" t="e">
        <f t="shared" ca="1" si="11"/>
        <v>#DIV/0!</v>
      </c>
      <c r="BI35" s="22" t="e">
        <f t="shared" ca="1" si="12"/>
        <v>#DIV/0!</v>
      </c>
      <c r="BJ35" s="22" t="e">
        <f t="shared" ca="1" si="13"/>
        <v>#DIV/0!</v>
      </c>
      <c r="BK35" s="22" t="e">
        <f t="shared" ca="1" si="14"/>
        <v>#DIV/0!</v>
      </c>
      <c r="BL35" s="22">
        <f t="shared" ca="1" si="15"/>
        <v>-1</v>
      </c>
      <c r="BN35" s="4" t="str">
        <f t="shared" ca="1" si="16"/>
        <v>2015-02</v>
      </c>
      <c r="BO35" s="22" t="e">
        <f t="shared" ca="1" si="17"/>
        <v>#DIV/0!</v>
      </c>
      <c r="BP35" s="22" t="e">
        <f t="shared" ca="1" si="18"/>
        <v>#DIV/0!</v>
      </c>
      <c r="BQ35" s="22" t="e">
        <f t="shared" ca="1" si="19"/>
        <v>#DIV/0!</v>
      </c>
      <c r="BR35" s="22" t="e">
        <f t="shared" ca="1" si="20"/>
        <v>#DIV/0!</v>
      </c>
      <c r="BS35" s="22" t="e">
        <f t="shared" ca="1" si="21"/>
        <v>#DIV/0!</v>
      </c>
      <c r="BT35" s="22" t="e">
        <f t="shared" ca="1" si="22"/>
        <v>#DIV/0!</v>
      </c>
      <c r="BU35" s="22" t="e">
        <f t="shared" ca="1" si="23"/>
        <v>#DIV/0!</v>
      </c>
      <c r="BV35" s="22" t="e">
        <f t="shared" ca="1" si="24"/>
        <v>#DIV/0!</v>
      </c>
      <c r="BW35" s="22" t="e">
        <f t="shared" ca="1" si="25"/>
        <v>#DIV/0!</v>
      </c>
      <c r="BX35" s="22" t="e">
        <f t="shared" ca="1" si="26"/>
        <v>#DIV/0!</v>
      </c>
      <c r="BY35" s="22" t="e">
        <f t="shared" ca="1" si="27"/>
        <v>#DIV/0!</v>
      </c>
      <c r="BZ35" s="22" t="e">
        <f t="shared" ca="1" si="28"/>
        <v>#DIV/0!</v>
      </c>
      <c r="CA35" s="22" t="e">
        <f t="shared" ca="1" si="29"/>
        <v>#DIV/0!</v>
      </c>
      <c r="CB35" s="22" t="e">
        <f t="shared" ca="1" si="30"/>
        <v>#DIV/0!</v>
      </c>
    </row>
    <row r="36" spans="2:80" ht="15" hidden="1" customHeight="1" x14ac:dyDescent="0.15">
      <c r="B36" s="4" t="str">
        <f ca="1">图表数据!E35</f>
        <v>2015-03</v>
      </c>
      <c r="C36" s="24">
        <v>0</v>
      </c>
      <c r="D36" s="24">
        <v>0</v>
      </c>
      <c r="E36" s="24">
        <v>0</v>
      </c>
      <c r="F36" s="24">
        <v>0</v>
      </c>
      <c r="G36" s="24">
        <v>0</v>
      </c>
      <c r="H36" s="24">
        <v>0</v>
      </c>
      <c r="I36" s="24">
        <v>0</v>
      </c>
      <c r="J36" s="24">
        <v>0</v>
      </c>
      <c r="K36" s="24">
        <v>0</v>
      </c>
      <c r="L36" s="24">
        <v>0</v>
      </c>
      <c r="M36" s="24">
        <v>0</v>
      </c>
      <c r="N36" s="24">
        <v>0</v>
      </c>
      <c r="O36" s="24">
        <v>0</v>
      </c>
      <c r="P36" s="24">
        <v>0</v>
      </c>
      <c r="R36" s="4" t="str">
        <f ca="1">图表数据!E35</f>
        <v>2015-03</v>
      </c>
      <c r="S36" s="4">
        <f ca="1">图表数据!F35</f>
        <v>0</v>
      </c>
      <c r="T36" s="4">
        <f ca="1">图表数据!G35</f>
        <v>0</v>
      </c>
      <c r="U36" s="4">
        <f ca="1">图表数据!H35</f>
        <v>0</v>
      </c>
      <c r="V36" s="4">
        <f ca="1">图表数据!I35</f>
        <v>0</v>
      </c>
      <c r="W36" s="4">
        <f ca="1">图表数据!J35</f>
        <v>0</v>
      </c>
      <c r="X36" s="4">
        <f ca="1">图表数据!K35</f>
        <v>0</v>
      </c>
      <c r="Y36" s="4">
        <f ca="1">图表数据!L35</f>
        <v>0</v>
      </c>
      <c r="Z36" s="4">
        <f ca="1">图表数据!M35</f>
        <v>0</v>
      </c>
      <c r="AA36" s="4">
        <f ca="1">图表数据!N35</f>
        <v>0</v>
      </c>
      <c r="AB36" s="4">
        <f ca="1">图表数据!O35</f>
        <v>0</v>
      </c>
      <c r="AC36" s="4">
        <f ca="1">图表数据!P35</f>
        <v>0</v>
      </c>
      <c r="AD36" s="4">
        <f ca="1">图表数据!Q35</f>
        <v>0</v>
      </c>
      <c r="AE36" s="4">
        <f ca="1">图表数据!R35</f>
        <v>0</v>
      </c>
      <c r="AF36" s="4">
        <f ca="1">图表数据!S35</f>
        <v>0</v>
      </c>
      <c r="AH36" s="4" t="str">
        <f t="shared" ca="1" si="1"/>
        <v>2015-03</v>
      </c>
      <c r="AI36" s="22" t="e">
        <f t="shared" ref="AI36:AV36" ca="1" si="53">S36/S24-1</f>
        <v>#DIV/0!</v>
      </c>
      <c r="AJ36" s="22" t="e">
        <f t="shared" ca="1" si="53"/>
        <v>#DIV/0!</v>
      </c>
      <c r="AK36" s="22" t="e">
        <f t="shared" ca="1" si="53"/>
        <v>#DIV/0!</v>
      </c>
      <c r="AL36" s="22" t="e">
        <f t="shared" ca="1" si="53"/>
        <v>#DIV/0!</v>
      </c>
      <c r="AM36" s="22" t="e">
        <f t="shared" ca="1" si="53"/>
        <v>#DIV/0!</v>
      </c>
      <c r="AN36" s="22" t="e">
        <f t="shared" ca="1" si="53"/>
        <v>#DIV/0!</v>
      </c>
      <c r="AO36" s="22" t="e">
        <f t="shared" ca="1" si="53"/>
        <v>#DIV/0!</v>
      </c>
      <c r="AP36" s="22" t="e">
        <f t="shared" ca="1" si="53"/>
        <v>#DIV/0!</v>
      </c>
      <c r="AQ36" s="22" t="e">
        <f t="shared" ca="1" si="53"/>
        <v>#DIV/0!</v>
      </c>
      <c r="AR36" s="22" t="e">
        <f t="shared" ca="1" si="53"/>
        <v>#DIV/0!</v>
      </c>
      <c r="AS36" s="22" t="e">
        <f t="shared" ca="1" si="53"/>
        <v>#DIV/0!</v>
      </c>
      <c r="AT36" s="22" t="e">
        <f t="shared" ca="1" si="53"/>
        <v>#DIV/0!</v>
      </c>
      <c r="AU36" s="22" t="e">
        <f t="shared" ca="1" si="53"/>
        <v>#DIV/0!</v>
      </c>
      <c r="AV36" s="22" t="e">
        <f t="shared" ca="1" si="53"/>
        <v>#DIV/0!</v>
      </c>
      <c r="AX36" s="4" t="str">
        <f t="shared" ca="1" si="2"/>
        <v>2015-03</v>
      </c>
      <c r="AY36" s="22" t="e">
        <f t="shared" ca="1" si="31"/>
        <v>#DIV/0!</v>
      </c>
      <c r="AZ36" s="22" t="e">
        <f t="shared" ca="1" si="3"/>
        <v>#DIV/0!</v>
      </c>
      <c r="BA36" s="22" t="e">
        <f t="shared" ca="1" si="4"/>
        <v>#DIV/0!</v>
      </c>
      <c r="BB36" s="22" t="e">
        <f t="shared" ca="1" si="5"/>
        <v>#DIV/0!</v>
      </c>
      <c r="BC36" s="22" t="e">
        <f t="shared" ca="1" si="6"/>
        <v>#DIV/0!</v>
      </c>
      <c r="BD36" s="22" t="e">
        <f t="shared" ca="1" si="7"/>
        <v>#DIV/0!</v>
      </c>
      <c r="BE36" s="22" t="e">
        <f t="shared" ca="1" si="8"/>
        <v>#DIV/0!</v>
      </c>
      <c r="BF36" s="22" t="e">
        <f t="shared" ca="1" si="9"/>
        <v>#DIV/0!</v>
      </c>
      <c r="BG36" s="22" t="e">
        <f t="shared" ca="1" si="10"/>
        <v>#DIV/0!</v>
      </c>
      <c r="BH36" s="22" t="e">
        <f t="shared" ca="1" si="11"/>
        <v>#DIV/0!</v>
      </c>
      <c r="BI36" s="22" t="e">
        <f t="shared" ca="1" si="12"/>
        <v>#DIV/0!</v>
      </c>
      <c r="BJ36" s="22" t="e">
        <f t="shared" ca="1" si="13"/>
        <v>#DIV/0!</v>
      </c>
      <c r="BK36" s="22" t="e">
        <f t="shared" ca="1" si="14"/>
        <v>#DIV/0!</v>
      </c>
      <c r="BL36" s="22" t="e">
        <f t="shared" ca="1" si="15"/>
        <v>#DIV/0!</v>
      </c>
      <c r="BN36" s="4" t="str">
        <f t="shared" ca="1" si="16"/>
        <v>2015-03</v>
      </c>
      <c r="BO36" s="22" t="e">
        <f t="shared" ca="1" si="17"/>
        <v>#DIV/0!</v>
      </c>
      <c r="BP36" s="22" t="e">
        <f t="shared" ca="1" si="18"/>
        <v>#DIV/0!</v>
      </c>
      <c r="BQ36" s="22" t="e">
        <f t="shared" ca="1" si="19"/>
        <v>#DIV/0!</v>
      </c>
      <c r="BR36" s="22" t="e">
        <f t="shared" ca="1" si="20"/>
        <v>#DIV/0!</v>
      </c>
      <c r="BS36" s="22" t="e">
        <f t="shared" ca="1" si="21"/>
        <v>#DIV/0!</v>
      </c>
      <c r="BT36" s="22" t="e">
        <f t="shared" ca="1" si="22"/>
        <v>#DIV/0!</v>
      </c>
      <c r="BU36" s="22" t="e">
        <f t="shared" ca="1" si="23"/>
        <v>#DIV/0!</v>
      </c>
      <c r="BV36" s="22" t="e">
        <f t="shared" ca="1" si="24"/>
        <v>#DIV/0!</v>
      </c>
      <c r="BW36" s="22" t="e">
        <f t="shared" ca="1" si="25"/>
        <v>#DIV/0!</v>
      </c>
      <c r="BX36" s="22" t="e">
        <f t="shared" ca="1" si="26"/>
        <v>#DIV/0!</v>
      </c>
      <c r="BY36" s="22" t="e">
        <f t="shared" ca="1" si="27"/>
        <v>#DIV/0!</v>
      </c>
      <c r="BZ36" s="22" t="e">
        <f t="shared" ca="1" si="28"/>
        <v>#DIV/0!</v>
      </c>
      <c r="CA36" s="22" t="e">
        <f t="shared" ca="1" si="29"/>
        <v>#DIV/0!</v>
      </c>
      <c r="CB36" s="22" t="e">
        <f t="shared" ca="1" si="30"/>
        <v>#DIV/0!</v>
      </c>
    </row>
    <row r="37" spans="2:80" ht="15" hidden="1" customHeight="1" x14ac:dyDescent="0.15">
      <c r="B37" s="4" t="str">
        <f ca="1">图表数据!E36</f>
        <v>2015-04</v>
      </c>
      <c r="C37" s="24">
        <v>0</v>
      </c>
      <c r="D37" s="24">
        <v>0</v>
      </c>
      <c r="E37" s="24">
        <v>0</v>
      </c>
      <c r="F37" s="24">
        <v>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R37" s="4" t="str">
        <f ca="1">图表数据!E36</f>
        <v>2015-04</v>
      </c>
      <c r="S37" s="4">
        <f ca="1">图表数据!F36</f>
        <v>0</v>
      </c>
      <c r="T37" s="4">
        <f ca="1">图表数据!G36</f>
        <v>0</v>
      </c>
      <c r="U37" s="4">
        <f ca="1">图表数据!H36</f>
        <v>0</v>
      </c>
      <c r="V37" s="4">
        <f ca="1">图表数据!I36</f>
        <v>0</v>
      </c>
      <c r="W37" s="4">
        <f ca="1">图表数据!J36</f>
        <v>0</v>
      </c>
      <c r="X37" s="4">
        <f ca="1">图表数据!K36</f>
        <v>0</v>
      </c>
      <c r="Y37" s="4">
        <f ca="1">图表数据!L36</f>
        <v>0</v>
      </c>
      <c r="Z37" s="4">
        <f ca="1">图表数据!M36</f>
        <v>0</v>
      </c>
      <c r="AA37" s="4">
        <f ca="1">图表数据!N36</f>
        <v>0</v>
      </c>
      <c r="AB37" s="4">
        <f ca="1">图表数据!O36</f>
        <v>0</v>
      </c>
      <c r="AC37" s="4">
        <f ca="1">图表数据!P36</f>
        <v>0</v>
      </c>
      <c r="AD37" s="4">
        <f ca="1">图表数据!Q36</f>
        <v>0</v>
      </c>
      <c r="AE37" s="4">
        <f ca="1">图表数据!R36</f>
        <v>0</v>
      </c>
      <c r="AF37" s="4">
        <f ca="1">图表数据!S36</f>
        <v>0</v>
      </c>
      <c r="AH37" s="4" t="str">
        <f t="shared" ca="1" si="1"/>
        <v>2015-04</v>
      </c>
      <c r="AI37" s="22" t="e">
        <f t="shared" ref="AI37:AV37" ca="1" si="54">S37/S25-1</f>
        <v>#DIV/0!</v>
      </c>
      <c r="AJ37" s="22" t="e">
        <f t="shared" ca="1" si="54"/>
        <v>#DIV/0!</v>
      </c>
      <c r="AK37" s="22" t="e">
        <f t="shared" ca="1" si="54"/>
        <v>#DIV/0!</v>
      </c>
      <c r="AL37" s="22" t="e">
        <f t="shared" ca="1" si="54"/>
        <v>#DIV/0!</v>
      </c>
      <c r="AM37" s="22" t="e">
        <f t="shared" ca="1" si="54"/>
        <v>#DIV/0!</v>
      </c>
      <c r="AN37" s="22" t="e">
        <f t="shared" ca="1" si="54"/>
        <v>#DIV/0!</v>
      </c>
      <c r="AO37" s="22" t="e">
        <f t="shared" ca="1" si="54"/>
        <v>#DIV/0!</v>
      </c>
      <c r="AP37" s="22" t="e">
        <f t="shared" ca="1" si="54"/>
        <v>#DIV/0!</v>
      </c>
      <c r="AQ37" s="22" t="e">
        <f t="shared" ca="1" si="54"/>
        <v>#DIV/0!</v>
      </c>
      <c r="AR37" s="22" t="e">
        <f t="shared" ca="1" si="54"/>
        <v>#DIV/0!</v>
      </c>
      <c r="AS37" s="22" t="e">
        <f t="shared" ca="1" si="54"/>
        <v>#DIV/0!</v>
      </c>
      <c r="AT37" s="22" t="e">
        <f t="shared" ca="1" si="54"/>
        <v>#DIV/0!</v>
      </c>
      <c r="AU37" s="22" t="e">
        <f t="shared" ca="1" si="54"/>
        <v>#DIV/0!</v>
      </c>
      <c r="AV37" s="22" t="e">
        <f t="shared" ca="1" si="54"/>
        <v>#DIV/0!</v>
      </c>
      <c r="AX37" s="4" t="str">
        <f t="shared" ca="1" si="2"/>
        <v>2015-04</v>
      </c>
      <c r="AY37" s="22" t="e">
        <f t="shared" ca="1" si="31"/>
        <v>#DIV/0!</v>
      </c>
      <c r="AZ37" s="22" t="e">
        <f t="shared" ca="1" si="3"/>
        <v>#DIV/0!</v>
      </c>
      <c r="BA37" s="22" t="e">
        <f t="shared" ca="1" si="4"/>
        <v>#DIV/0!</v>
      </c>
      <c r="BB37" s="22" t="e">
        <f t="shared" ca="1" si="5"/>
        <v>#DIV/0!</v>
      </c>
      <c r="BC37" s="22" t="e">
        <f t="shared" ca="1" si="6"/>
        <v>#DIV/0!</v>
      </c>
      <c r="BD37" s="22" t="e">
        <f t="shared" ca="1" si="7"/>
        <v>#DIV/0!</v>
      </c>
      <c r="BE37" s="22" t="e">
        <f t="shared" ca="1" si="8"/>
        <v>#DIV/0!</v>
      </c>
      <c r="BF37" s="22" t="e">
        <f t="shared" ca="1" si="9"/>
        <v>#DIV/0!</v>
      </c>
      <c r="BG37" s="22" t="e">
        <f t="shared" ca="1" si="10"/>
        <v>#DIV/0!</v>
      </c>
      <c r="BH37" s="22" t="e">
        <f t="shared" ca="1" si="11"/>
        <v>#DIV/0!</v>
      </c>
      <c r="BI37" s="22" t="e">
        <f t="shared" ca="1" si="12"/>
        <v>#DIV/0!</v>
      </c>
      <c r="BJ37" s="22" t="e">
        <f t="shared" ca="1" si="13"/>
        <v>#DIV/0!</v>
      </c>
      <c r="BK37" s="22" t="e">
        <f t="shared" ca="1" si="14"/>
        <v>#DIV/0!</v>
      </c>
      <c r="BL37" s="22" t="e">
        <f t="shared" ca="1" si="15"/>
        <v>#DIV/0!</v>
      </c>
      <c r="BN37" s="4" t="str">
        <f t="shared" ca="1" si="16"/>
        <v>2015-04</v>
      </c>
      <c r="BO37" s="22" t="e">
        <f t="shared" ca="1" si="17"/>
        <v>#DIV/0!</v>
      </c>
      <c r="BP37" s="22" t="e">
        <f t="shared" ca="1" si="18"/>
        <v>#DIV/0!</v>
      </c>
      <c r="BQ37" s="22" t="e">
        <f t="shared" ca="1" si="19"/>
        <v>#DIV/0!</v>
      </c>
      <c r="BR37" s="22" t="e">
        <f t="shared" ca="1" si="20"/>
        <v>#DIV/0!</v>
      </c>
      <c r="BS37" s="22" t="e">
        <f t="shared" ca="1" si="21"/>
        <v>#DIV/0!</v>
      </c>
      <c r="BT37" s="22" t="e">
        <f t="shared" ca="1" si="22"/>
        <v>#DIV/0!</v>
      </c>
      <c r="BU37" s="22" t="e">
        <f t="shared" ca="1" si="23"/>
        <v>#DIV/0!</v>
      </c>
      <c r="BV37" s="22" t="e">
        <f t="shared" ca="1" si="24"/>
        <v>#DIV/0!</v>
      </c>
      <c r="BW37" s="22" t="e">
        <f t="shared" ca="1" si="25"/>
        <v>#DIV/0!</v>
      </c>
      <c r="BX37" s="22" t="e">
        <f t="shared" ca="1" si="26"/>
        <v>#DIV/0!</v>
      </c>
      <c r="BY37" s="22" t="e">
        <f t="shared" ca="1" si="27"/>
        <v>#DIV/0!</v>
      </c>
      <c r="BZ37" s="22" t="e">
        <f t="shared" ca="1" si="28"/>
        <v>#DIV/0!</v>
      </c>
      <c r="CA37" s="22" t="e">
        <f t="shared" ca="1" si="29"/>
        <v>#DIV/0!</v>
      </c>
      <c r="CB37" s="22" t="e">
        <f t="shared" ca="1" si="30"/>
        <v>#DIV/0!</v>
      </c>
    </row>
    <row r="38" spans="2:80" ht="15" hidden="1" customHeight="1" x14ac:dyDescent="0.15">
      <c r="B38" s="4" t="str">
        <f ca="1">图表数据!E37</f>
        <v>2015-05</v>
      </c>
      <c r="C38" s="24">
        <v>0</v>
      </c>
      <c r="D38" s="24">
        <v>0</v>
      </c>
      <c r="E38" s="24">
        <v>0</v>
      </c>
      <c r="F38" s="24">
        <v>0</v>
      </c>
      <c r="G38" s="24">
        <v>0</v>
      </c>
      <c r="H38" s="24">
        <v>0</v>
      </c>
      <c r="I38" s="24">
        <v>0</v>
      </c>
      <c r="J38" s="24">
        <v>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R38" s="4" t="str">
        <f ca="1">图表数据!E37</f>
        <v>2015-05</v>
      </c>
      <c r="S38" s="4">
        <f ca="1">图表数据!F37</f>
        <v>0</v>
      </c>
      <c r="T38" s="4">
        <f ca="1">图表数据!G37</f>
        <v>0</v>
      </c>
      <c r="U38" s="4">
        <f ca="1">图表数据!H37</f>
        <v>0</v>
      </c>
      <c r="V38" s="4">
        <f ca="1">图表数据!I37</f>
        <v>0</v>
      </c>
      <c r="W38" s="4">
        <f ca="1">图表数据!J37</f>
        <v>0</v>
      </c>
      <c r="X38" s="4">
        <f ca="1">图表数据!K37</f>
        <v>0</v>
      </c>
      <c r="Y38" s="4">
        <f ca="1">图表数据!L37</f>
        <v>0</v>
      </c>
      <c r="Z38" s="4">
        <f ca="1">图表数据!M37</f>
        <v>0</v>
      </c>
      <c r="AA38" s="4">
        <f ca="1">图表数据!N37</f>
        <v>0</v>
      </c>
      <c r="AB38" s="4">
        <f ca="1">图表数据!O37</f>
        <v>0</v>
      </c>
      <c r="AC38" s="4">
        <f ca="1">图表数据!P37</f>
        <v>0</v>
      </c>
      <c r="AD38" s="4">
        <f ca="1">图表数据!Q37</f>
        <v>0</v>
      </c>
      <c r="AE38" s="4">
        <f ca="1">图表数据!R37</f>
        <v>0</v>
      </c>
      <c r="AF38" s="4">
        <f ca="1">图表数据!S37</f>
        <v>0</v>
      </c>
      <c r="AH38" s="4" t="str">
        <f t="shared" ca="1" si="1"/>
        <v>2015-05</v>
      </c>
      <c r="AI38" s="22" t="e">
        <f t="shared" ref="AI38:AV38" ca="1" si="55">S38/S26-1</f>
        <v>#DIV/0!</v>
      </c>
      <c r="AJ38" s="22" t="e">
        <f t="shared" ca="1" si="55"/>
        <v>#DIV/0!</v>
      </c>
      <c r="AK38" s="22" t="e">
        <f t="shared" ca="1" si="55"/>
        <v>#DIV/0!</v>
      </c>
      <c r="AL38" s="22" t="e">
        <f t="shared" ca="1" si="55"/>
        <v>#DIV/0!</v>
      </c>
      <c r="AM38" s="22" t="e">
        <f t="shared" ca="1" si="55"/>
        <v>#DIV/0!</v>
      </c>
      <c r="AN38" s="22" t="e">
        <f t="shared" ca="1" si="55"/>
        <v>#DIV/0!</v>
      </c>
      <c r="AO38" s="22" t="e">
        <f t="shared" ca="1" si="55"/>
        <v>#DIV/0!</v>
      </c>
      <c r="AP38" s="22" t="e">
        <f t="shared" ca="1" si="55"/>
        <v>#DIV/0!</v>
      </c>
      <c r="AQ38" s="22" t="e">
        <f t="shared" ca="1" si="55"/>
        <v>#DIV/0!</v>
      </c>
      <c r="AR38" s="22" t="e">
        <f t="shared" ca="1" si="55"/>
        <v>#DIV/0!</v>
      </c>
      <c r="AS38" s="22" t="e">
        <f t="shared" ca="1" si="55"/>
        <v>#DIV/0!</v>
      </c>
      <c r="AT38" s="22" t="e">
        <f t="shared" ca="1" si="55"/>
        <v>#DIV/0!</v>
      </c>
      <c r="AU38" s="22" t="e">
        <f t="shared" ca="1" si="55"/>
        <v>#DIV/0!</v>
      </c>
      <c r="AV38" s="22" t="e">
        <f t="shared" ca="1" si="55"/>
        <v>#DIV/0!</v>
      </c>
      <c r="AX38" s="4" t="str">
        <f t="shared" ca="1" si="2"/>
        <v>2015-05</v>
      </c>
      <c r="AY38" s="22" t="e">
        <f t="shared" ca="1" si="31"/>
        <v>#DIV/0!</v>
      </c>
      <c r="AZ38" s="22" t="e">
        <f t="shared" ca="1" si="3"/>
        <v>#DIV/0!</v>
      </c>
      <c r="BA38" s="22" t="e">
        <f t="shared" ca="1" si="4"/>
        <v>#DIV/0!</v>
      </c>
      <c r="BB38" s="22" t="e">
        <f t="shared" ca="1" si="5"/>
        <v>#DIV/0!</v>
      </c>
      <c r="BC38" s="22" t="e">
        <f t="shared" ca="1" si="6"/>
        <v>#DIV/0!</v>
      </c>
      <c r="BD38" s="22" t="e">
        <f t="shared" ca="1" si="7"/>
        <v>#DIV/0!</v>
      </c>
      <c r="BE38" s="22" t="e">
        <f t="shared" ca="1" si="8"/>
        <v>#DIV/0!</v>
      </c>
      <c r="BF38" s="22" t="e">
        <f t="shared" ca="1" si="9"/>
        <v>#DIV/0!</v>
      </c>
      <c r="BG38" s="22" t="e">
        <f t="shared" ca="1" si="10"/>
        <v>#DIV/0!</v>
      </c>
      <c r="BH38" s="22" t="e">
        <f t="shared" ca="1" si="11"/>
        <v>#DIV/0!</v>
      </c>
      <c r="BI38" s="22" t="e">
        <f t="shared" ca="1" si="12"/>
        <v>#DIV/0!</v>
      </c>
      <c r="BJ38" s="22" t="e">
        <f t="shared" ca="1" si="13"/>
        <v>#DIV/0!</v>
      </c>
      <c r="BK38" s="22" t="e">
        <f t="shared" ca="1" si="14"/>
        <v>#DIV/0!</v>
      </c>
      <c r="BL38" s="22" t="e">
        <f t="shared" ca="1" si="15"/>
        <v>#DIV/0!</v>
      </c>
      <c r="BN38" s="4" t="str">
        <f t="shared" ca="1" si="16"/>
        <v>2015-05</v>
      </c>
      <c r="BO38" s="22" t="e">
        <f t="shared" ca="1" si="17"/>
        <v>#DIV/0!</v>
      </c>
      <c r="BP38" s="22" t="e">
        <f t="shared" ca="1" si="18"/>
        <v>#DIV/0!</v>
      </c>
      <c r="BQ38" s="22" t="e">
        <f t="shared" ca="1" si="19"/>
        <v>#DIV/0!</v>
      </c>
      <c r="BR38" s="22" t="e">
        <f t="shared" ca="1" si="20"/>
        <v>#DIV/0!</v>
      </c>
      <c r="BS38" s="22" t="e">
        <f t="shared" ca="1" si="21"/>
        <v>#DIV/0!</v>
      </c>
      <c r="BT38" s="22" t="e">
        <f t="shared" ca="1" si="22"/>
        <v>#DIV/0!</v>
      </c>
      <c r="BU38" s="22" t="e">
        <f t="shared" ca="1" si="23"/>
        <v>#DIV/0!</v>
      </c>
      <c r="BV38" s="22" t="e">
        <f t="shared" ca="1" si="24"/>
        <v>#DIV/0!</v>
      </c>
      <c r="BW38" s="22" t="e">
        <f t="shared" ca="1" si="25"/>
        <v>#DIV/0!</v>
      </c>
      <c r="BX38" s="22" t="e">
        <f t="shared" ca="1" si="26"/>
        <v>#DIV/0!</v>
      </c>
      <c r="BY38" s="22" t="e">
        <f t="shared" ca="1" si="27"/>
        <v>#DIV/0!</v>
      </c>
      <c r="BZ38" s="22" t="e">
        <f t="shared" ca="1" si="28"/>
        <v>#DIV/0!</v>
      </c>
      <c r="CA38" s="22" t="e">
        <f t="shared" ca="1" si="29"/>
        <v>#DIV/0!</v>
      </c>
      <c r="CB38" s="22" t="e">
        <f t="shared" ca="1" si="30"/>
        <v>#DIV/0!</v>
      </c>
    </row>
    <row r="39" spans="2:80" ht="15" hidden="1" customHeight="1" x14ac:dyDescent="0.15">
      <c r="B39" s="4" t="str">
        <f ca="1">图表数据!E38</f>
        <v>2015-06</v>
      </c>
      <c r="C39" s="24">
        <v>0</v>
      </c>
      <c r="D39" s="24">
        <v>0</v>
      </c>
      <c r="E39" s="24">
        <v>0</v>
      </c>
      <c r="F39" s="24">
        <v>0</v>
      </c>
      <c r="G39" s="24">
        <v>0</v>
      </c>
      <c r="H39" s="24">
        <v>0</v>
      </c>
      <c r="I39" s="24">
        <v>0</v>
      </c>
      <c r="J39" s="24">
        <v>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R39" s="4" t="str">
        <f ca="1">图表数据!E38</f>
        <v>2015-06</v>
      </c>
      <c r="S39" s="4">
        <f ca="1">图表数据!F38</f>
        <v>0</v>
      </c>
      <c r="T39" s="4">
        <f ca="1">图表数据!G38</f>
        <v>0</v>
      </c>
      <c r="U39" s="4">
        <f ca="1">图表数据!H38</f>
        <v>0</v>
      </c>
      <c r="V39" s="4">
        <f ca="1">图表数据!I38</f>
        <v>0</v>
      </c>
      <c r="W39" s="4">
        <f ca="1">图表数据!J38</f>
        <v>0</v>
      </c>
      <c r="X39" s="4">
        <f ca="1">图表数据!K38</f>
        <v>0</v>
      </c>
      <c r="Y39" s="4">
        <f ca="1">图表数据!L38</f>
        <v>0</v>
      </c>
      <c r="Z39" s="4">
        <f ca="1">图表数据!M38</f>
        <v>0</v>
      </c>
      <c r="AA39" s="4">
        <f ca="1">图表数据!N38</f>
        <v>0</v>
      </c>
      <c r="AB39" s="4">
        <f ca="1">图表数据!O38</f>
        <v>0</v>
      </c>
      <c r="AC39" s="4">
        <f ca="1">图表数据!P38</f>
        <v>0</v>
      </c>
      <c r="AD39" s="4">
        <f ca="1">图表数据!Q38</f>
        <v>0</v>
      </c>
      <c r="AE39" s="4">
        <f ca="1">图表数据!R38</f>
        <v>0</v>
      </c>
      <c r="AF39" s="4">
        <f ca="1">图表数据!S38</f>
        <v>0</v>
      </c>
      <c r="AH39" s="4" t="str">
        <f t="shared" ca="1" si="1"/>
        <v>2015-06</v>
      </c>
      <c r="AI39" s="22" t="e">
        <f t="shared" ref="AI39:AV39" ca="1" si="56">S39/S27-1</f>
        <v>#DIV/0!</v>
      </c>
      <c r="AJ39" s="22" t="e">
        <f t="shared" ca="1" si="56"/>
        <v>#DIV/0!</v>
      </c>
      <c r="AK39" s="22" t="e">
        <f t="shared" ca="1" si="56"/>
        <v>#DIV/0!</v>
      </c>
      <c r="AL39" s="22" t="e">
        <f t="shared" ca="1" si="56"/>
        <v>#DIV/0!</v>
      </c>
      <c r="AM39" s="22" t="e">
        <f t="shared" ca="1" si="56"/>
        <v>#DIV/0!</v>
      </c>
      <c r="AN39" s="22" t="e">
        <f t="shared" ca="1" si="56"/>
        <v>#DIV/0!</v>
      </c>
      <c r="AO39" s="22" t="e">
        <f t="shared" ca="1" si="56"/>
        <v>#DIV/0!</v>
      </c>
      <c r="AP39" s="22" t="e">
        <f t="shared" ca="1" si="56"/>
        <v>#DIV/0!</v>
      </c>
      <c r="AQ39" s="22" t="e">
        <f t="shared" ca="1" si="56"/>
        <v>#DIV/0!</v>
      </c>
      <c r="AR39" s="22" t="e">
        <f t="shared" ca="1" si="56"/>
        <v>#DIV/0!</v>
      </c>
      <c r="AS39" s="22" t="e">
        <f t="shared" ca="1" si="56"/>
        <v>#DIV/0!</v>
      </c>
      <c r="AT39" s="22" t="e">
        <f t="shared" ca="1" si="56"/>
        <v>#DIV/0!</v>
      </c>
      <c r="AU39" s="22" t="e">
        <f t="shared" ca="1" si="56"/>
        <v>#DIV/0!</v>
      </c>
      <c r="AV39" s="22" t="e">
        <f t="shared" ca="1" si="56"/>
        <v>#DIV/0!</v>
      </c>
      <c r="AX39" s="4" t="str">
        <f t="shared" ca="1" si="2"/>
        <v>2015-06</v>
      </c>
      <c r="AY39" s="22" t="e">
        <f t="shared" ca="1" si="31"/>
        <v>#DIV/0!</v>
      </c>
      <c r="AZ39" s="22" t="e">
        <f t="shared" ca="1" si="3"/>
        <v>#DIV/0!</v>
      </c>
      <c r="BA39" s="22" t="e">
        <f t="shared" ca="1" si="4"/>
        <v>#DIV/0!</v>
      </c>
      <c r="BB39" s="22" t="e">
        <f t="shared" ca="1" si="5"/>
        <v>#DIV/0!</v>
      </c>
      <c r="BC39" s="22" t="e">
        <f t="shared" ca="1" si="6"/>
        <v>#DIV/0!</v>
      </c>
      <c r="BD39" s="22" t="e">
        <f t="shared" ca="1" si="7"/>
        <v>#DIV/0!</v>
      </c>
      <c r="BE39" s="22" t="e">
        <f t="shared" ca="1" si="8"/>
        <v>#DIV/0!</v>
      </c>
      <c r="BF39" s="22" t="e">
        <f t="shared" ca="1" si="9"/>
        <v>#DIV/0!</v>
      </c>
      <c r="BG39" s="22" t="e">
        <f t="shared" ca="1" si="10"/>
        <v>#DIV/0!</v>
      </c>
      <c r="BH39" s="22" t="e">
        <f t="shared" ca="1" si="11"/>
        <v>#DIV/0!</v>
      </c>
      <c r="BI39" s="22" t="e">
        <f t="shared" ca="1" si="12"/>
        <v>#DIV/0!</v>
      </c>
      <c r="BJ39" s="22" t="e">
        <f t="shared" ca="1" si="13"/>
        <v>#DIV/0!</v>
      </c>
      <c r="BK39" s="22" t="e">
        <f t="shared" ca="1" si="14"/>
        <v>#DIV/0!</v>
      </c>
      <c r="BL39" s="22" t="e">
        <f t="shared" ca="1" si="15"/>
        <v>#DIV/0!</v>
      </c>
      <c r="BN39" s="4" t="str">
        <f t="shared" ca="1" si="16"/>
        <v>2015-06</v>
      </c>
      <c r="BO39" s="22" t="e">
        <f t="shared" ca="1" si="17"/>
        <v>#DIV/0!</v>
      </c>
      <c r="BP39" s="22" t="e">
        <f t="shared" ca="1" si="18"/>
        <v>#DIV/0!</v>
      </c>
      <c r="BQ39" s="22" t="e">
        <f t="shared" ca="1" si="19"/>
        <v>#DIV/0!</v>
      </c>
      <c r="BR39" s="22" t="e">
        <f t="shared" ca="1" si="20"/>
        <v>#DIV/0!</v>
      </c>
      <c r="BS39" s="22" t="e">
        <f t="shared" ca="1" si="21"/>
        <v>#DIV/0!</v>
      </c>
      <c r="BT39" s="22" t="e">
        <f t="shared" ca="1" si="22"/>
        <v>#DIV/0!</v>
      </c>
      <c r="BU39" s="22" t="e">
        <f t="shared" ca="1" si="23"/>
        <v>#DIV/0!</v>
      </c>
      <c r="BV39" s="22" t="e">
        <f t="shared" ca="1" si="24"/>
        <v>#DIV/0!</v>
      </c>
      <c r="BW39" s="22" t="e">
        <f t="shared" ca="1" si="25"/>
        <v>#DIV/0!</v>
      </c>
      <c r="BX39" s="22" t="e">
        <f t="shared" ca="1" si="26"/>
        <v>#DIV/0!</v>
      </c>
      <c r="BY39" s="22" t="e">
        <f t="shared" ca="1" si="27"/>
        <v>#DIV/0!</v>
      </c>
      <c r="BZ39" s="22" t="e">
        <f t="shared" ca="1" si="28"/>
        <v>#DIV/0!</v>
      </c>
      <c r="CA39" s="22" t="e">
        <f t="shared" ca="1" si="29"/>
        <v>#DIV/0!</v>
      </c>
      <c r="CB39" s="22" t="e">
        <f t="shared" ca="1" si="30"/>
        <v>#DIV/0!</v>
      </c>
    </row>
    <row r="40" spans="2:80" ht="15" hidden="1" customHeight="1" x14ac:dyDescent="0.15">
      <c r="B40" s="4" t="str">
        <f ca="1">图表数据!E39</f>
        <v>2015-07</v>
      </c>
      <c r="C40" s="24">
        <v>0</v>
      </c>
      <c r="D40" s="24">
        <v>0</v>
      </c>
      <c r="E40" s="24">
        <v>0</v>
      </c>
      <c r="F40" s="24">
        <v>0</v>
      </c>
      <c r="G40" s="24">
        <v>0</v>
      </c>
      <c r="H40" s="24">
        <v>0</v>
      </c>
      <c r="I40" s="24">
        <v>0</v>
      </c>
      <c r="J40" s="24">
        <v>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R40" s="4" t="str">
        <f ca="1">图表数据!E39</f>
        <v>2015-07</v>
      </c>
      <c r="S40" s="4">
        <f ca="1">图表数据!F39</f>
        <v>0</v>
      </c>
      <c r="T40" s="4">
        <f ca="1">图表数据!G39</f>
        <v>0</v>
      </c>
      <c r="U40" s="4">
        <f ca="1">图表数据!H39</f>
        <v>0</v>
      </c>
      <c r="V40" s="4">
        <f ca="1">图表数据!I39</f>
        <v>0</v>
      </c>
      <c r="W40" s="4">
        <f ca="1">图表数据!J39</f>
        <v>0</v>
      </c>
      <c r="X40" s="4">
        <f ca="1">图表数据!K39</f>
        <v>0</v>
      </c>
      <c r="Y40" s="4">
        <f ca="1">图表数据!L39</f>
        <v>0</v>
      </c>
      <c r="Z40" s="4">
        <f ca="1">图表数据!M39</f>
        <v>0</v>
      </c>
      <c r="AA40" s="4">
        <f ca="1">图表数据!N39</f>
        <v>0</v>
      </c>
      <c r="AB40" s="4">
        <f ca="1">图表数据!O39</f>
        <v>0</v>
      </c>
      <c r="AC40" s="4">
        <f ca="1">图表数据!P39</f>
        <v>0</v>
      </c>
      <c r="AD40" s="4">
        <f ca="1">图表数据!Q39</f>
        <v>0</v>
      </c>
      <c r="AE40" s="4">
        <f ca="1">图表数据!R39</f>
        <v>0</v>
      </c>
      <c r="AF40" s="4">
        <f ca="1">图表数据!S39</f>
        <v>0</v>
      </c>
      <c r="AH40" s="4" t="str">
        <f t="shared" ca="1" si="1"/>
        <v>2015-07</v>
      </c>
      <c r="AI40" s="22" t="e">
        <f t="shared" ref="AI40:AV40" ca="1" si="57">S40/S28-1</f>
        <v>#DIV/0!</v>
      </c>
      <c r="AJ40" s="22" t="e">
        <f t="shared" ca="1" si="57"/>
        <v>#DIV/0!</v>
      </c>
      <c r="AK40" s="22" t="e">
        <f t="shared" ca="1" si="57"/>
        <v>#DIV/0!</v>
      </c>
      <c r="AL40" s="22" t="e">
        <f t="shared" ca="1" si="57"/>
        <v>#DIV/0!</v>
      </c>
      <c r="AM40" s="22" t="e">
        <f t="shared" ca="1" si="57"/>
        <v>#DIV/0!</v>
      </c>
      <c r="AN40" s="22" t="e">
        <f t="shared" ca="1" si="57"/>
        <v>#DIV/0!</v>
      </c>
      <c r="AO40" s="22" t="e">
        <f t="shared" ca="1" si="57"/>
        <v>#DIV/0!</v>
      </c>
      <c r="AP40" s="22" t="e">
        <f t="shared" ca="1" si="57"/>
        <v>#DIV/0!</v>
      </c>
      <c r="AQ40" s="22" t="e">
        <f t="shared" ca="1" si="57"/>
        <v>#DIV/0!</v>
      </c>
      <c r="AR40" s="22" t="e">
        <f t="shared" ca="1" si="57"/>
        <v>#DIV/0!</v>
      </c>
      <c r="AS40" s="22" t="e">
        <f t="shared" ca="1" si="57"/>
        <v>#DIV/0!</v>
      </c>
      <c r="AT40" s="22" t="e">
        <f t="shared" ca="1" si="57"/>
        <v>#DIV/0!</v>
      </c>
      <c r="AU40" s="22" t="e">
        <f t="shared" ca="1" si="57"/>
        <v>#DIV/0!</v>
      </c>
      <c r="AV40" s="22" t="e">
        <f t="shared" ca="1" si="57"/>
        <v>#DIV/0!</v>
      </c>
      <c r="AX40" s="4" t="str">
        <f t="shared" ca="1" si="2"/>
        <v>2015-07</v>
      </c>
      <c r="AY40" s="22" t="e">
        <f t="shared" ca="1" si="31"/>
        <v>#DIV/0!</v>
      </c>
      <c r="AZ40" s="22" t="e">
        <f t="shared" ca="1" si="3"/>
        <v>#DIV/0!</v>
      </c>
      <c r="BA40" s="22" t="e">
        <f t="shared" ca="1" si="4"/>
        <v>#DIV/0!</v>
      </c>
      <c r="BB40" s="22" t="e">
        <f t="shared" ca="1" si="5"/>
        <v>#DIV/0!</v>
      </c>
      <c r="BC40" s="22" t="e">
        <f t="shared" ca="1" si="6"/>
        <v>#DIV/0!</v>
      </c>
      <c r="BD40" s="22" t="e">
        <f t="shared" ca="1" si="7"/>
        <v>#DIV/0!</v>
      </c>
      <c r="BE40" s="22" t="e">
        <f t="shared" ca="1" si="8"/>
        <v>#DIV/0!</v>
      </c>
      <c r="BF40" s="22" t="e">
        <f t="shared" ca="1" si="9"/>
        <v>#DIV/0!</v>
      </c>
      <c r="BG40" s="22" t="e">
        <f t="shared" ca="1" si="10"/>
        <v>#DIV/0!</v>
      </c>
      <c r="BH40" s="22" t="e">
        <f t="shared" ca="1" si="11"/>
        <v>#DIV/0!</v>
      </c>
      <c r="BI40" s="22" t="e">
        <f t="shared" ca="1" si="12"/>
        <v>#DIV/0!</v>
      </c>
      <c r="BJ40" s="22" t="e">
        <f t="shared" ca="1" si="13"/>
        <v>#DIV/0!</v>
      </c>
      <c r="BK40" s="22" t="e">
        <f t="shared" ca="1" si="14"/>
        <v>#DIV/0!</v>
      </c>
      <c r="BL40" s="22" t="e">
        <f t="shared" ca="1" si="15"/>
        <v>#DIV/0!</v>
      </c>
      <c r="BN40" s="4" t="str">
        <f t="shared" ca="1" si="16"/>
        <v>2015-07</v>
      </c>
      <c r="BO40" s="22" t="e">
        <f t="shared" ca="1" si="17"/>
        <v>#DIV/0!</v>
      </c>
      <c r="BP40" s="22" t="e">
        <f t="shared" ca="1" si="18"/>
        <v>#DIV/0!</v>
      </c>
      <c r="BQ40" s="22" t="e">
        <f t="shared" ca="1" si="19"/>
        <v>#DIV/0!</v>
      </c>
      <c r="BR40" s="22" t="e">
        <f t="shared" ca="1" si="20"/>
        <v>#DIV/0!</v>
      </c>
      <c r="BS40" s="22" t="e">
        <f t="shared" ca="1" si="21"/>
        <v>#DIV/0!</v>
      </c>
      <c r="BT40" s="22" t="e">
        <f t="shared" ca="1" si="22"/>
        <v>#DIV/0!</v>
      </c>
      <c r="BU40" s="22" t="e">
        <f t="shared" ca="1" si="23"/>
        <v>#DIV/0!</v>
      </c>
      <c r="BV40" s="22" t="e">
        <f t="shared" ca="1" si="24"/>
        <v>#DIV/0!</v>
      </c>
      <c r="BW40" s="22" t="e">
        <f t="shared" ca="1" si="25"/>
        <v>#DIV/0!</v>
      </c>
      <c r="BX40" s="22" t="e">
        <f t="shared" ca="1" si="26"/>
        <v>#DIV/0!</v>
      </c>
      <c r="BY40" s="22" t="e">
        <f t="shared" ca="1" si="27"/>
        <v>#DIV/0!</v>
      </c>
      <c r="BZ40" s="22" t="e">
        <f t="shared" ca="1" si="28"/>
        <v>#DIV/0!</v>
      </c>
      <c r="CA40" s="22" t="e">
        <f t="shared" ca="1" si="29"/>
        <v>#DIV/0!</v>
      </c>
      <c r="CB40" s="22" t="e">
        <f t="shared" ca="1" si="30"/>
        <v>#DIV/0!</v>
      </c>
    </row>
    <row r="41" spans="2:80" ht="15" hidden="1" customHeight="1" x14ac:dyDescent="0.15">
      <c r="B41" s="4" t="str">
        <f ca="1">图表数据!E40</f>
        <v>2015-08</v>
      </c>
      <c r="C41" s="24">
        <v>0</v>
      </c>
      <c r="D41" s="24">
        <v>0</v>
      </c>
      <c r="E41" s="24">
        <v>0</v>
      </c>
      <c r="F41" s="24">
        <v>0</v>
      </c>
      <c r="G41" s="24">
        <v>0</v>
      </c>
      <c r="H41" s="24">
        <v>0</v>
      </c>
      <c r="I41" s="24">
        <v>0</v>
      </c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R41" s="4" t="str">
        <f ca="1">图表数据!E40</f>
        <v>2015-08</v>
      </c>
      <c r="S41" s="4">
        <f ca="1">图表数据!F40</f>
        <v>0</v>
      </c>
      <c r="T41" s="4">
        <f ca="1">图表数据!G40</f>
        <v>0</v>
      </c>
      <c r="U41" s="4">
        <f ca="1">图表数据!H40</f>
        <v>0</v>
      </c>
      <c r="V41" s="4">
        <f ca="1">图表数据!I40</f>
        <v>0</v>
      </c>
      <c r="W41" s="4">
        <f ca="1">图表数据!J40</f>
        <v>0</v>
      </c>
      <c r="X41" s="4">
        <f ca="1">图表数据!K40</f>
        <v>0</v>
      </c>
      <c r="Y41" s="4">
        <f ca="1">图表数据!L40</f>
        <v>0</v>
      </c>
      <c r="Z41" s="4">
        <f ca="1">图表数据!M40</f>
        <v>0</v>
      </c>
      <c r="AA41" s="4">
        <f ca="1">图表数据!N40</f>
        <v>0</v>
      </c>
      <c r="AB41" s="4">
        <f ca="1">图表数据!O40</f>
        <v>0</v>
      </c>
      <c r="AC41" s="4">
        <f ca="1">图表数据!P40</f>
        <v>0</v>
      </c>
      <c r="AD41" s="4">
        <f ca="1">图表数据!Q40</f>
        <v>0</v>
      </c>
      <c r="AE41" s="4">
        <f ca="1">图表数据!R40</f>
        <v>0</v>
      </c>
      <c r="AF41" s="4">
        <f ca="1">图表数据!S40</f>
        <v>0</v>
      </c>
      <c r="AH41" s="4" t="str">
        <f t="shared" ca="1" si="1"/>
        <v>2015-08</v>
      </c>
      <c r="AI41" s="22" t="e">
        <f t="shared" ref="AI41:AV41" ca="1" si="58">S41/S29-1</f>
        <v>#DIV/0!</v>
      </c>
      <c r="AJ41" s="22" t="e">
        <f t="shared" ca="1" si="58"/>
        <v>#DIV/0!</v>
      </c>
      <c r="AK41" s="22" t="e">
        <f t="shared" ca="1" si="58"/>
        <v>#DIV/0!</v>
      </c>
      <c r="AL41" s="22" t="e">
        <f t="shared" ca="1" si="58"/>
        <v>#DIV/0!</v>
      </c>
      <c r="AM41" s="22" t="e">
        <f t="shared" ca="1" si="58"/>
        <v>#DIV/0!</v>
      </c>
      <c r="AN41" s="22" t="e">
        <f t="shared" ca="1" si="58"/>
        <v>#DIV/0!</v>
      </c>
      <c r="AO41" s="22" t="e">
        <f t="shared" ca="1" si="58"/>
        <v>#DIV/0!</v>
      </c>
      <c r="AP41" s="22" t="e">
        <f t="shared" ca="1" si="58"/>
        <v>#DIV/0!</v>
      </c>
      <c r="AQ41" s="22" t="e">
        <f t="shared" ca="1" si="58"/>
        <v>#DIV/0!</v>
      </c>
      <c r="AR41" s="22" t="e">
        <f t="shared" ca="1" si="58"/>
        <v>#DIV/0!</v>
      </c>
      <c r="AS41" s="22" t="e">
        <f t="shared" ca="1" si="58"/>
        <v>#DIV/0!</v>
      </c>
      <c r="AT41" s="22" t="e">
        <f t="shared" ca="1" si="58"/>
        <v>#DIV/0!</v>
      </c>
      <c r="AU41" s="22" t="e">
        <f t="shared" ca="1" si="58"/>
        <v>#DIV/0!</v>
      </c>
      <c r="AV41" s="22" t="e">
        <f t="shared" ca="1" si="58"/>
        <v>#DIV/0!</v>
      </c>
      <c r="AX41" s="4" t="str">
        <f t="shared" ca="1" si="2"/>
        <v>2015-08</v>
      </c>
      <c r="AY41" s="22" t="e">
        <f t="shared" ca="1" si="31"/>
        <v>#DIV/0!</v>
      </c>
      <c r="AZ41" s="22" t="e">
        <f t="shared" ca="1" si="3"/>
        <v>#DIV/0!</v>
      </c>
      <c r="BA41" s="22" t="e">
        <f t="shared" ca="1" si="4"/>
        <v>#DIV/0!</v>
      </c>
      <c r="BB41" s="22" t="e">
        <f t="shared" ca="1" si="5"/>
        <v>#DIV/0!</v>
      </c>
      <c r="BC41" s="22" t="e">
        <f t="shared" ca="1" si="6"/>
        <v>#DIV/0!</v>
      </c>
      <c r="BD41" s="22" t="e">
        <f t="shared" ca="1" si="7"/>
        <v>#DIV/0!</v>
      </c>
      <c r="BE41" s="22" t="e">
        <f t="shared" ca="1" si="8"/>
        <v>#DIV/0!</v>
      </c>
      <c r="BF41" s="22" t="e">
        <f t="shared" ca="1" si="9"/>
        <v>#DIV/0!</v>
      </c>
      <c r="BG41" s="22" t="e">
        <f t="shared" ca="1" si="10"/>
        <v>#DIV/0!</v>
      </c>
      <c r="BH41" s="22" t="e">
        <f t="shared" ca="1" si="11"/>
        <v>#DIV/0!</v>
      </c>
      <c r="BI41" s="22" t="e">
        <f t="shared" ca="1" si="12"/>
        <v>#DIV/0!</v>
      </c>
      <c r="BJ41" s="22" t="e">
        <f t="shared" ca="1" si="13"/>
        <v>#DIV/0!</v>
      </c>
      <c r="BK41" s="22" t="e">
        <f t="shared" ca="1" si="14"/>
        <v>#DIV/0!</v>
      </c>
      <c r="BL41" s="22" t="e">
        <f t="shared" ca="1" si="15"/>
        <v>#DIV/0!</v>
      </c>
      <c r="BN41" s="4" t="str">
        <f t="shared" ca="1" si="16"/>
        <v>2015-08</v>
      </c>
      <c r="BO41" s="22" t="e">
        <f t="shared" ca="1" si="17"/>
        <v>#DIV/0!</v>
      </c>
      <c r="BP41" s="22" t="e">
        <f t="shared" ca="1" si="18"/>
        <v>#DIV/0!</v>
      </c>
      <c r="BQ41" s="22" t="e">
        <f t="shared" ca="1" si="19"/>
        <v>#DIV/0!</v>
      </c>
      <c r="BR41" s="22" t="e">
        <f t="shared" ca="1" si="20"/>
        <v>#DIV/0!</v>
      </c>
      <c r="BS41" s="22" t="e">
        <f t="shared" ca="1" si="21"/>
        <v>#DIV/0!</v>
      </c>
      <c r="BT41" s="22" t="e">
        <f t="shared" ca="1" si="22"/>
        <v>#DIV/0!</v>
      </c>
      <c r="BU41" s="22" t="e">
        <f t="shared" ca="1" si="23"/>
        <v>#DIV/0!</v>
      </c>
      <c r="BV41" s="22" t="e">
        <f t="shared" ca="1" si="24"/>
        <v>#DIV/0!</v>
      </c>
      <c r="BW41" s="22" t="e">
        <f t="shared" ca="1" si="25"/>
        <v>#DIV/0!</v>
      </c>
      <c r="BX41" s="22" t="e">
        <f t="shared" ca="1" si="26"/>
        <v>#DIV/0!</v>
      </c>
      <c r="BY41" s="22" t="e">
        <f t="shared" ca="1" si="27"/>
        <v>#DIV/0!</v>
      </c>
      <c r="BZ41" s="22" t="e">
        <f t="shared" ca="1" si="28"/>
        <v>#DIV/0!</v>
      </c>
      <c r="CA41" s="22" t="e">
        <f t="shared" ca="1" si="29"/>
        <v>#DIV/0!</v>
      </c>
      <c r="CB41" s="22" t="e">
        <f t="shared" ca="1" si="30"/>
        <v>#DIV/0!</v>
      </c>
    </row>
    <row r="42" spans="2:80" ht="15" hidden="1" customHeight="1" x14ac:dyDescent="0.15">
      <c r="B42" s="4" t="str">
        <f ca="1">图表数据!E41</f>
        <v>2015-09</v>
      </c>
      <c r="C42" s="24">
        <v>0</v>
      </c>
      <c r="D42" s="24">
        <v>0</v>
      </c>
      <c r="E42" s="24">
        <v>0</v>
      </c>
      <c r="F42" s="24">
        <v>0</v>
      </c>
      <c r="G42" s="24">
        <v>0</v>
      </c>
      <c r="H42" s="24">
        <v>0</v>
      </c>
      <c r="I42" s="24">
        <v>0</v>
      </c>
      <c r="J42" s="24">
        <v>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R42" s="4" t="str">
        <f ca="1">图表数据!E41</f>
        <v>2015-09</v>
      </c>
      <c r="S42" s="4">
        <f ca="1">图表数据!F41</f>
        <v>0</v>
      </c>
      <c r="T42" s="4">
        <f ca="1">图表数据!G41</f>
        <v>0</v>
      </c>
      <c r="U42" s="4">
        <f ca="1">图表数据!H41</f>
        <v>0</v>
      </c>
      <c r="V42" s="4">
        <f ca="1">图表数据!I41</f>
        <v>0</v>
      </c>
      <c r="W42" s="4">
        <f ca="1">图表数据!J41</f>
        <v>0</v>
      </c>
      <c r="X42" s="4">
        <f ca="1">图表数据!K41</f>
        <v>0</v>
      </c>
      <c r="Y42" s="4">
        <f ca="1">图表数据!L41</f>
        <v>0</v>
      </c>
      <c r="Z42" s="4">
        <f ca="1">图表数据!M41</f>
        <v>0</v>
      </c>
      <c r="AA42" s="4">
        <f ca="1">图表数据!N41</f>
        <v>0</v>
      </c>
      <c r="AB42" s="4">
        <f ca="1">图表数据!O41</f>
        <v>0</v>
      </c>
      <c r="AC42" s="4">
        <f ca="1">图表数据!P41</f>
        <v>0</v>
      </c>
      <c r="AD42" s="4">
        <f ca="1">图表数据!Q41</f>
        <v>0</v>
      </c>
      <c r="AE42" s="4">
        <f ca="1">图表数据!R41</f>
        <v>0</v>
      </c>
      <c r="AF42" s="4">
        <f ca="1">图表数据!S41</f>
        <v>0</v>
      </c>
      <c r="AH42" s="4" t="str">
        <f t="shared" ca="1" si="1"/>
        <v>2015-09</v>
      </c>
      <c r="AI42" s="22" t="e">
        <f t="shared" ref="AI42:AV42" ca="1" si="59">S42/S30-1</f>
        <v>#DIV/0!</v>
      </c>
      <c r="AJ42" s="22" t="e">
        <f t="shared" ca="1" si="59"/>
        <v>#DIV/0!</v>
      </c>
      <c r="AK42" s="22" t="e">
        <f t="shared" ca="1" si="59"/>
        <v>#DIV/0!</v>
      </c>
      <c r="AL42" s="22" t="e">
        <f t="shared" ca="1" si="59"/>
        <v>#DIV/0!</v>
      </c>
      <c r="AM42" s="22" t="e">
        <f t="shared" ca="1" si="59"/>
        <v>#DIV/0!</v>
      </c>
      <c r="AN42" s="22" t="e">
        <f t="shared" ca="1" si="59"/>
        <v>#DIV/0!</v>
      </c>
      <c r="AO42" s="22" t="e">
        <f t="shared" ca="1" si="59"/>
        <v>#DIV/0!</v>
      </c>
      <c r="AP42" s="22" t="e">
        <f t="shared" ca="1" si="59"/>
        <v>#DIV/0!</v>
      </c>
      <c r="AQ42" s="22" t="e">
        <f t="shared" ca="1" si="59"/>
        <v>#DIV/0!</v>
      </c>
      <c r="AR42" s="22" t="e">
        <f t="shared" ca="1" si="59"/>
        <v>#DIV/0!</v>
      </c>
      <c r="AS42" s="22" t="e">
        <f t="shared" ca="1" si="59"/>
        <v>#DIV/0!</v>
      </c>
      <c r="AT42" s="22" t="e">
        <f t="shared" ca="1" si="59"/>
        <v>#DIV/0!</v>
      </c>
      <c r="AU42" s="22" t="e">
        <f t="shared" ca="1" si="59"/>
        <v>#DIV/0!</v>
      </c>
      <c r="AV42" s="22" t="e">
        <f t="shared" ca="1" si="59"/>
        <v>#DIV/0!</v>
      </c>
      <c r="AX42" s="4" t="str">
        <f t="shared" ca="1" si="2"/>
        <v>2015-09</v>
      </c>
      <c r="AY42" s="22" t="e">
        <f t="shared" ca="1" si="31"/>
        <v>#DIV/0!</v>
      </c>
      <c r="AZ42" s="22" t="e">
        <f t="shared" ca="1" si="3"/>
        <v>#DIV/0!</v>
      </c>
      <c r="BA42" s="22" t="e">
        <f t="shared" ca="1" si="4"/>
        <v>#DIV/0!</v>
      </c>
      <c r="BB42" s="22" t="e">
        <f t="shared" ca="1" si="5"/>
        <v>#DIV/0!</v>
      </c>
      <c r="BC42" s="22" t="e">
        <f t="shared" ca="1" si="6"/>
        <v>#DIV/0!</v>
      </c>
      <c r="BD42" s="22" t="e">
        <f t="shared" ca="1" si="7"/>
        <v>#DIV/0!</v>
      </c>
      <c r="BE42" s="22" t="e">
        <f t="shared" ca="1" si="8"/>
        <v>#DIV/0!</v>
      </c>
      <c r="BF42" s="22" t="e">
        <f t="shared" ca="1" si="9"/>
        <v>#DIV/0!</v>
      </c>
      <c r="BG42" s="22" t="e">
        <f t="shared" ca="1" si="10"/>
        <v>#DIV/0!</v>
      </c>
      <c r="BH42" s="22" t="e">
        <f t="shared" ca="1" si="11"/>
        <v>#DIV/0!</v>
      </c>
      <c r="BI42" s="22" t="e">
        <f t="shared" ca="1" si="12"/>
        <v>#DIV/0!</v>
      </c>
      <c r="BJ42" s="22" t="e">
        <f t="shared" ca="1" si="13"/>
        <v>#DIV/0!</v>
      </c>
      <c r="BK42" s="22" t="e">
        <f t="shared" ca="1" si="14"/>
        <v>#DIV/0!</v>
      </c>
      <c r="BL42" s="22" t="e">
        <f t="shared" ca="1" si="15"/>
        <v>#DIV/0!</v>
      </c>
      <c r="BN42" s="4" t="str">
        <f t="shared" ca="1" si="16"/>
        <v>2015-09</v>
      </c>
      <c r="BO42" s="22" t="e">
        <f t="shared" ca="1" si="17"/>
        <v>#DIV/0!</v>
      </c>
      <c r="BP42" s="22" t="e">
        <f t="shared" ca="1" si="18"/>
        <v>#DIV/0!</v>
      </c>
      <c r="BQ42" s="22" t="e">
        <f t="shared" ca="1" si="19"/>
        <v>#DIV/0!</v>
      </c>
      <c r="BR42" s="22" t="e">
        <f t="shared" ca="1" si="20"/>
        <v>#DIV/0!</v>
      </c>
      <c r="BS42" s="22" t="e">
        <f t="shared" ca="1" si="21"/>
        <v>#DIV/0!</v>
      </c>
      <c r="BT42" s="22" t="e">
        <f t="shared" ca="1" si="22"/>
        <v>#DIV/0!</v>
      </c>
      <c r="BU42" s="22" t="e">
        <f t="shared" ca="1" si="23"/>
        <v>#DIV/0!</v>
      </c>
      <c r="BV42" s="22" t="e">
        <f t="shared" ca="1" si="24"/>
        <v>#DIV/0!</v>
      </c>
      <c r="BW42" s="22" t="e">
        <f t="shared" ca="1" si="25"/>
        <v>#DIV/0!</v>
      </c>
      <c r="BX42" s="22" t="e">
        <f t="shared" ca="1" si="26"/>
        <v>#DIV/0!</v>
      </c>
      <c r="BY42" s="22" t="e">
        <f t="shared" ca="1" si="27"/>
        <v>#DIV/0!</v>
      </c>
      <c r="BZ42" s="22" t="e">
        <f t="shared" ca="1" si="28"/>
        <v>#DIV/0!</v>
      </c>
      <c r="CA42" s="22" t="e">
        <f t="shared" ca="1" si="29"/>
        <v>#DIV/0!</v>
      </c>
      <c r="CB42" s="22" t="e">
        <f t="shared" ca="1" si="30"/>
        <v>#DIV/0!</v>
      </c>
    </row>
    <row r="43" spans="2:80" ht="15" hidden="1" customHeight="1" x14ac:dyDescent="0.15">
      <c r="B43" s="4" t="str">
        <f ca="1">图表数据!E42</f>
        <v>2015-10</v>
      </c>
      <c r="C43" s="24">
        <v>0</v>
      </c>
      <c r="D43" s="24">
        <v>0</v>
      </c>
      <c r="E43" s="24">
        <v>0</v>
      </c>
      <c r="F43" s="24">
        <v>0</v>
      </c>
      <c r="G43" s="24">
        <v>0</v>
      </c>
      <c r="H43" s="24">
        <v>0</v>
      </c>
      <c r="I43" s="24">
        <v>0</v>
      </c>
      <c r="J43" s="24">
        <v>0</v>
      </c>
      <c r="K43" s="24">
        <v>0</v>
      </c>
      <c r="L43" s="24">
        <v>0</v>
      </c>
      <c r="M43" s="24">
        <v>0</v>
      </c>
      <c r="N43" s="24">
        <v>0</v>
      </c>
      <c r="O43" s="24">
        <v>0</v>
      </c>
      <c r="P43" s="24">
        <v>0</v>
      </c>
      <c r="R43" s="4" t="str">
        <f ca="1">图表数据!E42</f>
        <v>2015-10</v>
      </c>
      <c r="S43" s="4">
        <f ca="1">图表数据!F42</f>
        <v>0</v>
      </c>
      <c r="T43" s="4">
        <f ca="1">图表数据!G42</f>
        <v>0</v>
      </c>
      <c r="U43" s="4">
        <f ca="1">图表数据!H42</f>
        <v>0</v>
      </c>
      <c r="V43" s="4">
        <f ca="1">图表数据!I42</f>
        <v>0</v>
      </c>
      <c r="W43" s="4">
        <f ca="1">图表数据!J42</f>
        <v>0</v>
      </c>
      <c r="X43" s="4">
        <f ca="1">图表数据!K42</f>
        <v>0</v>
      </c>
      <c r="Y43" s="4">
        <f ca="1">图表数据!L42</f>
        <v>0</v>
      </c>
      <c r="Z43" s="4">
        <f ca="1">图表数据!M42</f>
        <v>0</v>
      </c>
      <c r="AA43" s="4">
        <f ca="1">图表数据!N42</f>
        <v>0</v>
      </c>
      <c r="AB43" s="4">
        <f ca="1">图表数据!O42</f>
        <v>0</v>
      </c>
      <c r="AC43" s="4">
        <f ca="1">图表数据!P42</f>
        <v>0</v>
      </c>
      <c r="AD43" s="4">
        <f ca="1">图表数据!Q42</f>
        <v>0</v>
      </c>
      <c r="AE43" s="4">
        <f ca="1">图表数据!R42</f>
        <v>0</v>
      </c>
      <c r="AF43" s="4">
        <f ca="1">图表数据!S42</f>
        <v>0</v>
      </c>
      <c r="AH43" s="4" t="str">
        <f t="shared" ca="1" si="1"/>
        <v>2015-10</v>
      </c>
      <c r="AI43" s="22" t="e">
        <f t="shared" ref="AI43:AV43" ca="1" si="60">S43/S31-1</f>
        <v>#DIV/0!</v>
      </c>
      <c r="AJ43" s="22" t="e">
        <f t="shared" ca="1" si="60"/>
        <v>#DIV/0!</v>
      </c>
      <c r="AK43" s="22" t="e">
        <f t="shared" ca="1" si="60"/>
        <v>#DIV/0!</v>
      </c>
      <c r="AL43" s="22" t="e">
        <f t="shared" ca="1" si="60"/>
        <v>#DIV/0!</v>
      </c>
      <c r="AM43" s="22" t="e">
        <f t="shared" ca="1" si="60"/>
        <v>#DIV/0!</v>
      </c>
      <c r="AN43" s="22" t="e">
        <f t="shared" ca="1" si="60"/>
        <v>#DIV/0!</v>
      </c>
      <c r="AO43" s="22" t="e">
        <f t="shared" ca="1" si="60"/>
        <v>#DIV/0!</v>
      </c>
      <c r="AP43" s="22" t="e">
        <f t="shared" ca="1" si="60"/>
        <v>#DIV/0!</v>
      </c>
      <c r="AQ43" s="22" t="e">
        <f t="shared" ca="1" si="60"/>
        <v>#DIV/0!</v>
      </c>
      <c r="AR43" s="22" t="e">
        <f t="shared" ca="1" si="60"/>
        <v>#DIV/0!</v>
      </c>
      <c r="AS43" s="22" t="e">
        <f t="shared" ca="1" si="60"/>
        <v>#DIV/0!</v>
      </c>
      <c r="AT43" s="22" t="e">
        <f t="shared" ca="1" si="60"/>
        <v>#DIV/0!</v>
      </c>
      <c r="AU43" s="22" t="e">
        <f t="shared" ca="1" si="60"/>
        <v>#DIV/0!</v>
      </c>
      <c r="AV43" s="22" t="e">
        <f t="shared" ca="1" si="60"/>
        <v>#DIV/0!</v>
      </c>
      <c r="AX43" s="4" t="str">
        <f t="shared" ca="1" si="2"/>
        <v>2015-10</v>
      </c>
      <c r="AY43" s="22" t="e">
        <f t="shared" ca="1" si="31"/>
        <v>#DIV/0!</v>
      </c>
      <c r="AZ43" s="22" t="e">
        <f t="shared" ca="1" si="3"/>
        <v>#DIV/0!</v>
      </c>
      <c r="BA43" s="22" t="e">
        <f t="shared" ca="1" si="4"/>
        <v>#DIV/0!</v>
      </c>
      <c r="BB43" s="22" t="e">
        <f t="shared" ca="1" si="5"/>
        <v>#DIV/0!</v>
      </c>
      <c r="BC43" s="22" t="e">
        <f t="shared" ca="1" si="6"/>
        <v>#DIV/0!</v>
      </c>
      <c r="BD43" s="22" t="e">
        <f t="shared" ca="1" si="7"/>
        <v>#DIV/0!</v>
      </c>
      <c r="BE43" s="22" t="e">
        <f t="shared" ca="1" si="8"/>
        <v>#DIV/0!</v>
      </c>
      <c r="BF43" s="22" t="e">
        <f t="shared" ca="1" si="9"/>
        <v>#DIV/0!</v>
      </c>
      <c r="BG43" s="22" t="e">
        <f t="shared" ca="1" si="10"/>
        <v>#DIV/0!</v>
      </c>
      <c r="BH43" s="22" t="e">
        <f t="shared" ca="1" si="11"/>
        <v>#DIV/0!</v>
      </c>
      <c r="BI43" s="22" t="e">
        <f t="shared" ca="1" si="12"/>
        <v>#DIV/0!</v>
      </c>
      <c r="BJ43" s="22" t="e">
        <f t="shared" ca="1" si="13"/>
        <v>#DIV/0!</v>
      </c>
      <c r="BK43" s="22" t="e">
        <f t="shared" ca="1" si="14"/>
        <v>#DIV/0!</v>
      </c>
      <c r="BL43" s="22" t="e">
        <f t="shared" ca="1" si="15"/>
        <v>#DIV/0!</v>
      </c>
      <c r="BN43" s="4" t="str">
        <f t="shared" ca="1" si="16"/>
        <v>2015-10</v>
      </c>
      <c r="BO43" s="22" t="e">
        <f t="shared" ca="1" si="17"/>
        <v>#DIV/0!</v>
      </c>
      <c r="BP43" s="22" t="e">
        <f t="shared" ca="1" si="18"/>
        <v>#DIV/0!</v>
      </c>
      <c r="BQ43" s="22" t="e">
        <f t="shared" ca="1" si="19"/>
        <v>#DIV/0!</v>
      </c>
      <c r="BR43" s="22" t="e">
        <f t="shared" ca="1" si="20"/>
        <v>#DIV/0!</v>
      </c>
      <c r="BS43" s="22" t="e">
        <f t="shared" ca="1" si="21"/>
        <v>#DIV/0!</v>
      </c>
      <c r="BT43" s="22" t="e">
        <f t="shared" ca="1" si="22"/>
        <v>#DIV/0!</v>
      </c>
      <c r="BU43" s="22" t="e">
        <f t="shared" ca="1" si="23"/>
        <v>#DIV/0!</v>
      </c>
      <c r="BV43" s="22" t="e">
        <f t="shared" ca="1" si="24"/>
        <v>#DIV/0!</v>
      </c>
      <c r="BW43" s="22" t="e">
        <f t="shared" ca="1" si="25"/>
        <v>#DIV/0!</v>
      </c>
      <c r="BX43" s="22" t="e">
        <f t="shared" ca="1" si="26"/>
        <v>#DIV/0!</v>
      </c>
      <c r="BY43" s="22" t="e">
        <f t="shared" ca="1" si="27"/>
        <v>#DIV/0!</v>
      </c>
      <c r="BZ43" s="22" t="e">
        <f t="shared" ca="1" si="28"/>
        <v>#DIV/0!</v>
      </c>
      <c r="CA43" s="22" t="e">
        <f t="shared" ca="1" si="29"/>
        <v>#DIV/0!</v>
      </c>
      <c r="CB43" s="22" t="e">
        <f t="shared" ca="1" si="30"/>
        <v>#DIV/0!</v>
      </c>
    </row>
    <row r="44" spans="2:80" ht="15" hidden="1" customHeight="1" x14ac:dyDescent="0.15">
      <c r="B44" s="4" t="str">
        <f ca="1">图表数据!E43</f>
        <v>2015-11</v>
      </c>
      <c r="C44" s="24">
        <v>0</v>
      </c>
      <c r="D44" s="24">
        <v>0</v>
      </c>
      <c r="E44" s="24">
        <v>0</v>
      </c>
      <c r="F44" s="24">
        <v>0</v>
      </c>
      <c r="G44" s="24">
        <v>0</v>
      </c>
      <c r="H44" s="24">
        <v>0</v>
      </c>
      <c r="I44" s="24">
        <v>0</v>
      </c>
      <c r="J44" s="24">
        <v>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R44" s="4" t="str">
        <f ca="1">图表数据!E43</f>
        <v>2015-11</v>
      </c>
      <c r="S44" s="4">
        <f ca="1">图表数据!F43</f>
        <v>0</v>
      </c>
      <c r="T44" s="4">
        <f ca="1">图表数据!G43</f>
        <v>0</v>
      </c>
      <c r="U44" s="4">
        <f ca="1">图表数据!H43</f>
        <v>0</v>
      </c>
      <c r="V44" s="4">
        <f ca="1">图表数据!I43</f>
        <v>0</v>
      </c>
      <c r="W44" s="4">
        <f ca="1">图表数据!J43</f>
        <v>0</v>
      </c>
      <c r="X44" s="4">
        <f ca="1">图表数据!K43</f>
        <v>0</v>
      </c>
      <c r="Y44" s="4">
        <f ca="1">图表数据!L43</f>
        <v>0</v>
      </c>
      <c r="Z44" s="4">
        <f ca="1">图表数据!M43</f>
        <v>0</v>
      </c>
      <c r="AA44" s="4">
        <f ca="1">图表数据!N43</f>
        <v>0</v>
      </c>
      <c r="AB44" s="4">
        <f ca="1">图表数据!O43</f>
        <v>0</v>
      </c>
      <c r="AC44" s="4">
        <f ca="1">图表数据!P43</f>
        <v>0</v>
      </c>
      <c r="AD44" s="4">
        <f ca="1">图表数据!Q43</f>
        <v>0</v>
      </c>
      <c r="AE44" s="4">
        <f ca="1">图表数据!R43</f>
        <v>0</v>
      </c>
      <c r="AF44" s="4">
        <f ca="1">图表数据!S43</f>
        <v>0</v>
      </c>
      <c r="AH44" s="4" t="str">
        <f t="shared" ca="1" si="1"/>
        <v>2015-11</v>
      </c>
      <c r="AI44" s="22" t="e">
        <f t="shared" ref="AI44:AV44" ca="1" si="61">S44/S32-1</f>
        <v>#DIV/0!</v>
      </c>
      <c r="AJ44" s="22" t="e">
        <f t="shared" ca="1" si="61"/>
        <v>#DIV/0!</v>
      </c>
      <c r="AK44" s="22" t="e">
        <f t="shared" ca="1" si="61"/>
        <v>#DIV/0!</v>
      </c>
      <c r="AL44" s="22" t="e">
        <f t="shared" ca="1" si="61"/>
        <v>#DIV/0!</v>
      </c>
      <c r="AM44" s="22" t="e">
        <f t="shared" ca="1" si="61"/>
        <v>#DIV/0!</v>
      </c>
      <c r="AN44" s="22" t="e">
        <f t="shared" ca="1" si="61"/>
        <v>#DIV/0!</v>
      </c>
      <c r="AO44" s="22" t="e">
        <f t="shared" ca="1" si="61"/>
        <v>#DIV/0!</v>
      </c>
      <c r="AP44" s="22" t="e">
        <f t="shared" ca="1" si="61"/>
        <v>#DIV/0!</v>
      </c>
      <c r="AQ44" s="22" t="e">
        <f t="shared" ca="1" si="61"/>
        <v>#DIV/0!</v>
      </c>
      <c r="AR44" s="22" t="e">
        <f t="shared" ca="1" si="61"/>
        <v>#DIV/0!</v>
      </c>
      <c r="AS44" s="22" t="e">
        <f t="shared" ca="1" si="61"/>
        <v>#DIV/0!</v>
      </c>
      <c r="AT44" s="22" t="e">
        <f t="shared" ca="1" si="61"/>
        <v>#DIV/0!</v>
      </c>
      <c r="AU44" s="22" t="e">
        <f t="shared" ca="1" si="61"/>
        <v>#DIV/0!</v>
      </c>
      <c r="AV44" s="22" t="e">
        <f t="shared" ca="1" si="61"/>
        <v>#DIV/0!</v>
      </c>
      <c r="AX44" s="4" t="str">
        <f t="shared" ca="1" si="2"/>
        <v>2015-11</v>
      </c>
      <c r="AY44" s="22" t="e">
        <f t="shared" ca="1" si="31"/>
        <v>#DIV/0!</v>
      </c>
      <c r="AZ44" s="22" t="e">
        <f t="shared" ca="1" si="3"/>
        <v>#DIV/0!</v>
      </c>
      <c r="BA44" s="22" t="e">
        <f t="shared" ca="1" si="4"/>
        <v>#DIV/0!</v>
      </c>
      <c r="BB44" s="22" t="e">
        <f t="shared" ca="1" si="5"/>
        <v>#DIV/0!</v>
      </c>
      <c r="BC44" s="22" t="e">
        <f t="shared" ca="1" si="6"/>
        <v>#DIV/0!</v>
      </c>
      <c r="BD44" s="22" t="e">
        <f t="shared" ca="1" si="7"/>
        <v>#DIV/0!</v>
      </c>
      <c r="BE44" s="22" t="e">
        <f t="shared" ca="1" si="8"/>
        <v>#DIV/0!</v>
      </c>
      <c r="BF44" s="22" t="e">
        <f t="shared" ca="1" si="9"/>
        <v>#DIV/0!</v>
      </c>
      <c r="BG44" s="22" t="e">
        <f t="shared" ca="1" si="10"/>
        <v>#DIV/0!</v>
      </c>
      <c r="BH44" s="22" t="e">
        <f t="shared" ca="1" si="11"/>
        <v>#DIV/0!</v>
      </c>
      <c r="BI44" s="22" t="e">
        <f t="shared" ca="1" si="12"/>
        <v>#DIV/0!</v>
      </c>
      <c r="BJ44" s="22" t="e">
        <f t="shared" ca="1" si="13"/>
        <v>#DIV/0!</v>
      </c>
      <c r="BK44" s="22" t="e">
        <f t="shared" ca="1" si="14"/>
        <v>#DIV/0!</v>
      </c>
      <c r="BL44" s="22" t="e">
        <f t="shared" ca="1" si="15"/>
        <v>#DIV/0!</v>
      </c>
      <c r="BN44" s="4" t="str">
        <f t="shared" ca="1" si="16"/>
        <v>2015-11</v>
      </c>
      <c r="BO44" s="22" t="e">
        <f t="shared" ca="1" si="17"/>
        <v>#DIV/0!</v>
      </c>
      <c r="BP44" s="22" t="e">
        <f t="shared" ca="1" si="18"/>
        <v>#DIV/0!</v>
      </c>
      <c r="BQ44" s="22" t="e">
        <f t="shared" ca="1" si="19"/>
        <v>#DIV/0!</v>
      </c>
      <c r="BR44" s="22" t="e">
        <f t="shared" ca="1" si="20"/>
        <v>#DIV/0!</v>
      </c>
      <c r="BS44" s="22" t="e">
        <f t="shared" ca="1" si="21"/>
        <v>#DIV/0!</v>
      </c>
      <c r="BT44" s="22" t="e">
        <f t="shared" ca="1" si="22"/>
        <v>#DIV/0!</v>
      </c>
      <c r="BU44" s="22" t="e">
        <f t="shared" ca="1" si="23"/>
        <v>#DIV/0!</v>
      </c>
      <c r="BV44" s="22" t="e">
        <f t="shared" ca="1" si="24"/>
        <v>#DIV/0!</v>
      </c>
      <c r="BW44" s="22" t="e">
        <f t="shared" ca="1" si="25"/>
        <v>#DIV/0!</v>
      </c>
      <c r="BX44" s="22" t="e">
        <f t="shared" ca="1" si="26"/>
        <v>#DIV/0!</v>
      </c>
      <c r="BY44" s="22" t="e">
        <f t="shared" ca="1" si="27"/>
        <v>#DIV/0!</v>
      </c>
      <c r="BZ44" s="22" t="e">
        <f t="shared" ca="1" si="28"/>
        <v>#DIV/0!</v>
      </c>
      <c r="CA44" s="22" t="e">
        <f t="shared" ca="1" si="29"/>
        <v>#DIV/0!</v>
      </c>
      <c r="CB44" s="22" t="e">
        <f t="shared" ca="1" si="30"/>
        <v>#DIV/0!</v>
      </c>
    </row>
    <row r="45" spans="2:80" ht="15" hidden="1" customHeight="1" x14ac:dyDescent="0.15">
      <c r="B45" s="4" t="str">
        <f ca="1">图表数据!E44</f>
        <v>2015-12</v>
      </c>
      <c r="C45" s="24">
        <v>0</v>
      </c>
      <c r="D45" s="24">
        <v>0</v>
      </c>
      <c r="E45" s="24">
        <v>0</v>
      </c>
      <c r="F45" s="24">
        <v>0</v>
      </c>
      <c r="G45" s="24">
        <v>0</v>
      </c>
      <c r="H45" s="24">
        <v>0</v>
      </c>
      <c r="I45" s="24">
        <v>0</v>
      </c>
      <c r="J45" s="24">
        <v>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R45" s="4" t="str">
        <f ca="1">图表数据!E44</f>
        <v>2015-12</v>
      </c>
      <c r="S45" s="4">
        <f ca="1">图表数据!F44</f>
        <v>0</v>
      </c>
      <c r="T45" s="4">
        <f ca="1">图表数据!G44</f>
        <v>0</v>
      </c>
      <c r="U45" s="4">
        <f ca="1">图表数据!H44</f>
        <v>0</v>
      </c>
      <c r="V45" s="4">
        <f ca="1">图表数据!I44</f>
        <v>0</v>
      </c>
      <c r="W45" s="4">
        <f ca="1">图表数据!J44</f>
        <v>0</v>
      </c>
      <c r="X45" s="4">
        <f ca="1">图表数据!K44</f>
        <v>0</v>
      </c>
      <c r="Y45" s="4">
        <f ca="1">图表数据!L44</f>
        <v>0</v>
      </c>
      <c r="Z45" s="4">
        <f ca="1">图表数据!M44</f>
        <v>0</v>
      </c>
      <c r="AA45" s="4">
        <f ca="1">图表数据!N44</f>
        <v>0</v>
      </c>
      <c r="AB45" s="4">
        <f ca="1">图表数据!O44</f>
        <v>0</v>
      </c>
      <c r="AC45" s="4">
        <f ca="1">图表数据!P44</f>
        <v>0</v>
      </c>
      <c r="AD45" s="4">
        <f ca="1">图表数据!Q44</f>
        <v>0</v>
      </c>
      <c r="AE45" s="4">
        <f ca="1">图表数据!R44</f>
        <v>0</v>
      </c>
      <c r="AF45" s="4">
        <f ca="1">图表数据!S44</f>
        <v>0</v>
      </c>
      <c r="AH45" s="4" t="str">
        <f t="shared" ca="1" si="1"/>
        <v>2015-12</v>
      </c>
      <c r="AI45" s="22" t="e">
        <f t="shared" ref="AI45:AV45" ca="1" si="62">S45/S33-1</f>
        <v>#DIV/0!</v>
      </c>
      <c r="AJ45" s="22" t="e">
        <f t="shared" ca="1" si="62"/>
        <v>#DIV/0!</v>
      </c>
      <c r="AK45" s="22">
        <f t="shared" ca="1" si="62"/>
        <v>-1</v>
      </c>
      <c r="AL45" s="22" t="e">
        <f t="shared" ca="1" si="62"/>
        <v>#DIV/0!</v>
      </c>
      <c r="AM45" s="22" t="e">
        <f t="shared" ca="1" si="62"/>
        <v>#DIV/0!</v>
      </c>
      <c r="AN45" s="22" t="e">
        <f t="shared" ca="1" si="62"/>
        <v>#DIV/0!</v>
      </c>
      <c r="AO45" s="22" t="e">
        <f t="shared" ca="1" si="62"/>
        <v>#DIV/0!</v>
      </c>
      <c r="AP45" s="22" t="e">
        <f t="shared" ca="1" si="62"/>
        <v>#DIV/0!</v>
      </c>
      <c r="AQ45" s="22" t="e">
        <f t="shared" ca="1" si="62"/>
        <v>#DIV/0!</v>
      </c>
      <c r="AR45" s="22" t="e">
        <f t="shared" ca="1" si="62"/>
        <v>#DIV/0!</v>
      </c>
      <c r="AS45" s="22" t="e">
        <f t="shared" ca="1" si="62"/>
        <v>#DIV/0!</v>
      </c>
      <c r="AT45" s="22" t="e">
        <f t="shared" ca="1" si="62"/>
        <v>#DIV/0!</v>
      </c>
      <c r="AU45" s="22" t="e">
        <f t="shared" ca="1" si="62"/>
        <v>#DIV/0!</v>
      </c>
      <c r="AV45" s="22">
        <f t="shared" ca="1" si="62"/>
        <v>-1</v>
      </c>
      <c r="AX45" s="4" t="str">
        <f t="shared" ca="1" si="2"/>
        <v>2015-12</v>
      </c>
      <c r="AY45" s="22" t="e">
        <f t="shared" ca="1" si="31"/>
        <v>#DIV/0!</v>
      </c>
      <c r="AZ45" s="22" t="e">
        <f t="shared" ca="1" si="3"/>
        <v>#DIV/0!</v>
      </c>
      <c r="BA45" s="22" t="e">
        <f t="shared" ca="1" si="4"/>
        <v>#DIV/0!</v>
      </c>
      <c r="BB45" s="22" t="e">
        <f t="shared" ca="1" si="5"/>
        <v>#DIV/0!</v>
      </c>
      <c r="BC45" s="22" t="e">
        <f t="shared" ca="1" si="6"/>
        <v>#DIV/0!</v>
      </c>
      <c r="BD45" s="22" t="e">
        <f t="shared" ca="1" si="7"/>
        <v>#DIV/0!</v>
      </c>
      <c r="BE45" s="22" t="e">
        <f t="shared" ca="1" si="8"/>
        <v>#DIV/0!</v>
      </c>
      <c r="BF45" s="22" t="e">
        <f t="shared" ca="1" si="9"/>
        <v>#DIV/0!</v>
      </c>
      <c r="BG45" s="22" t="e">
        <f t="shared" ca="1" si="10"/>
        <v>#DIV/0!</v>
      </c>
      <c r="BH45" s="22" t="e">
        <f t="shared" ca="1" si="11"/>
        <v>#DIV/0!</v>
      </c>
      <c r="BI45" s="22" t="e">
        <f t="shared" ca="1" si="12"/>
        <v>#DIV/0!</v>
      </c>
      <c r="BJ45" s="22" t="e">
        <f t="shared" ca="1" si="13"/>
        <v>#DIV/0!</v>
      </c>
      <c r="BK45" s="22" t="e">
        <f t="shared" ca="1" si="14"/>
        <v>#DIV/0!</v>
      </c>
      <c r="BL45" s="22" t="e">
        <f t="shared" ca="1" si="15"/>
        <v>#DIV/0!</v>
      </c>
      <c r="BN45" s="4" t="str">
        <f t="shared" ca="1" si="16"/>
        <v>2015-12</v>
      </c>
      <c r="BO45" s="22" t="e">
        <f t="shared" ca="1" si="17"/>
        <v>#DIV/0!</v>
      </c>
      <c r="BP45" s="22" t="e">
        <f t="shared" ca="1" si="18"/>
        <v>#DIV/0!</v>
      </c>
      <c r="BQ45" s="22" t="e">
        <f t="shared" ca="1" si="19"/>
        <v>#DIV/0!</v>
      </c>
      <c r="BR45" s="22" t="e">
        <f t="shared" ca="1" si="20"/>
        <v>#DIV/0!</v>
      </c>
      <c r="BS45" s="22" t="e">
        <f t="shared" ca="1" si="21"/>
        <v>#DIV/0!</v>
      </c>
      <c r="BT45" s="22" t="e">
        <f t="shared" ca="1" si="22"/>
        <v>#DIV/0!</v>
      </c>
      <c r="BU45" s="22" t="e">
        <f t="shared" ca="1" si="23"/>
        <v>#DIV/0!</v>
      </c>
      <c r="BV45" s="22" t="e">
        <f t="shared" ca="1" si="24"/>
        <v>#DIV/0!</v>
      </c>
      <c r="BW45" s="22" t="e">
        <f t="shared" ca="1" si="25"/>
        <v>#DIV/0!</v>
      </c>
      <c r="BX45" s="22" t="e">
        <f t="shared" ca="1" si="26"/>
        <v>#DIV/0!</v>
      </c>
      <c r="BY45" s="22" t="e">
        <f t="shared" ca="1" si="27"/>
        <v>#DIV/0!</v>
      </c>
      <c r="BZ45" s="22" t="e">
        <f t="shared" ca="1" si="28"/>
        <v>#DIV/0!</v>
      </c>
      <c r="CA45" s="22" t="e">
        <f t="shared" ca="1" si="29"/>
        <v>#DIV/0!</v>
      </c>
      <c r="CB45" s="22" t="e">
        <f t="shared" ca="1" si="30"/>
        <v>#DIV/0!</v>
      </c>
    </row>
    <row r="46" spans="2:80" ht="15" hidden="1" customHeight="1" x14ac:dyDescent="0.15">
      <c r="B46" s="4" t="str">
        <f ca="1">图表数据!E45</f>
        <v>2016-01</v>
      </c>
      <c r="C46" s="24">
        <v>0</v>
      </c>
      <c r="D46" s="24">
        <v>0</v>
      </c>
      <c r="E46" s="24">
        <v>0</v>
      </c>
      <c r="F46" s="24">
        <v>0</v>
      </c>
      <c r="G46" s="24">
        <v>0</v>
      </c>
      <c r="H46" s="24">
        <v>0</v>
      </c>
      <c r="I46" s="24">
        <v>0</v>
      </c>
      <c r="J46" s="24">
        <v>0</v>
      </c>
      <c r="K46" s="24">
        <v>0</v>
      </c>
      <c r="L46" s="24">
        <v>0</v>
      </c>
      <c r="M46" s="24">
        <v>0</v>
      </c>
      <c r="N46" s="24">
        <v>0</v>
      </c>
      <c r="O46" s="24">
        <v>0</v>
      </c>
      <c r="P46" s="24">
        <v>0</v>
      </c>
      <c r="R46" s="4" t="str">
        <f ca="1">图表数据!E45</f>
        <v>2016-01</v>
      </c>
      <c r="S46" s="4">
        <f ca="1">图表数据!F45</f>
        <v>0</v>
      </c>
      <c r="T46" s="4">
        <f ca="1">图表数据!G45</f>
        <v>0</v>
      </c>
      <c r="U46" s="4">
        <f ca="1">图表数据!H45</f>
        <v>0</v>
      </c>
      <c r="V46" s="4">
        <f ca="1">图表数据!I45</f>
        <v>0</v>
      </c>
      <c r="W46" s="4">
        <f ca="1">图表数据!J45</f>
        <v>0</v>
      </c>
      <c r="X46" s="4">
        <f ca="1">图表数据!K45</f>
        <v>0</v>
      </c>
      <c r="Y46" s="4">
        <f ca="1">图表数据!L45</f>
        <v>0</v>
      </c>
      <c r="Z46" s="4">
        <f ca="1">图表数据!M45</f>
        <v>0</v>
      </c>
      <c r="AA46" s="4">
        <f ca="1">图表数据!N45</f>
        <v>0</v>
      </c>
      <c r="AB46" s="4">
        <f ca="1">图表数据!O45</f>
        <v>0</v>
      </c>
      <c r="AC46" s="4">
        <f ca="1">图表数据!P45</f>
        <v>0</v>
      </c>
      <c r="AD46" s="4">
        <f ca="1">图表数据!Q45</f>
        <v>0</v>
      </c>
      <c r="AE46" s="4">
        <f ca="1">图表数据!R45</f>
        <v>0</v>
      </c>
      <c r="AF46" s="4">
        <f ca="1">图表数据!S45</f>
        <v>0</v>
      </c>
      <c r="AH46" s="4" t="str">
        <f t="shared" ca="1" si="1"/>
        <v>2016-01</v>
      </c>
      <c r="AI46" s="22" t="e">
        <f t="shared" ref="AI46:AV46" ca="1" si="63">S46/S34-1</f>
        <v>#DIV/0!</v>
      </c>
      <c r="AJ46" s="22" t="e">
        <f t="shared" ca="1" si="63"/>
        <v>#DIV/0!</v>
      </c>
      <c r="AK46" s="22">
        <f t="shared" ca="1" si="63"/>
        <v>-1</v>
      </c>
      <c r="AL46" s="22" t="e">
        <f t="shared" ca="1" si="63"/>
        <v>#DIV/0!</v>
      </c>
      <c r="AM46" s="22" t="e">
        <f t="shared" ca="1" si="63"/>
        <v>#DIV/0!</v>
      </c>
      <c r="AN46" s="22" t="e">
        <f t="shared" ca="1" si="63"/>
        <v>#DIV/0!</v>
      </c>
      <c r="AO46" s="22" t="e">
        <f t="shared" ca="1" si="63"/>
        <v>#DIV/0!</v>
      </c>
      <c r="AP46" s="22" t="e">
        <f t="shared" ca="1" si="63"/>
        <v>#DIV/0!</v>
      </c>
      <c r="AQ46" s="22" t="e">
        <f t="shared" ca="1" si="63"/>
        <v>#DIV/0!</v>
      </c>
      <c r="AR46" s="22" t="e">
        <f t="shared" ca="1" si="63"/>
        <v>#DIV/0!</v>
      </c>
      <c r="AS46" s="22" t="e">
        <f t="shared" ca="1" si="63"/>
        <v>#DIV/0!</v>
      </c>
      <c r="AT46" s="22" t="e">
        <f t="shared" ca="1" si="63"/>
        <v>#DIV/0!</v>
      </c>
      <c r="AU46" s="22" t="e">
        <f t="shared" ca="1" si="63"/>
        <v>#DIV/0!</v>
      </c>
      <c r="AV46" s="22">
        <f t="shared" ca="1" si="63"/>
        <v>-1</v>
      </c>
      <c r="AX46" s="4" t="str">
        <f t="shared" ca="1" si="2"/>
        <v>2016-01</v>
      </c>
      <c r="AY46" s="22" t="e">
        <f t="shared" ca="1" si="31"/>
        <v>#DIV/0!</v>
      </c>
      <c r="AZ46" s="22" t="e">
        <f t="shared" ca="1" si="3"/>
        <v>#DIV/0!</v>
      </c>
      <c r="BA46" s="22" t="e">
        <f t="shared" ca="1" si="4"/>
        <v>#DIV/0!</v>
      </c>
      <c r="BB46" s="22" t="e">
        <f t="shared" ca="1" si="5"/>
        <v>#DIV/0!</v>
      </c>
      <c r="BC46" s="22" t="e">
        <f t="shared" ca="1" si="6"/>
        <v>#DIV/0!</v>
      </c>
      <c r="BD46" s="22" t="e">
        <f t="shared" ca="1" si="7"/>
        <v>#DIV/0!</v>
      </c>
      <c r="BE46" s="22" t="e">
        <f t="shared" ca="1" si="8"/>
        <v>#DIV/0!</v>
      </c>
      <c r="BF46" s="22" t="e">
        <f t="shared" ca="1" si="9"/>
        <v>#DIV/0!</v>
      </c>
      <c r="BG46" s="22" t="e">
        <f t="shared" ca="1" si="10"/>
        <v>#DIV/0!</v>
      </c>
      <c r="BH46" s="22" t="e">
        <f t="shared" ca="1" si="11"/>
        <v>#DIV/0!</v>
      </c>
      <c r="BI46" s="22" t="e">
        <f t="shared" ca="1" si="12"/>
        <v>#DIV/0!</v>
      </c>
      <c r="BJ46" s="22" t="e">
        <f t="shared" ca="1" si="13"/>
        <v>#DIV/0!</v>
      </c>
      <c r="BK46" s="22" t="e">
        <f t="shared" ca="1" si="14"/>
        <v>#DIV/0!</v>
      </c>
      <c r="BL46" s="22" t="e">
        <f t="shared" ca="1" si="15"/>
        <v>#DIV/0!</v>
      </c>
      <c r="BN46" s="4" t="str">
        <f t="shared" ca="1" si="16"/>
        <v>2016-01</v>
      </c>
      <c r="BO46" s="22" t="e">
        <f t="shared" ca="1" si="17"/>
        <v>#DIV/0!</v>
      </c>
      <c r="BP46" s="22" t="e">
        <f t="shared" ca="1" si="18"/>
        <v>#DIV/0!</v>
      </c>
      <c r="BQ46" s="22" t="e">
        <f t="shared" ca="1" si="19"/>
        <v>#DIV/0!</v>
      </c>
      <c r="BR46" s="22" t="e">
        <f t="shared" ca="1" si="20"/>
        <v>#DIV/0!</v>
      </c>
      <c r="BS46" s="22" t="e">
        <f t="shared" ca="1" si="21"/>
        <v>#DIV/0!</v>
      </c>
      <c r="BT46" s="22" t="e">
        <f t="shared" ca="1" si="22"/>
        <v>#DIV/0!</v>
      </c>
      <c r="BU46" s="22" t="e">
        <f t="shared" ca="1" si="23"/>
        <v>#DIV/0!</v>
      </c>
      <c r="BV46" s="22" t="e">
        <f t="shared" ca="1" si="24"/>
        <v>#DIV/0!</v>
      </c>
      <c r="BW46" s="22" t="e">
        <f t="shared" ca="1" si="25"/>
        <v>#DIV/0!</v>
      </c>
      <c r="BX46" s="22" t="e">
        <f t="shared" ca="1" si="26"/>
        <v>#DIV/0!</v>
      </c>
      <c r="BY46" s="22" t="e">
        <f t="shared" ca="1" si="27"/>
        <v>#DIV/0!</v>
      </c>
      <c r="BZ46" s="22" t="e">
        <f t="shared" ca="1" si="28"/>
        <v>#DIV/0!</v>
      </c>
      <c r="CA46" s="22" t="e">
        <f t="shared" ca="1" si="29"/>
        <v>#DIV/0!</v>
      </c>
      <c r="CB46" s="22" t="e">
        <f t="shared" ca="1" si="30"/>
        <v>#DIV/0!</v>
      </c>
    </row>
    <row r="47" spans="2:80" ht="15" hidden="1" customHeight="1" x14ac:dyDescent="0.15">
      <c r="B47" s="4" t="str">
        <f ca="1">图表数据!E46</f>
        <v>2016-02</v>
      </c>
      <c r="C47" s="24">
        <v>0</v>
      </c>
      <c r="D47" s="24">
        <v>0</v>
      </c>
      <c r="E47" s="24">
        <v>0</v>
      </c>
      <c r="F47" s="24">
        <v>0</v>
      </c>
      <c r="G47" s="24">
        <v>0</v>
      </c>
      <c r="H47" s="24">
        <v>0</v>
      </c>
      <c r="I47" s="24">
        <v>0</v>
      </c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R47" s="4" t="str">
        <f ca="1">图表数据!E46</f>
        <v>2016-02</v>
      </c>
      <c r="S47" s="4">
        <f ca="1">图表数据!F46</f>
        <v>0</v>
      </c>
      <c r="T47" s="4">
        <f ca="1">图表数据!G46</f>
        <v>0</v>
      </c>
      <c r="U47" s="4">
        <f ca="1">图表数据!H46</f>
        <v>0</v>
      </c>
      <c r="V47" s="4">
        <f ca="1">图表数据!I46</f>
        <v>0</v>
      </c>
      <c r="W47" s="4">
        <f ca="1">图表数据!J46</f>
        <v>0</v>
      </c>
      <c r="X47" s="4">
        <f ca="1">图表数据!K46</f>
        <v>0</v>
      </c>
      <c r="Y47" s="4">
        <f ca="1">图表数据!L46</f>
        <v>0</v>
      </c>
      <c r="Z47" s="4">
        <f ca="1">图表数据!M46</f>
        <v>0</v>
      </c>
      <c r="AA47" s="4">
        <f ca="1">图表数据!N46</f>
        <v>0</v>
      </c>
      <c r="AB47" s="4">
        <f ca="1">图表数据!O46</f>
        <v>0</v>
      </c>
      <c r="AC47" s="4">
        <f ca="1">图表数据!P46</f>
        <v>0</v>
      </c>
      <c r="AD47" s="4">
        <f ca="1">图表数据!Q46</f>
        <v>0</v>
      </c>
      <c r="AE47" s="4">
        <f ca="1">图表数据!R46</f>
        <v>0</v>
      </c>
      <c r="AF47" s="4">
        <f ca="1">图表数据!S46</f>
        <v>0</v>
      </c>
      <c r="AH47" s="4" t="str">
        <f t="shared" ca="1" si="1"/>
        <v>2016-02</v>
      </c>
      <c r="AI47" s="22" t="e">
        <f t="shared" ref="AI47:AV47" ca="1" si="64">S47/S35-1</f>
        <v>#DIV/0!</v>
      </c>
      <c r="AJ47" s="22" t="e">
        <f t="shared" ca="1" si="64"/>
        <v>#DIV/0!</v>
      </c>
      <c r="AK47" s="22" t="e">
        <f t="shared" ca="1" si="64"/>
        <v>#DIV/0!</v>
      </c>
      <c r="AL47" s="22" t="e">
        <f t="shared" ca="1" si="64"/>
        <v>#DIV/0!</v>
      </c>
      <c r="AM47" s="22" t="e">
        <f t="shared" ca="1" si="64"/>
        <v>#DIV/0!</v>
      </c>
      <c r="AN47" s="22" t="e">
        <f t="shared" ca="1" si="64"/>
        <v>#DIV/0!</v>
      </c>
      <c r="AO47" s="22" t="e">
        <f t="shared" ca="1" si="64"/>
        <v>#DIV/0!</v>
      </c>
      <c r="AP47" s="22" t="e">
        <f t="shared" ca="1" si="64"/>
        <v>#DIV/0!</v>
      </c>
      <c r="AQ47" s="22" t="e">
        <f t="shared" ca="1" si="64"/>
        <v>#DIV/0!</v>
      </c>
      <c r="AR47" s="22" t="e">
        <f t="shared" ca="1" si="64"/>
        <v>#DIV/0!</v>
      </c>
      <c r="AS47" s="22" t="e">
        <f t="shared" ca="1" si="64"/>
        <v>#DIV/0!</v>
      </c>
      <c r="AT47" s="22" t="e">
        <f t="shared" ca="1" si="64"/>
        <v>#DIV/0!</v>
      </c>
      <c r="AU47" s="22" t="e">
        <f t="shared" ca="1" si="64"/>
        <v>#DIV/0!</v>
      </c>
      <c r="AV47" s="22" t="e">
        <f t="shared" ca="1" si="64"/>
        <v>#DIV/0!</v>
      </c>
      <c r="AX47" s="4" t="str">
        <f t="shared" ca="1" si="2"/>
        <v>2016-02</v>
      </c>
      <c r="AY47" s="22" t="e">
        <f t="shared" ca="1" si="31"/>
        <v>#DIV/0!</v>
      </c>
      <c r="AZ47" s="22" t="e">
        <f t="shared" ca="1" si="3"/>
        <v>#DIV/0!</v>
      </c>
      <c r="BA47" s="22" t="e">
        <f t="shared" ca="1" si="4"/>
        <v>#DIV/0!</v>
      </c>
      <c r="BB47" s="22" t="e">
        <f t="shared" ca="1" si="5"/>
        <v>#DIV/0!</v>
      </c>
      <c r="BC47" s="22" t="e">
        <f t="shared" ca="1" si="6"/>
        <v>#DIV/0!</v>
      </c>
      <c r="BD47" s="22" t="e">
        <f t="shared" ca="1" si="7"/>
        <v>#DIV/0!</v>
      </c>
      <c r="BE47" s="22" t="e">
        <f t="shared" ca="1" si="8"/>
        <v>#DIV/0!</v>
      </c>
      <c r="BF47" s="22" t="e">
        <f t="shared" ca="1" si="9"/>
        <v>#DIV/0!</v>
      </c>
      <c r="BG47" s="22" t="e">
        <f t="shared" ca="1" si="10"/>
        <v>#DIV/0!</v>
      </c>
      <c r="BH47" s="22" t="e">
        <f t="shared" ca="1" si="11"/>
        <v>#DIV/0!</v>
      </c>
      <c r="BI47" s="22" t="e">
        <f t="shared" ca="1" si="12"/>
        <v>#DIV/0!</v>
      </c>
      <c r="BJ47" s="22" t="e">
        <f t="shared" ca="1" si="13"/>
        <v>#DIV/0!</v>
      </c>
      <c r="BK47" s="22" t="e">
        <f t="shared" ca="1" si="14"/>
        <v>#DIV/0!</v>
      </c>
      <c r="BL47" s="22" t="e">
        <f t="shared" ca="1" si="15"/>
        <v>#DIV/0!</v>
      </c>
      <c r="BN47" s="4" t="str">
        <f t="shared" ca="1" si="16"/>
        <v>2016-02</v>
      </c>
      <c r="BO47" s="22" t="e">
        <f t="shared" ca="1" si="17"/>
        <v>#DIV/0!</v>
      </c>
      <c r="BP47" s="22" t="e">
        <f t="shared" ca="1" si="18"/>
        <v>#DIV/0!</v>
      </c>
      <c r="BQ47" s="22" t="e">
        <f t="shared" ca="1" si="19"/>
        <v>#DIV/0!</v>
      </c>
      <c r="BR47" s="22" t="e">
        <f t="shared" ca="1" si="20"/>
        <v>#DIV/0!</v>
      </c>
      <c r="BS47" s="22" t="e">
        <f t="shared" ca="1" si="21"/>
        <v>#DIV/0!</v>
      </c>
      <c r="BT47" s="22" t="e">
        <f t="shared" ca="1" si="22"/>
        <v>#DIV/0!</v>
      </c>
      <c r="BU47" s="22" t="e">
        <f t="shared" ca="1" si="23"/>
        <v>#DIV/0!</v>
      </c>
      <c r="BV47" s="22" t="e">
        <f t="shared" ca="1" si="24"/>
        <v>#DIV/0!</v>
      </c>
      <c r="BW47" s="22" t="e">
        <f t="shared" ca="1" si="25"/>
        <v>#DIV/0!</v>
      </c>
      <c r="BX47" s="22" t="e">
        <f t="shared" ca="1" si="26"/>
        <v>#DIV/0!</v>
      </c>
      <c r="BY47" s="22" t="e">
        <f t="shared" ca="1" si="27"/>
        <v>#DIV/0!</v>
      </c>
      <c r="BZ47" s="22" t="e">
        <f t="shared" ca="1" si="28"/>
        <v>#DIV/0!</v>
      </c>
      <c r="CA47" s="22" t="e">
        <f t="shared" ca="1" si="29"/>
        <v>#DIV/0!</v>
      </c>
      <c r="CB47" s="22" t="e">
        <f t="shared" ca="1" si="30"/>
        <v>#DIV/0!</v>
      </c>
    </row>
    <row r="48" spans="2:80" ht="15" hidden="1" customHeight="1" x14ac:dyDescent="0.15">
      <c r="B48" s="4" t="str">
        <f ca="1">图表数据!E47</f>
        <v>2016-03</v>
      </c>
      <c r="C48" s="24">
        <v>0</v>
      </c>
      <c r="D48" s="24">
        <v>0</v>
      </c>
      <c r="E48" s="24">
        <v>0</v>
      </c>
      <c r="F48" s="24">
        <v>0</v>
      </c>
      <c r="G48" s="24">
        <v>0</v>
      </c>
      <c r="H48" s="24">
        <v>0</v>
      </c>
      <c r="I48" s="24">
        <v>0</v>
      </c>
      <c r="J48" s="24">
        <v>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R48" s="4" t="str">
        <f ca="1">图表数据!E47</f>
        <v>2016-03</v>
      </c>
      <c r="S48" s="4">
        <f ca="1">图表数据!F47</f>
        <v>0</v>
      </c>
      <c r="T48" s="4">
        <f ca="1">图表数据!G47</f>
        <v>0</v>
      </c>
      <c r="U48" s="4">
        <f ca="1">图表数据!H47</f>
        <v>0</v>
      </c>
      <c r="V48" s="4">
        <f ca="1">图表数据!I47</f>
        <v>0</v>
      </c>
      <c r="W48" s="4">
        <f ca="1">图表数据!J47</f>
        <v>0</v>
      </c>
      <c r="X48" s="4">
        <f ca="1">图表数据!K47</f>
        <v>0</v>
      </c>
      <c r="Y48" s="4">
        <f ca="1">图表数据!L47</f>
        <v>0</v>
      </c>
      <c r="Z48" s="4">
        <f ca="1">图表数据!M47</f>
        <v>0</v>
      </c>
      <c r="AA48" s="4">
        <f ca="1">图表数据!N47</f>
        <v>0</v>
      </c>
      <c r="AB48" s="4">
        <f ca="1">图表数据!O47</f>
        <v>0</v>
      </c>
      <c r="AC48" s="4">
        <f ca="1">图表数据!P47</f>
        <v>0</v>
      </c>
      <c r="AD48" s="4">
        <f ca="1">图表数据!Q47</f>
        <v>0</v>
      </c>
      <c r="AE48" s="4">
        <f ca="1">图表数据!R47</f>
        <v>0</v>
      </c>
      <c r="AF48" s="4">
        <f ca="1">图表数据!S47</f>
        <v>0</v>
      </c>
      <c r="AH48" s="4" t="str">
        <f t="shared" ca="1" si="1"/>
        <v>2016-03</v>
      </c>
      <c r="AI48" s="22" t="e">
        <f t="shared" ref="AI48:AV48" ca="1" si="65">S48/S36-1</f>
        <v>#DIV/0!</v>
      </c>
      <c r="AJ48" s="22" t="e">
        <f t="shared" ca="1" si="65"/>
        <v>#DIV/0!</v>
      </c>
      <c r="AK48" s="22" t="e">
        <f t="shared" ca="1" si="65"/>
        <v>#DIV/0!</v>
      </c>
      <c r="AL48" s="22" t="e">
        <f t="shared" ca="1" si="65"/>
        <v>#DIV/0!</v>
      </c>
      <c r="AM48" s="22" t="e">
        <f t="shared" ca="1" si="65"/>
        <v>#DIV/0!</v>
      </c>
      <c r="AN48" s="22" t="e">
        <f t="shared" ca="1" si="65"/>
        <v>#DIV/0!</v>
      </c>
      <c r="AO48" s="22" t="e">
        <f t="shared" ca="1" si="65"/>
        <v>#DIV/0!</v>
      </c>
      <c r="AP48" s="22" t="e">
        <f t="shared" ca="1" si="65"/>
        <v>#DIV/0!</v>
      </c>
      <c r="AQ48" s="22" t="e">
        <f t="shared" ca="1" si="65"/>
        <v>#DIV/0!</v>
      </c>
      <c r="AR48" s="22" t="e">
        <f t="shared" ca="1" si="65"/>
        <v>#DIV/0!</v>
      </c>
      <c r="AS48" s="22" t="e">
        <f t="shared" ca="1" si="65"/>
        <v>#DIV/0!</v>
      </c>
      <c r="AT48" s="22" t="e">
        <f t="shared" ca="1" si="65"/>
        <v>#DIV/0!</v>
      </c>
      <c r="AU48" s="22" t="e">
        <f t="shared" ca="1" si="65"/>
        <v>#DIV/0!</v>
      </c>
      <c r="AV48" s="22" t="e">
        <f t="shared" ca="1" si="65"/>
        <v>#DIV/0!</v>
      </c>
      <c r="AX48" s="4" t="str">
        <f t="shared" ca="1" si="2"/>
        <v>2016-03</v>
      </c>
      <c r="AY48" s="22" t="e">
        <f t="shared" ca="1" si="31"/>
        <v>#DIV/0!</v>
      </c>
      <c r="AZ48" s="22" t="e">
        <f t="shared" ca="1" si="3"/>
        <v>#DIV/0!</v>
      </c>
      <c r="BA48" s="22" t="e">
        <f t="shared" ca="1" si="4"/>
        <v>#DIV/0!</v>
      </c>
      <c r="BB48" s="22" t="e">
        <f t="shared" ca="1" si="5"/>
        <v>#DIV/0!</v>
      </c>
      <c r="BC48" s="22" t="e">
        <f t="shared" ca="1" si="6"/>
        <v>#DIV/0!</v>
      </c>
      <c r="BD48" s="22" t="e">
        <f t="shared" ca="1" si="7"/>
        <v>#DIV/0!</v>
      </c>
      <c r="BE48" s="22" t="e">
        <f t="shared" ca="1" si="8"/>
        <v>#DIV/0!</v>
      </c>
      <c r="BF48" s="22" t="e">
        <f t="shared" ca="1" si="9"/>
        <v>#DIV/0!</v>
      </c>
      <c r="BG48" s="22" t="e">
        <f t="shared" ca="1" si="10"/>
        <v>#DIV/0!</v>
      </c>
      <c r="BH48" s="22" t="e">
        <f t="shared" ca="1" si="11"/>
        <v>#DIV/0!</v>
      </c>
      <c r="BI48" s="22" t="e">
        <f t="shared" ca="1" si="12"/>
        <v>#DIV/0!</v>
      </c>
      <c r="BJ48" s="22" t="e">
        <f t="shared" ca="1" si="13"/>
        <v>#DIV/0!</v>
      </c>
      <c r="BK48" s="22" t="e">
        <f t="shared" ca="1" si="14"/>
        <v>#DIV/0!</v>
      </c>
      <c r="BL48" s="22" t="e">
        <f t="shared" ca="1" si="15"/>
        <v>#DIV/0!</v>
      </c>
      <c r="BN48" s="4" t="str">
        <f t="shared" ca="1" si="16"/>
        <v>2016-03</v>
      </c>
      <c r="BO48" s="22" t="e">
        <f t="shared" ca="1" si="17"/>
        <v>#DIV/0!</v>
      </c>
      <c r="BP48" s="22" t="e">
        <f t="shared" ca="1" si="18"/>
        <v>#DIV/0!</v>
      </c>
      <c r="BQ48" s="22" t="e">
        <f t="shared" ca="1" si="19"/>
        <v>#DIV/0!</v>
      </c>
      <c r="BR48" s="22" t="e">
        <f t="shared" ca="1" si="20"/>
        <v>#DIV/0!</v>
      </c>
      <c r="BS48" s="22" t="e">
        <f t="shared" ca="1" si="21"/>
        <v>#DIV/0!</v>
      </c>
      <c r="BT48" s="22" t="e">
        <f t="shared" ca="1" si="22"/>
        <v>#DIV/0!</v>
      </c>
      <c r="BU48" s="22" t="e">
        <f t="shared" ca="1" si="23"/>
        <v>#DIV/0!</v>
      </c>
      <c r="BV48" s="22" t="e">
        <f t="shared" ca="1" si="24"/>
        <v>#DIV/0!</v>
      </c>
      <c r="BW48" s="22" t="e">
        <f t="shared" ca="1" si="25"/>
        <v>#DIV/0!</v>
      </c>
      <c r="BX48" s="22" t="e">
        <f t="shared" ca="1" si="26"/>
        <v>#DIV/0!</v>
      </c>
      <c r="BY48" s="22" t="e">
        <f t="shared" ca="1" si="27"/>
        <v>#DIV/0!</v>
      </c>
      <c r="BZ48" s="22" t="e">
        <f t="shared" ca="1" si="28"/>
        <v>#DIV/0!</v>
      </c>
      <c r="CA48" s="22" t="e">
        <f t="shared" ca="1" si="29"/>
        <v>#DIV/0!</v>
      </c>
      <c r="CB48" s="22" t="e">
        <f t="shared" ca="1" si="30"/>
        <v>#DIV/0!</v>
      </c>
    </row>
    <row r="49" spans="2:80" ht="15" hidden="1" customHeight="1" x14ac:dyDescent="0.15">
      <c r="B49" s="4" t="str">
        <f ca="1">图表数据!E48</f>
        <v>2016-04</v>
      </c>
      <c r="C49" s="24">
        <v>2387</v>
      </c>
      <c r="D49" s="24">
        <v>0</v>
      </c>
      <c r="E49" s="24">
        <v>11</v>
      </c>
      <c r="F49" s="24">
        <v>0</v>
      </c>
      <c r="G49" s="24">
        <v>0</v>
      </c>
      <c r="H49" s="24">
        <v>0</v>
      </c>
      <c r="I49" s="24">
        <v>0</v>
      </c>
      <c r="J49" s="24">
        <v>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2399</v>
      </c>
      <c r="R49" s="4" t="str">
        <f ca="1">图表数据!E48</f>
        <v>2016-04</v>
      </c>
      <c r="S49" s="4">
        <f ca="1">图表数据!F48</f>
        <v>2387</v>
      </c>
      <c r="T49" s="4">
        <f ca="1">图表数据!G48</f>
        <v>0</v>
      </c>
      <c r="U49" s="4">
        <f ca="1">图表数据!H48</f>
        <v>11</v>
      </c>
      <c r="V49" s="4">
        <f ca="1">图表数据!I48</f>
        <v>0</v>
      </c>
      <c r="W49" s="4">
        <f ca="1">图表数据!J48</f>
        <v>0</v>
      </c>
      <c r="X49" s="4">
        <f ca="1">图表数据!K48</f>
        <v>0</v>
      </c>
      <c r="Y49" s="4">
        <f ca="1">图表数据!L48</f>
        <v>0</v>
      </c>
      <c r="Z49" s="4">
        <f ca="1">图表数据!M48</f>
        <v>0</v>
      </c>
      <c r="AA49" s="4">
        <f ca="1">图表数据!N48</f>
        <v>0</v>
      </c>
      <c r="AB49" s="4">
        <f ca="1">图表数据!O48</f>
        <v>0</v>
      </c>
      <c r="AC49" s="4">
        <f ca="1">图表数据!P48</f>
        <v>0</v>
      </c>
      <c r="AD49" s="4">
        <f ca="1">图表数据!Q48</f>
        <v>0</v>
      </c>
      <c r="AE49" s="4">
        <f ca="1">图表数据!R48</f>
        <v>0</v>
      </c>
      <c r="AF49" s="4">
        <f ca="1">图表数据!S48</f>
        <v>2399</v>
      </c>
      <c r="AH49" s="4" t="str">
        <f t="shared" ca="1" si="1"/>
        <v>2016-04</v>
      </c>
      <c r="AI49" s="22" t="e">
        <f t="shared" ref="AI49:AV49" ca="1" si="66">S49/S37-1</f>
        <v>#DIV/0!</v>
      </c>
      <c r="AJ49" s="22" t="e">
        <f t="shared" ca="1" si="66"/>
        <v>#DIV/0!</v>
      </c>
      <c r="AK49" s="22" t="e">
        <f t="shared" ca="1" si="66"/>
        <v>#DIV/0!</v>
      </c>
      <c r="AL49" s="22" t="e">
        <f t="shared" ca="1" si="66"/>
        <v>#DIV/0!</v>
      </c>
      <c r="AM49" s="22" t="e">
        <f t="shared" ca="1" si="66"/>
        <v>#DIV/0!</v>
      </c>
      <c r="AN49" s="22" t="e">
        <f t="shared" ca="1" si="66"/>
        <v>#DIV/0!</v>
      </c>
      <c r="AO49" s="22" t="e">
        <f t="shared" ca="1" si="66"/>
        <v>#DIV/0!</v>
      </c>
      <c r="AP49" s="22" t="e">
        <f t="shared" ca="1" si="66"/>
        <v>#DIV/0!</v>
      </c>
      <c r="AQ49" s="22" t="e">
        <f t="shared" ca="1" si="66"/>
        <v>#DIV/0!</v>
      </c>
      <c r="AR49" s="22" t="e">
        <f t="shared" ca="1" si="66"/>
        <v>#DIV/0!</v>
      </c>
      <c r="AS49" s="22" t="e">
        <f t="shared" ca="1" si="66"/>
        <v>#DIV/0!</v>
      </c>
      <c r="AT49" s="22" t="e">
        <f t="shared" ca="1" si="66"/>
        <v>#DIV/0!</v>
      </c>
      <c r="AU49" s="22" t="e">
        <f t="shared" ca="1" si="66"/>
        <v>#DIV/0!</v>
      </c>
      <c r="AV49" s="22" t="e">
        <f t="shared" ca="1" si="66"/>
        <v>#DIV/0!</v>
      </c>
      <c r="AX49" s="4" t="str">
        <f t="shared" ca="1" si="2"/>
        <v>2016-04</v>
      </c>
      <c r="AY49" s="22" t="e">
        <f t="shared" ca="1" si="31"/>
        <v>#DIV/0!</v>
      </c>
      <c r="AZ49" s="22" t="e">
        <f t="shared" ca="1" si="3"/>
        <v>#DIV/0!</v>
      </c>
      <c r="BA49" s="22" t="e">
        <f t="shared" ca="1" si="4"/>
        <v>#DIV/0!</v>
      </c>
      <c r="BB49" s="22" t="e">
        <f t="shared" ca="1" si="5"/>
        <v>#DIV/0!</v>
      </c>
      <c r="BC49" s="22" t="e">
        <f t="shared" ca="1" si="6"/>
        <v>#DIV/0!</v>
      </c>
      <c r="BD49" s="22" t="e">
        <f t="shared" ca="1" si="7"/>
        <v>#DIV/0!</v>
      </c>
      <c r="BE49" s="22" t="e">
        <f t="shared" ca="1" si="8"/>
        <v>#DIV/0!</v>
      </c>
      <c r="BF49" s="22" t="e">
        <f t="shared" ca="1" si="9"/>
        <v>#DIV/0!</v>
      </c>
      <c r="BG49" s="22" t="e">
        <f t="shared" ca="1" si="10"/>
        <v>#DIV/0!</v>
      </c>
      <c r="BH49" s="22" t="e">
        <f t="shared" ca="1" si="11"/>
        <v>#DIV/0!</v>
      </c>
      <c r="BI49" s="22" t="e">
        <f t="shared" ca="1" si="12"/>
        <v>#DIV/0!</v>
      </c>
      <c r="BJ49" s="22" t="e">
        <f t="shared" ca="1" si="13"/>
        <v>#DIV/0!</v>
      </c>
      <c r="BK49" s="22" t="e">
        <f t="shared" ca="1" si="14"/>
        <v>#DIV/0!</v>
      </c>
      <c r="BL49" s="22" t="e">
        <f t="shared" ca="1" si="15"/>
        <v>#DIV/0!</v>
      </c>
      <c r="BN49" s="4" t="str">
        <f t="shared" ca="1" si="16"/>
        <v>2016-04</v>
      </c>
      <c r="BO49" s="22">
        <f t="shared" ca="1" si="17"/>
        <v>0.99499791579824926</v>
      </c>
      <c r="BP49" s="22">
        <f t="shared" ca="1" si="18"/>
        <v>0</v>
      </c>
      <c r="BQ49" s="22">
        <f t="shared" ca="1" si="19"/>
        <v>4.5852438516048354E-3</v>
      </c>
      <c r="BR49" s="22">
        <f t="shared" ca="1" si="20"/>
        <v>0</v>
      </c>
      <c r="BS49" s="22">
        <f t="shared" ca="1" si="21"/>
        <v>0</v>
      </c>
      <c r="BT49" s="22">
        <f t="shared" ca="1" si="22"/>
        <v>0</v>
      </c>
      <c r="BU49" s="22">
        <f t="shared" ca="1" si="23"/>
        <v>0</v>
      </c>
      <c r="BV49" s="22">
        <f t="shared" ca="1" si="24"/>
        <v>0</v>
      </c>
      <c r="BW49" s="22">
        <f t="shared" ca="1" si="25"/>
        <v>0</v>
      </c>
      <c r="BX49" s="22">
        <f t="shared" ca="1" si="26"/>
        <v>0</v>
      </c>
      <c r="BY49" s="22">
        <f t="shared" ca="1" si="27"/>
        <v>0</v>
      </c>
      <c r="BZ49" s="22">
        <f t="shared" ca="1" si="28"/>
        <v>0</v>
      </c>
      <c r="CA49" s="22">
        <f t="shared" ca="1" si="29"/>
        <v>0</v>
      </c>
      <c r="CB49" s="22">
        <f t="shared" ca="1" si="30"/>
        <v>1</v>
      </c>
    </row>
    <row r="50" spans="2:80" ht="15" hidden="1" customHeight="1" x14ac:dyDescent="0.15">
      <c r="B50" s="4" t="str">
        <f ca="1">图表数据!E49</f>
        <v>2016-05</v>
      </c>
      <c r="C50" s="24">
        <v>6008</v>
      </c>
      <c r="D50" s="24">
        <v>7627</v>
      </c>
      <c r="E50" s="24">
        <v>11217</v>
      </c>
      <c r="F50" s="24">
        <v>11333</v>
      </c>
      <c r="G50" s="24">
        <v>0</v>
      </c>
      <c r="H50" s="24">
        <v>207</v>
      </c>
      <c r="I50" s="24">
        <v>0</v>
      </c>
      <c r="J50" s="24">
        <v>463</v>
      </c>
      <c r="K50" s="24">
        <v>14500</v>
      </c>
      <c r="L50" s="24">
        <v>7596</v>
      </c>
      <c r="M50" s="24">
        <v>0</v>
      </c>
      <c r="N50" s="24">
        <v>393</v>
      </c>
      <c r="O50" s="24">
        <v>2970</v>
      </c>
      <c r="P50" s="24">
        <v>62314</v>
      </c>
      <c r="R50" s="4" t="str">
        <f ca="1">图表数据!E49</f>
        <v>2016-05</v>
      </c>
      <c r="S50" s="4">
        <f ca="1">图表数据!F49</f>
        <v>6008</v>
      </c>
      <c r="T50" s="4">
        <f ca="1">图表数据!G49</f>
        <v>7627</v>
      </c>
      <c r="U50" s="4">
        <f ca="1">图表数据!H49</f>
        <v>11217</v>
      </c>
      <c r="V50" s="4">
        <f ca="1">图表数据!I49</f>
        <v>11333</v>
      </c>
      <c r="W50" s="4">
        <f ca="1">图表数据!J49</f>
        <v>0</v>
      </c>
      <c r="X50" s="4">
        <f ca="1">图表数据!K49</f>
        <v>207</v>
      </c>
      <c r="Y50" s="4">
        <f ca="1">图表数据!L49</f>
        <v>0</v>
      </c>
      <c r="Z50" s="4">
        <f ca="1">图表数据!M49</f>
        <v>463</v>
      </c>
      <c r="AA50" s="4">
        <f ca="1">图表数据!N49</f>
        <v>14500</v>
      </c>
      <c r="AB50" s="4">
        <f ca="1">图表数据!O49</f>
        <v>7596</v>
      </c>
      <c r="AC50" s="4">
        <f ca="1">图表数据!P49</f>
        <v>0</v>
      </c>
      <c r="AD50" s="4">
        <f ca="1">图表数据!Q49</f>
        <v>393</v>
      </c>
      <c r="AE50" s="4">
        <f ca="1">图表数据!R49</f>
        <v>2970</v>
      </c>
      <c r="AF50" s="4">
        <f ca="1">图表数据!S49</f>
        <v>62314</v>
      </c>
      <c r="AH50" s="4" t="str">
        <f t="shared" ca="1" si="1"/>
        <v>2016-05</v>
      </c>
      <c r="AI50" s="22" t="e">
        <f t="shared" ref="AI50:AV50" ca="1" si="67">S50/S38-1</f>
        <v>#DIV/0!</v>
      </c>
      <c r="AJ50" s="22" t="e">
        <f t="shared" ca="1" si="67"/>
        <v>#DIV/0!</v>
      </c>
      <c r="AK50" s="22" t="e">
        <f t="shared" ca="1" si="67"/>
        <v>#DIV/0!</v>
      </c>
      <c r="AL50" s="22" t="e">
        <f t="shared" ca="1" si="67"/>
        <v>#DIV/0!</v>
      </c>
      <c r="AM50" s="22" t="e">
        <f t="shared" ca="1" si="67"/>
        <v>#DIV/0!</v>
      </c>
      <c r="AN50" s="22" t="e">
        <f t="shared" ca="1" si="67"/>
        <v>#DIV/0!</v>
      </c>
      <c r="AO50" s="22" t="e">
        <f t="shared" ca="1" si="67"/>
        <v>#DIV/0!</v>
      </c>
      <c r="AP50" s="22" t="e">
        <f t="shared" ca="1" si="67"/>
        <v>#DIV/0!</v>
      </c>
      <c r="AQ50" s="22" t="e">
        <f t="shared" ca="1" si="67"/>
        <v>#DIV/0!</v>
      </c>
      <c r="AR50" s="22" t="e">
        <f t="shared" ca="1" si="67"/>
        <v>#DIV/0!</v>
      </c>
      <c r="AS50" s="22" t="e">
        <f t="shared" ca="1" si="67"/>
        <v>#DIV/0!</v>
      </c>
      <c r="AT50" s="22" t="e">
        <f t="shared" ca="1" si="67"/>
        <v>#DIV/0!</v>
      </c>
      <c r="AU50" s="22" t="e">
        <f t="shared" ca="1" si="67"/>
        <v>#DIV/0!</v>
      </c>
      <c r="AV50" s="22" t="e">
        <f t="shared" ca="1" si="67"/>
        <v>#DIV/0!</v>
      </c>
      <c r="AX50" s="4" t="str">
        <f t="shared" ca="1" si="2"/>
        <v>2016-05</v>
      </c>
      <c r="AY50" s="22">
        <f t="shared" ca="1" si="31"/>
        <v>1.5169669040636782</v>
      </c>
      <c r="AZ50" s="22" t="e">
        <f t="shared" ca="1" si="3"/>
        <v>#DIV/0!</v>
      </c>
      <c r="BA50" s="22">
        <f t="shared" ca="1" si="4"/>
        <v>1018.7272727272727</v>
      </c>
      <c r="BB50" s="22" t="e">
        <f t="shared" ca="1" si="5"/>
        <v>#DIV/0!</v>
      </c>
      <c r="BC50" s="22" t="e">
        <f t="shared" ca="1" si="6"/>
        <v>#DIV/0!</v>
      </c>
      <c r="BD50" s="22" t="e">
        <f t="shared" ca="1" si="7"/>
        <v>#DIV/0!</v>
      </c>
      <c r="BE50" s="22" t="e">
        <f t="shared" ca="1" si="8"/>
        <v>#DIV/0!</v>
      </c>
      <c r="BF50" s="22" t="e">
        <f t="shared" ca="1" si="9"/>
        <v>#DIV/0!</v>
      </c>
      <c r="BG50" s="22" t="e">
        <f t="shared" ca="1" si="10"/>
        <v>#DIV/0!</v>
      </c>
      <c r="BH50" s="22" t="e">
        <f t="shared" ca="1" si="11"/>
        <v>#DIV/0!</v>
      </c>
      <c r="BI50" s="22" t="e">
        <f t="shared" ca="1" si="12"/>
        <v>#DIV/0!</v>
      </c>
      <c r="BJ50" s="22" t="e">
        <f t="shared" ca="1" si="13"/>
        <v>#DIV/0!</v>
      </c>
      <c r="BK50" s="22" t="e">
        <f t="shared" ca="1" si="14"/>
        <v>#DIV/0!</v>
      </c>
      <c r="BL50" s="22">
        <f t="shared" ca="1" si="15"/>
        <v>24.974989578991245</v>
      </c>
      <c r="BN50" s="4" t="str">
        <f t="shared" ca="1" si="16"/>
        <v>2016-05</v>
      </c>
      <c r="BO50" s="22">
        <f t="shared" ca="1" si="17"/>
        <v>9.6414930834162471E-2</v>
      </c>
      <c r="BP50" s="22">
        <f t="shared" ca="1" si="18"/>
        <v>0.12239625124370125</v>
      </c>
      <c r="BQ50" s="22">
        <f t="shared" ca="1" si="19"/>
        <v>0.18000770292390153</v>
      </c>
      <c r="BR50" s="22">
        <f t="shared" ca="1" si="20"/>
        <v>0.1818692428667715</v>
      </c>
      <c r="BS50" s="22">
        <f t="shared" ca="1" si="21"/>
        <v>0</v>
      </c>
      <c r="BT50" s="22">
        <f t="shared" ca="1" si="22"/>
        <v>3.3218859325352249E-3</v>
      </c>
      <c r="BU50" s="22">
        <f t="shared" ca="1" si="23"/>
        <v>0</v>
      </c>
      <c r="BV50" s="22">
        <f t="shared" ca="1" si="24"/>
        <v>7.4301120133517346E-3</v>
      </c>
      <c r="BW50" s="22">
        <f t="shared" ca="1" si="25"/>
        <v>0.23269249285874763</v>
      </c>
      <c r="BX50" s="22">
        <f t="shared" ca="1" si="26"/>
        <v>0.12189877074172738</v>
      </c>
      <c r="BY50" s="22">
        <f t="shared" ca="1" si="27"/>
        <v>0</v>
      </c>
      <c r="BZ50" s="22">
        <f t="shared" ca="1" si="28"/>
        <v>6.3067689443784703E-3</v>
      </c>
      <c r="CA50" s="22">
        <f t="shared" ca="1" si="29"/>
        <v>4.7661841640722791E-2</v>
      </c>
      <c r="CB50" s="22">
        <f t="shared" ca="1" si="30"/>
        <v>1</v>
      </c>
    </row>
    <row r="51" spans="2:80" ht="15" hidden="1" customHeight="1" x14ac:dyDescent="0.15">
      <c r="B51" s="4" t="str">
        <f ca="1">图表数据!E50</f>
        <v>2016-06</v>
      </c>
      <c r="C51" s="24">
        <v>15616</v>
      </c>
      <c r="D51" s="24">
        <v>28034</v>
      </c>
      <c r="E51" s="24">
        <v>44117</v>
      </c>
      <c r="F51" s="24">
        <v>23575</v>
      </c>
      <c r="G51" s="24">
        <v>0</v>
      </c>
      <c r="H51" s="24">
        <v>2921</v>
      </c>
      <c r="I51" s="24">
        <v>0</v>
      </c>
      <c r="J51" s="24">
        <v>4526</v>
      </c>
      <c r="K51" s="24">
        <v>42466</v>
      </c>
      <c r="L51" s="24">
        <v>17176</v>
      </c>
      <c r="M51" s="24">
        <v>1863</v>
      </c>
      <c r="N51" s="24">
        <v>9488</v>
      </c>
      <c r="O51" s="24">
        <v>5269</v>
      </c>
      <c r="P51" s="24">
        <v>195052</v>
      </c>
      <c r="R51" s="4" t="str">
        <f ca="1">图表数据!E50</f>
        <v>2016-06</v>
      </c>
      <c r="S51" s="4">
        <f ca="1">图表数据!F50</f>
        <v>15616</v>
      </c>
      <c r="T51" s="4">
        <f ca="1">图表数据!G50</f>
        <v>28034</v>
      </c>
      <c r="U51" s="4">
        <f ca="1">图表数据!H50</f>
        <v>44117</v>
      </c>
      <c r="V51" s="4">
        <f ca="1">图表数据!I50</f>
        <v>23575</v>
      </c>
      <c r="W51" s="4">
        <f ca="1">图表数据!J50</f>
        <v>0</v>
      </c>
      <c r="X51" s="4">
        <f ca="1">图表数据!K50</f>
        <v>2921</v>
      </c>
      <c r="Y51" s="4">
        <f ca="1">图表数据!L50</f>
        <v>0</v>
      </c>
      <c r="Z51" s="4">
        <f ca="1">图表数据!M50</f>
        <v>4526</v>
      </c>
      <c r="AA51" s="4">
        <f ca="1">图表数据!N50</f>
        <v>42466</v>
      </c>
      <c r="AB51" s="4">
        <f ca="1">图表数据!O50</f>
        <v>17176</v>
      </c>
      <c r="AC51" s="4">
        <f ca="1">图表数据!P50</f>
        <v>1863</v>
      </c>
      <c r="AD51" s="4">
        <f ca="1">图表数据!Q50</f>
        <v>9488</v>
      </c>
      <c r="AE51" s="4">
        <f ca="1">图表数据!R50</f>
        <v>5269</v>
      </c>
      <c r="AF51" s="4">
        <f ca="1">图表数据!S50</f>
        <v>195052</v>
      </c>
      <c r="AH51" s="4" t="str">
        <f t="shared" ca="1" si="1"/>
        <v>2016-06</v>
      </c>
      <c r="AI51" s="22" t="e">
        <f t="shared" ref="AI51:AV51" ca="1" si="68">S51/S39-1</f>
        <v>#DIV/0!</v>
      </c>
      <c r="AJ51" s="22" t="e">
        <f t="shared" ca="1" si="68"/>
        <v>#DIV/0!</v>
      </c>
      <c r="AK51" s="22" t="e">
        <f t="shared" ca="1" si="68"/>
        <v>#DIV/0!</v>
      </c>
      <c r="AL51" s="22" t="e">
        <f t="shared" ca="1" si="68"/>
        <v>#DIV/0!</v>
      </c>
      <c r="AM51" s="22" t="e">
        <f t="shared" ca="1" si="68"/>
        <v>#DIV/0!</v>
      </c>
      <c r="AN51" s="22" t="e">
        <f t="shared" ca="1" si="68"/>
        <v>#DIV/0!</v>
      </c>
      <c r="AO51" s="22" t="e">
        <f t="shared" ca="1" si="68"/>
        <v>#DIV/0!</v>
      </c>
      <c r="AP51" s="22" t="e">
        <f t="shared" ca="1" si="68"/>
        <v>#DIV/0!</v>
      </c>
      <c r="AQ51" s="22" t="e">
        <f t="shared" ca="1" si="68"/>
        <v>#DIV/0!</v>
      </c>
      <c r="AR51" s="22" t="e">
        <f t="shared" ca="1" si="68"/>
        <v>#DIV/0!</v>
      </c>
      <c r="AS51" s="22" t="e">
        <f t="shared" ca="1" si="68"/>
        <v>#DIV/0!</v>
      </c>
      <c r="AT51" s="22" t="e">
        <f t="shared" ca="1" si="68"/>
        <v>#DIV/0!</v>
      </c>
      <c r="AU51" s="22" t="e">
        <f t="shared" ca="1" si="68"/>
        <v>#DIV/0!</v>
      </c>
      <c r="AV51" s="22" t="e">
        <f t="shared" ca="1" si="68"/>
        <v>#DIV/0!</v>
      </c>
      <c r="AX51" s="4" t="str">
        <f t="shared" ca="1" si="2"/>
        <v>2016-06</v>
      </c>
      <c r="AY51" s="22">
        <f t="shared" ca="1" si="31"/>
        <v>1.5992010652463384</v>
      </c>
      <c r="AZ51" s="22">
        <f t="shared" ca="1" si="3"/>
        <v>2.6756260652943489</v>
      </c>
      <c r="BA51" s="22">
        <f t="shared" ca="1" si="4"/>
        <v>2.9330480520638318</v>
      </c>
      <c r="BB51" s="22">
        <f t="shared" ca="1" si="5"/>
        <v>1.0802082414188652</v>
      </c>
      <c r="BC51" s="22" t="e">
        <f t="shared" ca="1" si="6"/>
        <v>#DIV/0!</v>
      </c>
      <c r="BD51" s="22">
        <f t="shared" ca="1" si="7"/>
        <v>13.111111111111111</v>
      </c>
      <c r="BE51" s="22" t="e">
        <f t="shared" ca="1" si="8"/>
        <v>#DIV/0!</v>
      </c>
      <c r="BF51" s="22">
        <f t="shared" ca="1" si="9"/>
        <v>8.7753779697624186</v>
      </c>
      <c r="BG51" s="22">
        <f t="shared" ca="1" si="10"/>
        <v>1.928689655172414</v>
      </c>
      <c r="BH51" s="22">
        <f t="shared" ca="1" si="11"/>
        <v>1.2611901000526591</v>
      </c>
      <c r="BI51" s="22" t="e">
        <f t="shared" ca="1" si="12"/>
        <v>#DIV/0!</v>
      </c>
      <c r="BJ51" s="22">
        <f t="shared" ca="1" si="13"/>
        <v>23.142493638676847</v>
      </c>
      <c r="BK51" s="22">
        <f t="shared" ca="1" si="14"/>
        <v>0.77407407407407414</v>
      </c>
      <c r="BL51" s="22">
        <f t="shared" ca="1" si="15"/>
        <v>2.1301473184196169</v>
      </c>
      <c r="BN51" s="4" t="str">
        <f t="shared" ca="1" si="16"/>
        <v>2016-06</v>
      </c>
      <c r="BO51" s="22">
        <f t="shared" ca="1" si="17"/>
        <v>8.0060701761581532E-2</v>
      </c>
      <c r="BP51" s="22">
        <f t="shared" ca="1" si="18"/>
        <v>0.14372577569058506</v>
      </c>
      <c r="BQ51" s="22">
        <f t="shared" ca="1" si="19"/>
        <v>0.22618071078481636</v>
      </c>
      <c r="BR51" s="22">
        <f t="shared" ca="1" si="20"/>
        <v>0.12086520517605562</v>
      </c>
      <c r="BS51" s="22">
        <f t="shared" ca="1" si="21"/>
        <v>0</v>
      </c>
      <c r="BT51" s="22">
        <f t="shared" ca="1" si="22"/>
        <v>1.4975493714496647E-2</v>
      </c>
      <c r="BU51" s="22">
        <f t="shared" ca="1" si="23"/>
        <v>0</v>
      </c>
      <c r="BV51" s="22">
        <f t="shared" ca="1" si="24"/>
        <v>2.3204068658614112E-2</v>
      </c>
      <c r="BW51" s="22">
        <f t="shared" ca="1" si="25"/>
        <v>0.2177163012940139</v>
      </c>
      <c r="BX51" s="22">
        <f t="shared" ca="1" si="26"/>
        <v>8.8058568996985415E-2</v>
      </c>
      <c r="BY51" s="22">
        <f t="shared" ca="1" si="27"/>
        <v>9.5512991407419555E-3</v>
      </c>
      <c r="BZ51" s="22">
        <f t="shared" ca="1" si="28"/>
        <v>4.8643438672764189E-2</v>
      </c>
      <c r="CA51" s="22">
        <f t="shared" ca="1" si="29"/>
        <v>2.7013309271373787E-2</v>
      </c>
      <c r="CB51" s="22">
        <f t="shared" ca="1" si="30"/>
        <v>1</v>
      </c>
    </row>
    <row r="52" spans="2:80" ht="15" hidden="1" customHeight="1" x14ac:dyDescent="0.15">
      <c r="B52" s="4" t="str">
        <f ca="1">图表数据!E51</f>
        <v>2016-07</v>
      </c>
      <c r="C52" s="24">
        <v>33842</v>
      </c>
      <c r="D52" s="24">
        <v>45900</v>
      </c>
      <c r="E52" s="24">
        <v>59348</v>
      </c>
      <c r="F52" s="24">
        <v>43510</v>
      </c>
      <c r="G52" s="24">
        <v>834</v>
      </c>
      <c r="H52" s="24">
        <v>59118</v>
      </c>
      <c r="I52" s="24">
        <v>0</v>
      </c>
      <c r="J52" s="24">
        <v>24457</v>
      </c>
      <c r="K52" s="24">
        <v>36875</v>
      </c>
      <c r="L52" s="24">
        <v>25464</v>
      </c>
      <c r="M52" s="24">
        <v>6871</v>
      </c>
      <c r="N52" s="24">
        <v>20958</v>
      </c>
      <c r="O52" s="24">
        <v>10475</v>
      </c>
      <c r="P52" s="24">
        <v>367650</v>
      </c>
      <c r="R52" s="4" t="str">
        <f ca="1">图表数据!E51</f>
        <v>2016-07</v>
      </c>
      <c r="S52" s="4">
        <f ca="1">图表数据!F51</f>
        <v>33842</v>
      </c>
      <c r="T52" s="4">
        <f ca="1">图表数据!G51</f>
        <v>45900</v>
      </c>
      <c r="U52" s="4">
        <f ca="1">图表数据!H51</f>
        <v>59348</v>
      </c>
      <c r="V52" s="4">
        <f ca="1">图表数据!I51</f>
        <v>43510</v>
      </c>
      <c r="W52" s="4">
        <f ca="1">图表数据!J51</f>
        <v>834</v>
      </c>
      <c r="X52" s="4">
        <f ca="1">图表数据!K51</f>
        <v>59118</v>
      </c>
      <c r="Y52" s="4">
        <f ca="1">图表数据!L51</f>
        <v>0</v>
      </c>
      <c r="Z52" s="4">
        <f ca="1">图表数据!M51</f>
        <v>24457</v>
      </c>
      <c r="AA52" s="4">
        <f ca="1">图表数据!N51</f>
        <v>36875</v>
      </c>
      <c r="AB52" s="4">
        <f ca="1">图表数据!O51</f>
        <v>25464</v>
      </c>
      <c r="AC52" s="4">
        <f ca="1">图表数据!P51</f>
        <v>6871</v>
      </c>
      <c r="AD52" s="4">
        <f ca="1">图表数据!Q51</f>
        <v>20958</v>
      </c>
      <c r="AE52" s="4">
        <f ca="1">图表数据!R51</f>
        <v>10475</v>
      </c>
      <c r="AF52" s="4">
        <f ca="1">图表数据!S51</f>
        <v>367650</v>
      </c>
      <c r="AH52" s="4" t="str">
        <f t="shared" ca="1" si="1"/>
        <v>2016-07</v>
      </c>
      <c r="AI52" s="22" t="e">
        <f t="shared" ref="AI52:AV52" ca="1" si="69">S52/S40-1</f>
        <v>#DIV/0!</v>
      </c>
      <c r="AJ52" s="22" t="e">
        <f t="shared" ca="1" si="69"/>
        <v>#DIV/0!</v>
      </c>
      <c r="AK52" s="22" t="e">
        <f t="shared" ca="1" si="69"/>
        <v>#DIV/0!</v>
      </c>
      <c r="AL52" s="22" t="e">
        <f t="shared" ca="1" si="69"/>
        <v>#DIV/0!</v>
      </c>
      <c r="AM52" s="22" t="e">
        <f t="shared" ca="1" si="69"/>
        <v>#DIV/0!</v>
      </c>
      <c r="AN52" s="22" t="e">
        <f t="shared" ca="1" si="69"/>
        <v>#DIV/0!</v>
      </c>
      <c r="AO52" s="22" t="e">
        <f t="shared" ca="1" si="69"/>
        <v>#DIV/0!</v>
      </c>
      <c r="AP52" s="22" t="e">
        <f t="shared" ca="1" si="69"/>
        <v>#DIV/0!</v>
      </c>
      <c r="AQ52" s="22" t="e">
        <f t="shared" ca="1" si="69"/>
        <v>#DIV/0!</v>
      </c>
      <c r="AR52" s="22" t="e">
        <f t="shared" ca="1" si="69"/>
        <v>#DIV/0!</v>
      </c>
      <c r="AS52" s="22" t="e">
        <f t="shared" ca="1" si="69"/>
        <v>#DIV/0!</v>
      </c>
      <c r="AT52" s="22" t="e">
        <f t="shared" ca="1" si="69"/>
        <v>#DIV/0!</v>
      </c>
      <c r="AU52" s="22" t="e">
        <f t="shared" ca="1" si="69"/>
        <v>#DIV/0!</v>
      </c>
      <c r="AV52" s="22" t="e">
        <f t="shared" ca="1" si="69"/>
        <v>#DIV/0!</v>
      </c>
      <c r="AX52" s="4" t="str">
        <f t="shared" ca="1" si="2"/>
        <v>2016-07</v>
      </c>
      <c r="AY52" s="22">
        <f t="shared" ca="1" si="31"/>
        <v>1.1671362704918034</v>
      </c>
      <c r="AZ52" s="22">
        <f t="shared" ca="1" si="3"/>
        <v>0.63729756723978026</v>
      </c>
      <c r="BA52" s="22">
        <f t="shared" ca="1" si="4"/>
        <v>0.34524106353559847</v>
      </c>
      <c r="BB52" s="22">
        <f t="shared" ca="1" si="5"/>
        <v>0.84559915164369026</v>
      </c>
      <c r="BC52" s="22" t="e">
        <f t="shared" ca="1" si="6"/>
        <v>#DIV/0!</v>
      </c>
      <c r="BD52" s="22">
        <f t="shared" ca="1" si="7"/>
        <v>19.238959260527217</v>
      </c>
      <c r="BE52" s="22" t="e">
        <f t="shared" ca="1" si="8"/>
        <v>#DIV/0!</v>
      </c>
      <c r="BF52" s="22">
        <f t="shared" ca="1" si="9"/>
        <v>4.4036676977463545</v>
      </c>
      <c r="BG52" s="22">
        <f t="shared" ca="1" si="10"/>
        <v>-0.13165826779070311</v>
      </c>
      <c r="BH52" s="22">
        <f t="shared" ca="1" si="11"/>
        <v>0.48253376804843962</v>
      </c>
      <c r="BI52" s="22">
        <f t="shared" ca="1" si="12"/>
        <v>2.6881374127750939</v>
      </c>
      <c r="BJ52" s="22">
        <f t="shared" ca="1" si="13"/>
        <v>1.2088954468802697</v>
      </c>
      <c r="BK52" s="22">
        <f t="shared" ca="1" si="14"/>
        <v>0.98804327196811537</v>
      </c>
      <c r="BL52" s="22">
        <f t="shared" ca="1" si="15"/>
        <v>0.88488198018989817</v>
      </c>
      <c r="BN52" s="4" t="str">
        <f t="shared" ca="1" si="16"/>
        <v>2016-07</v>
      </c>
      <c r="BO52" s="22">
        <f t="shared" ca="1" si="17"/>
        <v>9.2049503603971169E-2</v>
      </c>
      <c r="BP52" s="22">
        <f t="shared" ca="1" si="18"/>
        <v>0.12484700122399021</v>
      </c>
      <c r="BQ52" s="22">
        <f t="shared" ca="1" si="19"/>
        <v>0.16142526859785122</v>
      </c>
      <c r="BR52" s="22">
        <f t="shared" ca="1" si="20"/>
        <v>0.11834625322997416</v>
      </c>
      <c r="BS52" s="22">
        <f t="shared" ca="1" si="21"/>
        <v>2.2684618523051816E-3</v>
      </c>
      <c r="BT52" s="22">
        <f t="shared" ca="1" si="22"/>
        <v>0.16079967360261119</v>
      </c>
      <c r="BU52" s="22">
        <f t="shared" ca="1" si="23"/>
        <v>0</v>
      </c>
      <c r="BV52" s="22">
        <f t="shared" ca="1" si="24"/>
        <v>6.6522507819937446E-2</v>
      </c>
      <c r="BW52" s="22">
        <f t="shared" ca="1" si="25"/>
        <v>0.10029919760641914</v>
      </c>
      <c r="BX52" s="22">
        <f t="shared" ca="1" si="26"/>
        <v>6.9261525907792734E-2</v>
      </c>
      <c r="BY52" s="22">
        <f t="shared" ca="1" si="27"/>
        <v>1.8688970488236093E-2</v>
      </c>
      <c r="BZ52" s="22">
        <f t="shared" ca="1" si="28"/>
        <v>5.7005303957568337E-2</v>
      </c>
      <c r="CA52" s="22">
        <f t="shared" ca="1" si="29"/>
        <v>2.8491772065823474E-2</v>
      </c>
      <c r="CB52" s="22">
        <f t="shared" ca="1" si="30"/>
        <v>1</v>
      </c>
    </row>
    <row r="53" spans="2:80" ht="15" hidden="1" customHeight="1" x14ac:dyDescent="0.15">
      <c r="B53" s="4" t="str">
        <f ca="1">图表数据!E52</f>
        <v>2016-08</v>
      </c>
      <c r="C53" s="24">
        <v>48970</v>
      </c>
      <c r="D53" s="24">
        <v>57224</v>
      </c>
      <c r="E53" s="24">
        <v>92159</v>
      </c>
      <c r="F53" s="24">
        <v>66594</v>
      </c>
      <c r="G53" s="24">
        <v>979</v>
      </c>
      <c r="H53" s="24">
        <v>121357</v>
      </c>
      <c r="I53" s="24">
        <v>0</v>
      </c>
      <c r="J53" s="24">
        <v>20489</v>
      </c>
      <c r="K53" s="24">
        <v>27764</v>
      </c>
      <c r="L53" s="24">
        <v>33028</v>
      </c>
      <c r="M53" s="24">
        <v>26527</v>
      </c>
      <c r="N53" s="24">
        <v>29637</v>
      </c>
      <c r="O53" s="24">
        <v>17045</v>
      </c>
      <c r="P53" s="24">
        <v>541772</v>
      </c>
      <c r="R53" s="4" t="str">
        <f ca="1">图表数据!E52</f>
        <v>2016-08</v>
      </c>
      <c r="S53" s="4">
        <f ca="1">图表数据!F52</f>
        <v>48970</v>
      </c>
      <c r="T53" s="4">
        <f ca="1">图表数据!G52</f>
        <v>57224</v>
      </c>
      <c r="U53" s="4">
        <f ca="1">图表数据!H52</f>
        <v>92159</v>
      </c>
      <c r="V53" s="4">
        <f ca="1">图表数据!I52</f>
        <v>66594</v>
      </c>
      <c r="W53" s="4">
        <f ca="1">图表数据!J52</f>
        <v>979</v>
      </c>
      <c r="X53" s="4">
        <f ca="1">图表数据!K52</f>
        <v>121357</v>
      </c>
      <c r="Y53" s="4">
        <f ca="1">图表数据!L52</f>
        <v>0</v>
      </c>
      <c r="Z53" s="4">
        <f ca="1">图表数据!M52</f>
        <v>20489</v>
      </c>
      <c r="AA53" s="4">
        <f ca="1">图表数据!N52</f>
        <v>27764</v>
      </c>
      <c r="AB53" s="4">
        <f ca="1">图表数据!O52</f>
        <v>33028</v>
      </c>
      <c r="AC53" s="4">
        <f ca="1">图表数据!P52</f>
        <v>26527</v>
      </c>
      <c r="AD53" s="4">
        <f ca="1">图表数据!Q52</f>
        <v>29637</v>
      </c>
      <c r="AE53" s="4">
        <f ca="1">图表数据!R52</f>
        <v>17045</v>
      </c>
      <c r="AF53" s="4">
        <f ca="1">图表数据!S52</f>
        <v>541772</v>
      </c>
      <c r="AH53" s="4" t="str">
        <f t="shared" ca="1" si="1"/>
        <v>2016-08</v>
      </c>
      <c r="AI53" s="22" t="e">
        <f t="shared" ref="AI53:AV53" ca="1" si="70">S53/S41-1</f>
        <v>#DIV/0!</v>
      </c>
      <c r="AJ53" s="22" t="e">
        <f t="shared" ca="1" si="70"/>
        <v>#DIV/0!</v>
      </c>
      <c r="AK53" s="22" t="e">
        <f t="shared" ca="1" si="70"/>
        <v>#DIV/0!</v>
      </c>
      <c r="AL53" s="22" t="e">
        <f t="shared" ca="1" si="70"/>
        <v>#DIV/0!</v>
      </c>
      <c r="AM53" s="22" t="e">
        <f t="shared" ca="1" si="70"/>
        <v>#DIV/0!</v>
      </c>
      <c r="AN53" s="22" t="e">
        <f t="shared" ca="1" si="70"/>
        <v>#DIV/0!</v>
      </c>
      <c r="AO53" s="22" t="e">
        <f t="shared" ca="1" si="70"/>
        <v>#DIV/0!</v>
      </c>
      <c r="AP53" s="22" t="e">
        <f t="shared" ca="1" si="70"/>
        <v>#DIV/0!</v>
      </c>
      <c r="AQ53" s="22" t="e">
        <f t="shared" ca="1" si="70"/>
        <v>#DIV/0!</v>
      </c>
      <c r="AR53" s="22" t="e">
        <f t="shared" ca="1" si="70"/>
        <v>#DIV/0!</v>
      </c>
      <c r="AS53" s="22" t="e">
        <f t="shared" ca="1" si="70"/>
        <v>#DIV/0!</v>
      </c>
      <c r="AT53" s="22" t="e">
        <f t="shared" ca="1" si="70"/>
        <v>#DIV/0!</v>
      </c>
      <c r="AU53" s="22" t="e">
        <f t="shared" ca="1" si="70"/>
        <v>#DIV/0!</v>
      </c>
      <c r="AV53" s="22" t="e">
        <f t="shared" ca="1" si="70"/>
        <v>#DIV/0!</v>
      </c>
      <c r="AX53" s="4" t="str">
        <f t="shared" ca="1" si="2"/>
        <v>2016-08</v>
      </c>
      <c r="AY53" s="22">
        <f t="shared" ca="1" si="31"/>
        <v>0.44701849772472069</v>
      </c>
      <c r="AZ53" s="22">
        <f t="shared" ca="1" si="3"/>
        <v>0.24671023965141603</v>
      </c>
      <c r="BA53" s="22">
        <f t="shared" ca="1" si="4"/>
        <v>0.55285772056345617</v>
      </c>
      <c r="BB53" s="22">
        <f t="shared" ca="1" si="5"/>
        <v>0.5305447023672718</v>
      </c>
      <c r="BC53" s="22">
        <f t="shared" ca="1" si="6"/>
        <v>0.17386091127098324</v>
      </c>
      <c r="BD53" s="22">
        <f t="shared" ca="1" si="7"/>
        <v>1.052792719645455</v>
      </c>
      <c r="BE53" s="22" t="e">
        <f t="shared" ca="1" si="8"/>
        <v>#DIV/0!</v>
      </c>
      <c r="BF53" s="22">
        <f t="shared" ca="1" si="9"/>
        <v>-0.16224393834076134</v>
      </c>
      <c r="BG53" s="22">
        <f t="shared" ca="1" si="10"/>
        <v>-0.24707796610169497</v>
      </c>
      <c r="BH53" s="22">
        <f t="shared" ca="1" si="11"/>
        <v>0.29704681118441711</v>
      </c>
      <c r="BI53" s="22">
        <f t="shared" ca="1" si="12"/>
        <v>2.8607189637607333</v>
      </c>
      <c r="BJ53" s="22">
        <f t="shared" ca="1" si="13"/>
        <v>0.41411394217005437</v>
      </c>
      <c r="BK53" s="22">
        <f t="shared" ca="1" si="14"/>
        <v>0.62720763723150363</v>
      </c>
      <c r="BL53" s="22">
        <f t="shared" ca="1" si="15"/>
        <v>0.4736080511355909</v>
      </c>
      <c r="BN53" s="4" t="str">
        <f t="shared" ca="1" si="16"/>
        <v>2016-08</v>
      </c>
      <c r="BO53" s="22">
        <f t="shared" ca="1" si="17"/>
        <v>9.0388576744460769E-2</v>
      </c>
      <c r="BP53" s="22">
        <f t="shared" ca="1" si="18"/>
        <v>0.10562376793189755</v>
      </c>
      <c r="BQ53" s="22">
        <f t="shared" ca="1" si="19"/>
        <v>0.17010661311400369</v>
      </c>
      <c r="BR53" s="22">
        <f t="shared" ca="1" si="20"/>
        <v>0.12291886623893446</v>
      </c>
      <c r="BS53" s="22">
        <f t="shared" ca="1" si="21"/>
        <v>1.8070332169252011E-3</v>
      </c>
      <c r="BT53" s="22">
        <f t="shared" ca="1" si="22"/>
        <v>0.22400013289723353</v>
      </c>
      <c r="BU53" s="22">
        <f t="shared" ca="1" si="23"/>
        <v>0</v>
      </c>
      <c r="BV53" s="22">
        <f t="shared" ca="1" si="24"/>
        <v>3.7818491911726704E-2</v>
      </c>
      <c r="BW53" s="22">
        <f t="shared" ca="1" si="25"/>
        <v>5.1246649882238288E-2</v>
      </c>
      <c r="BX53" s="22">
        <f t="shared" ca="1" si="26"/>
        <v>6.0962914288667555E-2</v>
      </c>
      <c r="BY53" s="22">
        <f t="shared" ca="1" si="27"/>
        <v>4.8963401578523809E-2</v>
      </c>
      <c r="BZ53" s="22">
        <f t="shared" ca="1" si="28"/>
        <v>5.4703823748735628E-2</v>
      </c>
      <c r="CA53" s="22">
        <f t="shared" ca="1" si="29"/>
        <v>3.1461574241562873E-2</v>
      </c>
      <c r="CB53" s="22">
        <f t="shared" ca="1" si="30"/>
        <v>1</v>
      </c>
    </row>
    <row r="54" spans="2:80" ht="15" hidden="1" customHeight="1" x14ac:dyDescent="0.15">
      <c r="B54" s="4" t="str">
        <f ca="1">图表数据!E53</f>
        <v>2016-09</v>
      </c>
      <c r="C54" s="24">
        <v>37659</v>
      </c>
      <c r="D54" s="24">
        <v>72271</v>
      </c>
      <c r="E54" s="24">
        <v>110461</v>
      </c>
      <c r="F54" s="24">
        <v>96364</v>
      </c>
      <c r="G54" s="24">
        <v>2426</v>
      </c>
      <c r="H54" s="24">
        <v>104569</v>
      </c>
      <c r="I54" s="24">
        <v>0</v>
      </c>
      <c r="J54" s="24">
        <v>29240</v>
      </c>
      <c r="K54" s="24">
        <v>33029</v>
      </c>
      <c r="L54" s="24">
        <v>37233</v>
      </c>
      <c r="M54" s="24">
        <v>22395</v>
      </c>
      <c r="N54" s="24">
        <v>22999</v>
      </c>
      <c r="O54" s="24">
        <v>18156</v>
      </c>
      <c r="P54" s="24">
        <v>586802</v>
      </c>
      <c r="R54" s="4" t="str">
        <f ca="1">图表数据!E53</f>
        <v>2016-09</v>
      </c>
      <c r="S54" s="4">
        <f ca="1">图表数据!F53</f>
        <v>37659</v>
      </c>
      <c r="T54" s="4">
        <f ca="1">图表数据!G53</f>
        <v>72271</v>
      </c>
      <c r="U54" s="4">
        <f ca="1">图表数据!H53</f>
        <v>110461</v>
      </c>
      <c r="V54" s="4">
        <f ca="1">图表数据!I53</f>
        <v>96364</v>
      </c>
      <c r="W54" s="4">
        <f ca="1">图表数据!J53</f>
        <v>2426</v>
      </c>
      <c r="X54" s="4">
        <f ca="1">图表数据!K53</f>
        <v>104569</v>
      </c>
      <c r="Y54" s="4">
        <f ca="1">图表数据!L53</f>
        <v>0</v>
      </c>
      <c r="Z54" s="4">
        <f ca="1">图表数据!M53</f>
        <v>29240</v>
      </c>
      <c r="AA54" s="4">
        <f ca="1">图表数据!N53</f>
        <v>33029</v>
      </c>
      <c r="AB54" s="4">
        <f ca="1">图表数据!O53</f>
        <v>37233</v>
      </c>
      <c r="AC54" s="4">
        <f ca="1">图表数据!P53</f>
        <v>22395</v>
      </c>
      <c r="AD54" s="4">
        <f ca="1">图表数据!Q53</f>
        <v>22999</v>
      </c>
      <c r="AE54" s="4">
        <f ca="1">图表数据!R53</f>
        <v>18156</v>
      </c>
      <c r="AF54" s="4">
        <f ca="1">图表数据!S53</f>
        <v>586802</v>
      </c>
      <c r="AH54" s="4" t="str">
        <f t="shared" ca="1" si="1"/>
        <v>2016-09</v>
      </c>
      <c r="AI54" s="22" t="e">
        <f t="shared" ref="AI54:AV54" ca="1" si="71">S54/S42-1</f>
        <v>#DIV/0!</v>
      </c>
      <c r="AJ54" s="22" t="e">
        <f t="shared" ca="1" si="71"/>
        <v>#DIV/0!</v>
      </c>
      <c r="AK54" s="22" t="e">
        <f t="shared" ca="1" si="71"/>
        <v>#DIV/0!</v>
      </c>
      <c r="AL54" s="22" t="e">
        <f t="shared" ca="1" si="71"/>
        <v>#DIV/0!</v>
      </c>
      <c r="AM54" s="22" t="e">
        <f t="shared" ca="1" si="71"/>
        <v>#DIV/0!</v>
      </c>
      <c r="AN54" s="22" t="e">
        <f t="shared" ca="1" si="71"/>
        <v>#DIV/0!</v>
      </c>
      <c r="AO54" s="22" t="e">
        <f t="shared" ca="1" si="71"/>
        <v>#DIV/0!</v>
      </c>
      <c r="AP54" s="22" t="e">
        <f t="shared" ca="1" si="71"/>
        <v>#DIV/0!</v>
      </c>
      <c r="AQ54" s="22" t="e">
        <f t="shared" ca="1" si="71"/>
        <v>#DIV/0!</v>
      </c>
      <c r="AR54" s="22" t="e">
        <f t="shared" ca="1" si="71"/>
        <v>#DIV/0!</v>
      </c>
      <c r="AS54" s="22" t="e">
        <f t="shared" ca="1" si="71"/>
        <v>#DIV/0!</v>
      </c>
      <c r="AT54" s="22" t="e">
        <f t="shared" ca="1" si="71"/>
        <v>#DIV/0!</v>
      </c>
      <c r="AU54" s="22" t="e">
        <f t="shared" ca="1" si="71"/>
        <v>#DIV/0!</v>
      </c>
      <c r="AV54" s="22" t="e">
        <f t="shared" ca="1" si="71"/>
        <v>#DIV/0!</v>
      </c>
      <c r="AX54" s="4" t="str">
        <f t="shared" ca="1" si="2"/>
        <v>2016-09</v>
      </c>
      <c r="AY54" s="22">
        <f t="shared" ca="1" si="31"/>
        <v>-0.23097814988768639</v>
      </c>
      <c r="AZ54" s="22">
        <f t="shared" ca="1" si="3"/>
        <v>0.26294911226059003</v>
      </c>
      <c r="BA54" s="22">
        <f t="shared" ca="1" si="4"/>
        <v>0.19859156457860871</v>
      </c>
      <c r="BB54" s="22">
        <f t="shared" ca="1" si="5"/>
        <v>0.44703727062498122</v>
      </c>
      <c r="BC54" s="22">
        <f t="shared" ca="1" si="6"/>
        <v>1.4780388151174666</v>
      </c>
      <c r="BD54" s="22">
        <f t="shared" ca="1" si="7"/>
        <v>-0.13833565430918693</v>
      </c>
      <c r="BE54" s="22" t="e">
        <f t="shared" ca="1" si="8"/>
        <v>#DIV/0!</v>
      </c>
      <c r="BF54" s="22">
        <f t="shared" ca="1" si="9"/>
        <v>0.42710722826882708</v>
      </c>
      <c r="BG54" s="22">
        <f t="shared" ca="1" si="10"/>
        <v>0.18963405849301251</v>
      </c>
      <c r="BH54" s="22">
        <f t="shared" ca="1" si="11"/>
        <v>0.12731621654353886</v>
      </c>
      <c r="BI54" s="22">
        <f t="shared" ca="1" si="12"/>
        <v>-0.15576582350058432</v>
      </c>
      <c r="BJ54" s="22">
        <f t="shared" ca="1" si="13"/>
        <v>-0.22397678577453861</v>
      </c>
      <c r="BK54" s="22">
        <f t="shared" ca="1" si="14"/>
        <v>6.5180404810794901E-2</v>
      </c>
      <c r="BL54" s="22">
        <f t="shared" ca="1" si="15"/>
        <v>8.3116144798919045E-2</v>
      </c>
      <c r="BN54" s="4" t="str">
        <f t="shared" ca="1" si="16"/>
        <v>2016-09</v>
      </c>
      <c r="BO54" s="22">
        <f t="shared" ca="1" si="17"/>
        <v>6.4176672881142191E-2</v>
      </c>
      <c r="BP54" s="22">
        <f t="shared" ca="1" si="18"/>
        <v>0.12316079358966056</v>
      </c>
      <c r="BQ54" s="22">
        <f t="shared" ca="1" si="19"/>
        <v>0.18824237136206079</v>
      </c>
      <c r="BR54" s="22">
        <f t="shared" ca="1" si="20"/>
        <v>0.16421893585911432</v>
      </c>
      <c r="BS54" s="22">
        <f t="shared" ca="1" si="21"/>
        <v>4.1342735709830577E-3</v>
      </c>
      <c r="BT54" s="22">
        <f t="shared" ca="1" si="22"/>
        <v>0.17820150578900548</v>
      </c>
      <c r="BU54" s="22">
        <f t="shared" ca="1" si="23"/>
        <v>0</v>
      </c>
      <c r="BV54" s="22">
        <f t="shared" ca="1" si="24"/>
        <v>4.9829414351007663E-2</v>
      </c>
      <c r="BW54" s="22">
        <f t="shared" ca="1" si="25"/>
        <v>5.6286447558120116E-2</v>
      </c>
      <c r="BX54" s="22">
        <f t="shared" ca="1" si="26"/>
        <v>6.3450703985330661E-2</v>
      </c>
      <c r="BY54" s="22">
        <f t="shared" ca="1" si="27"/>
        <v>3.8164491600233129E-2</v>
      </c>
      <c r="BZ54" s="22">
        <f t="shared" ca="1" si="28"/>
        <v>3.9193799612134927E-2</v>
      </c>
      <c r="CA54" s="22">
        <f t="shared" ca="1" si="29"/>
        <v>3.0940589841207084E-2</v>
      </c>
      <c r="CB54" s="22">
        <f t="shared" ca="1" si="30"/>
        <v>1</v>
      </c>
    </row>
    <row r="55" spans="2:80" ht="15" hidden="1" customHeight="1" x14ac:dyDescent="0.15">
      <c r="B55" s="4" t="str">
        <f ca="1">图表数据!E54</f>
        <v>2016-10</v>
      </c>
      <c r="C55" s="24">
        <v>10948</v>
      </c>
      <c r="D55" s="24">
        <v>39358</v>
      </c>
      <c r="E55" s="24">
        <v>63032</v>
      </c>
      <c r="F55" s="24">
        <v>46887</v>
      </c>
      <c r="G55" s="24">
        <v>542</v>
      </c>
      <c r="H55" s="24">
        <v>45261</v>
      </c>
      <c r="I55" s="24">
        <v>0</v>
      </c>
      <c r="J55" s="24">
        <v>23783</v>
      </c>
      <c r="K55" s="24">
        <v>2813</v>
      </c>
      <c r="L55" s="24">
        <v>23784</v>
      </c>
      <c r="M55" s="24">
        <v>24960</v>
      </c>
      <c r="N55" s="24">
        <v>11839</v>
      </c>
      <c r="O55" s="24">
        <v>8110</v>
      </c>
      <c r="P55" s="24">
        <v>301317</v>
      </c>
      <c r="R55" s="4" t="str">
        <f ca="1">图表数据!E54</f>
        <v>2016-10</v>
      </c>
      <c r="S55" s="4">
        <f ca="1">图表数据!F54</f>
        <v>10948</v>
      </c>
      <c r="T55" s="4">
        <f ca="1">图表数据!G54</f>
        <v>39358</v>
      </c>
      <c r="U55" s="4">
        <f ca="1">图表数据!H54</f>
        <v>63032</v>
      </c>
      <c r="V55" s="4">
        <f ca="1">图表数据!I54</f>
        <v>46887</v>
      </c>
      <c r="W55" s="4">
        <f ca="1">图表数据!J54</f>
        <v>542</v>
      </c>
      <c r="X55" s="4">
        <f ca="1">图表数据!K54</f>
        <v>45261</v>
      </c>
      <c r="Y55" s="4">
        <f ca="1">图表数据!L54</f>
        <v>0</v>
      </c>
      <c r="Z55" s="4">
        <f ca="1">图表数据!M54</f>
        <v>23783</v>
      </c>
      <c r="AA55" s="4">
        <f ca="1">图表数据!N54</f>
        <v>2813</v>
      </c>
      <c r="AB55" s="4">
        <f ca="1">图表数据!O54</f>
        <v>23784</v>
      </c>
      <c r="AC55" s="4">
        <f ca="1">图表数据!P54</f>
        <v>24960</v>
      </c>
      <c r="AD55" s="4">
        <f ca="1">图表数据!Q54</f>
        <v>11839</v>
      </c>
      <c r="AE55" s="4">
        <f ca="1">图表数据!R54</f>
        <v>8110</v>
      </c>
      <c r="AF55" s="4">
        <f ca="1">图表数据!S54</f>
        <v>301317</v>
      </c>
      <c r="AH55" s="4" t="str">
        <f t="shared" ca="1" si="1"/>
        <v>2016-10</v>
      </c>
      <c r="AI55" s="22" t="e">
        <f t="shared" ref="AI55:AV55" ca="1" si="72">S55/S43-1</f>
        <v>#DIV/0!</v>
      </c>
      <c r="AJ55" s="22" t="e">
        <f t="shared" ca="1" si="72"/>
        <v>#DIV/0!</v>
      </c>
      <c r="AK55" s="22" t="e">
        <f t="shared" ca="1" si="72"/>
        <v>#DIV/0!</v>
      </c>
      <c r="AL55" s="22" t="e">
        <f t="shared" ca="1" si="72"/>
        <v>#DIV/0!</v>
      </c>
      <c r="AM55" s="22" t="e">
        <f t="shared" ca="1" si="72"/>
        <v>#DIV/0!</v>
      </c>
      <c r="AN55" s="22" t="e">
        <f t="shared" ca="1" si="72"/>
        <v>#DIV/0!</v>
      </c>
      <c r="AO55" s="22" t="e">
        <f t="shared" ca="1" si="72"/>
        <v>#DIV/0!</v>
      </c>
      <c r="AP55" s="22" t="e">
        <f t="shared" ca="1" si="72"/>
        <v>#DIV/0!</v>
      </c>
      <c r="AQ55" s="22" t="e">
        <f t="shared" ca="1" si="72"/>
        <v>#DIV/0!</v>
      </c>
      <c r="AR55" s="22" t="e">
        <f t="shared" ca="1" si="72"/>
        <v>#DIV/0!</v>
      </c>
      <c r="AS55" s="22" t="e">
        <f t="shared" ca="1" si="72"/>
        <v>#DIV/0!</v>
      </c>
      <c r="AT55" s="22" t="e">
        <f t="shared" ca="1" si="72"/>
        <v>#DIV/0!</v>
      </c>
      <c r="AU55" s="22" t="e">
        <f t="shared" ca="1" si="72"/>
        <v>#DIV/0!</v>
      </c>
      <c r="AV55" s="22" t="e">
        <f t="shared" ca="1" si="72"/>
        <v>#DIV/0!</v>
      </c>
      <c r="AX55" s="4" t="str">
        <f t="shared" ca="1" si="2"/>
        <v>2016-10</v>
      </c>
      <c r="AY55" s="22">
        <f t="shared" ca="1" si="31"/>
        <v>-0.70928596085928997</v>
      </c>
      <c r="AZ55" s="22">
        <f t="shared" ca="1" si="3"/>
        <v>-0.45541088403370644</v>
      </c>
      <c r="BA55" s="22">
        <f t="shared" ca="1" si="4"/>
        <v>-0.42937326296158829</v>
      </c>
      <c r="BB55" s="22">
        <f t="shared" ca="1" si="5"/>
        <v>-0.51343862853347721</v>
      </c>
      <c r="BC55" s="22">
        <f t="shared" ca="1" si="6"/>
        <v>-0.77658697444352842</v>
      </c>
      <c r="BD55" s="22">
        <f t="shared" ca="1" si="7"/>
        <v>-0.56716617735657793</v>
      </c>
      <c r="BE55" s="22" t="e">
        <f t="shared" ca="1" si="8"/>
        <v>#DIV/0!</v>
      </c>
      <c r="BF55" s="22">
        <f t="shared" ca="1" si="9"/>
        <v>-0.18662790697674414</v>
      </c>
      <c r="BG55" s="22">
        <f t="shared" ca="1" si="10"/>
        <v>-0.91483241999455023</v>
      </c>
      <c r="BH55" s="22">
        <f t="shared" ca="1" si="11"/>
        <v>-0.36121182821690434</v>
      </c>
      <c r="BI55" s="22">
        <f t="shared" ca="1" si="12"/>
        <v>0.11453449430676499</v>
      </c>
      <c r="BJ55" s="22">
        <f t="shared" ca="1" si="13"/>
        <v>-0.48523848862994046</v>
      </c>
      <c r="BK55" s="22">
        <f t="shared" ca="1" si="14"/>
        <v>-0.55331570830579424</v>
      </c>
      <c r="BL55" s="22">
        <f t="shared" ca="1" si="15"/>
        <v>-0.48650993009567112</v>
      </c>
      <c r="BN55" s="4" t="str">
        <f t="shared" ca="1" si="16"/>
        <v>2016-10</v>
      </c>
      <c r="BO55" s="22">
        <f t="shared" ca="1" si="17"/>
        <v>3.6333827829163307E-2</v>
      </c>
      <c r="BP55" s="22">
        <f t="shared" ca="1" si="18"/>
        <v>0.13061991192000452</v>
      </c>
      <c r="BQ55" s="22">
        <f t="shared" ca="1" si="19"/>
        <v>0.20918832989841263</v>
      </c>
      <c r="BR55" s="22">
        <f t="shared" ca="1" si="20"/>
        <v>0.15560688577146328</v>
      </c>
      <c r="BS55" s="22">
        <f t="shared" ca="1" si="21"/>
        <v>1.7987700660765905E-3</v>
      </c>
      <c r="BT55" s="22">
        <f t="shared" ca="1" si="22"/>
        <v>0.1502105755732335</v>
      </c>
      <c r="BU55" s="22">
        <f t="shared" ca="1" si="23"/>
        <v>0</v>
      </c>
      <c r="BV55" s="22">
        <f t="shared" ca="1" si="24"/>
        <v>7.8930163249999172E-2</v>
      </c>
      <c r="BW55" s="22">
        <f t="shared" ca="1" si="25"/>
        <v>9.3356830182166946E-3</v>
      </c>
      <c r="BX55" s="22">
        <f t="shared" ca="1" si="26"/>
        <v>7.8933482013958722E-2</v>
      </c>
      <c r="BY55" s="22">
        <f t="shared" ca="1" si="27"/>
        <v>8.2836348430390588E-2</v>
      </c>
      <c r="BZ55" s="22">
        <f t="shared" ca="1" si="28"/>
        <v>3.9290846517123161E-2</v>
      </c>
      <c r="CA55" s="22">
        <f t="shared" ca="1" si="29"/>
        <v>2.6915175711957839E-2</v>
      </c>
      <c r="CB55" s="22">
        <f t="shared" ca="1" si="30"/>
        <v>1</v>
      </c>
    </row>
    <row r="56" spans="2:80" ht="15" hidden="1" customHeight="1" x14ac:dyDescent="0.15">
      <c r="B56" s="4" t="str">
        <f ca="1">图表数据!E55</f>
        <v>2016-11</v>
      </c>
      <c r="C56" s="24">
        <v>26648</v>
      </c>
      <c r="D56" s="24">
        <v>36592</v>
      </c>
      <c r="E56" s="24">
        <v>67025</v>
      </c>
      <c r="F56" s="24">
        <v>38387</v>
      </c>
      <c r="G56" s="24">
        <v>125</v>
      </c>
      <c r="H56" s="24">
        <v>22999</v>
      </c>
      <c r="I56" s="24">
        <v>0</v>
      </c>
      <c r="J56" s="24">
        <v>28773</v>
      </c>
      <c r="K56" s="24">
        <v>4983</v>
      </c>
      <c r="L56" s="24">
        <v>24571</v>
      </c>
      <c r="M56" s="24">
        <v>22829</v>
      </c>
      <c r="N56" s="24">
        <v>12330</v>
      </c>
      <c r="O56" s="24">
        <v>15348</v>
      </c>
      <c r="P56" s="24">
        <v>300610</v>
      </c>
      <c r="R56" s="4" t="str">
        <f ca="1">图表数据!E55</f>
        <v>2016-11</v>
      </c>
      <c r="S56" s="4">
        <f ca="1">图表数据!F55</f>
        <v>26648</v>
      </c>
      <c r="T56" s="4">
        <f ca="1">图表数据!G55</f>
        <v>36592</v>
      </c>
      <c r="U56" s="4">
        <f ca="1">图表数据!H55</f>
        <v>67025</v>
      </c>
      <c r="V56" s="4">
        <f ca="1">图表数据!I55</f>
        <v>38387</v>
      </c>
      <c r="W56" s="4">
        <f ca="1">图表数据!J55</f>
        <v>125</v>
      </c>
      <c r="X56" s="4">
        <f ca="1">图表数据!K55</f>
        <v>22999</v>
      </c>
      <c r="Y56" s="4">
        <f ca="1">图表数据!L55</f>
        <v>0</v>
      </c>
      <c r="Z56" s="4">
        <f ca="1">图表数据!M55</f>
        <v>28773</v>
      </c>
      <c r="AA56" s="4">
        <f ca="1">图表数据!N55</f>
        <v>4983</v>
      </c>
      <c r="AB56" s="4">
        <f ca="1">图表数据!O55</f>
        <v>24571</v>
      </c>
      <c r="AC56" s="4">
        <f ca="1">图表数据!P55</f>
        <v>22829</v>
      </c>
      <c r="AD56" s="4">
        <f ca="1">图表数据!Q55</f>
        <v>12330</v>
      </c>
      <c r="AE56" s="4">
        <f ca="1">图表数据!R55</f>
        <v>15348</v>
      </c>
      <c r="AF56" s="4">
        <f ca="1">图表数据!S55</f>
        <v>300610</v>
      </c>
      <c r="AH56" s="4" t="str">
        <f t="shared" ca="1" si="1"/>
        <v>2016-11</v>
      </c>
      <c r="AI56" s="22" t="e">
        <f t="shared" ref="AI56:AV56" ca="1" si="73">S56/S44-1</f>
        <v>#DIV/0!</v>
      </c>
      <c r="AJ56" s="22" t="e">
        <f t="shared" ca="1" si="73"/>
        <v>#DIV/0!</v>
      </c>
      <c r="AK56" s="22" t="e">
        <f t="shared" ca="1" si="73"/>
        <v>#DIV/0!</v>
      </c>
      <c r="AL56" s="22" t="e">
        <f t="shared" ca="1" si="73"/>
        <v>#DIV/0!</v>
      </c>
      <c r="AM56" s="22" t="e">
        <f t="shared" ca="1" si="73"/>
        <v>#DIV/0!</v>
      </c>
      <c r="AN56" s="22" t="e">
        <f t="shared" ca="1" si="73"/>
        <v>#DIV/0!</v>
      </c>
      <c r="AO56" s="22" t="e">
        <f t="shared" ca="1" si="73"/>
        <v>#DIV/0!</v>
      </c>
      <c r="AP56" s="22" t="e">
        <f t="shared" ca="1" si="73"/>
        <v>#DIV/0!</v>
      </c>
      <c r="AQ56" s="22" t="e">
        <f t="shared" ca="1" si="73"/>
        <v>#DIV/0!</v>
      </c>
      <c r="AR56" s="22" t="e">
        <f t="shared" ca="1" si="73"/>
        <v>#DIV/0!</v>
      </c>
      <c r="AS56" s="22" t="e">
        <f t="shared" ca="1" si="73"/>
        <v>#DIV/0!</v>
      </c>
      <c r="AT56" s="22" t="e">
        <f t="shared" ca="1" si="73"/>
        <v>#DIV/0!</v>
      </c>
      <c r="AU56" s="22" t="e">
        <f t="shared" ca="1" si="73"/>
        <v>#DIV/0!</v>
      </c>
      <c r="AV56" s="22" t="e">
        <f t="shared" ca="1" si="73"/>
        <v>#DIV/0!</v>
      </c>
      <c r="AX56" s="4" t="str">
        <f t="shared" ca="1" si="2"/>
        <v>2016-11</v>
      </c>
      <c r="AY56" s="22">
        <f t="shared" ca="1" si="31"/>
        <v>1.4340518816222141</v>
      </c>
      <c r="AZ56" s="22">
        <f t="shared" ca="1" si="3"/>
        <v>-7.0277961278520262E-2</v>
      </c>
      <c r="BA56" s="22">
        <f t="shared" ca="1" si="4"/>
        <v>6.3348775225282372E-2</v>
      </c>
      <c r="BB56" s="22">
        <f t="shared" ca="1" si="5"/>
        <v>-0.18128692388081979</v>
      </c>
      <c r="BC56" s="22">
        <f t="shared" ca="1" si="6"/>
        <v>-0.76937269372693728</v>
      </c>
      <c r="BD56" s="22">
        <f t="shared" ca="1" si="7"/>
        <v>-0.49185833278098146</v>
      </c>
      <c r="BE56" s="22" t="e">
        <f t="shared" ca="1" si="8"/>
        <v>#DIV/0!</v>
      </c>
      <c r="BF56" s="22">
        <f t="shared" ca="1" si="9"/>
        <v>0.20981373249800273</v>
      </c>
      <c r="BG56" s="22">
        <f t="shared" ca="1" si="10"/>
        <v>0.7714184145040881</v>
      </c>
      <c r="BH56" s="22">
        <f t="shared" ca="1" si="11"/>
        <v>3.3089471913891666E-2</v>
      </c>
      <c r="BI56" s="22">
        <f t="shared" ca="1" si="12"/>
        <v>-8.5376602564102511E-2</v>
      </c>
      <c r="BJ56" s="22">
        <f t="shared" ca="1" si="13"/>
        <v>4.1473097389982172E-2</v>
      </c>
      <c r="BK56" s="22">
        <f t="shared" ca="1" si="14"/>
        <v>0.89247842170160285</v>
      </c>
      <c r="BL56" s="22">
        <f t="shared" ca="1" si="15"/>
        <v>-2.346366119402532E-3</v>
      </c>
      <c r="BN56" s="4" t="str">
        <f t="shared" ca="1" si="16"/>
        <v>2016-11</v>
      </c>
      <c r="BO56" s="22">
        <f t="shared" ca="1" si="17"/>
        <v>8.864641894813878E-2</v>
      </c>
      <c r="BP56" s="22">
        <f t="shared" ca="1" si="18"/>
        <v>0.12172582415754632</v>
      </c>
      <c r="BQ56" s="22">
        <f t="shared" ca="1" si="19"/>
        <v>0.22296330794052094</v>
      </c>
      <c r="BR56" s="22">
        <f t="shared" ca="1" si="20"/>
        <v>0.12769701606732975</v>
      </c>
      <c r="BS56" s="22">
        <f t="shared" ca="1" si="21"/>
        <v>4.1582116363394431E-4</v>
      </c>
      <c r="BT56" s="22">
        <f t="shared" ca="1" si="22"/>
        <v>7.6507767539336677E-2</v>
      </c>
      <c r="BU56" s="22">
        <f t="shared" ca="1" si="23"/>
        <v>0</v>
      </c>
      <c r="BV56" s="22">
        <f t="shared" ca="1" si="24"/>
        <v>9.571537872991584E-2</v>
      </c>
      <c r="BW56" s="22">
        <f t="shared" ca="1" si="25"/>
        <v>1.6576294867103557E-2</v>
      </c>
      <c r="BX56" s="22">
        <f t="shared" ca="1" si="26"/>
        <v>8.1737134493197167E-2</v>
      </c>
      <c r="BY56" s="22">
        <f t="shared" ca="1" si="27"/>
        <v>7.5942250756794519E-2</v>
      </c>
      <c r="BZ56" s="22">
        <f t="shared" ca="1" si="28"/>
        <v>4.101659958085227E-2</v>
      </c>
      <c r="CA56" s="22">
        <f t="shared" ca="1" si="29"/>
        <v>5.1056185755630215E-2</v>
      </c>
      <c r="CB56" s="22">
        <f t="shared" ca="1" si="30"/>
        <v>1</v>
      </c>
    </row>
    <row r="57" spans="2:80" ht="15" hidden="1" customHeight="1" x14ac:dyDescent="0.15">
      <c r="B57" s="4" t="str">
        <f ca="1">图表数据!E56</f>
        <v>2016-12</v>
      </c>
      <c r="C57" s="24">
        <v>3604</v>
      </c>
      <c r="D57" s="24">
        <v>4170</v>
      </c>
      <c r="E57" s="24">
        <v>4130</v>
      </c>
      <c r="F57" s="24">
        <v>2755</v>
      </c>
      <c r="G57" s="24">
        <v>46</v>
      </c>
      <c r="H57" s="24">
        <v>760</v>
      </c>
      <c r="I57" s="24">
        <v>0</v>
      </c>
      <c r="J57" s="24">
        <v>2034</v>
      </c>
      <c r="K57" s="24">
        <v>365</v>
      </c>
      <c r="L57" s="24">
        <v>1687</v>
      </c>
      <c r="M57" s="24">
        <v>616</v>
      </c>
      <c r="N57" s="24">
        <v>1302</v>
      </c>
      <c r="O57" s="24">
        <v>1229</v>
      </c>
      <c r="P57" s="24">
        <v>22696</v>
      </c>
      <c r="R57" s="4" t="str">
        <f ca="1">图表数据!E56</f>
        <v>2016-12</v>
      </c>
      <c r="S57" s="4">
        <f ca="1">图表数据!F56</f>
        <v>3604</v>
      </c>
      <c r="T57" s="4">
        <f ca="1">图表数据!G56</f>
        <v>4170</v>
      </c>
      <c r="U57" s="4">
        <f ca="1">图表数据!H56</f>
        <v>4130</v>
      </c>
      <c r="V57" s="4">
        <f ca="1">图表数据!I56</f>
        <v>2755</v>
      </c>
      <c r="W57" s="4">
        <f ca="1">图表数据!J56</f>
        <v>46</v>
      </c>
      <c r="X57" s="4">
        <f ca="1">图表数据!K56</f>
        <v>760</v>
      </c>
      <c r="Y57" s="4">
        <f ca="1">图表数据!L56</f>
        <v>0</v>
      </c>
      <c r="Z57" s="4">
        <f ca="1">图表数据!M56</f>
        <v>2034</v>
      </c>
      <c r="AA57" s="4">
        <f ca="1">图表数据!N56</f>
        <v>365</v>
      </c>
      <c r="AB57" s="4">
        <f ca="1">图表数据!O56</f>
        <v>1687</v>
      </c>
      <c r="AC57" s="4">
        <f ca="1">图表数据!P56</f>
        <v>616</v>
      </c>
      <c r="AD57" s="4">
        <f ca="1">图表数据!Q56</f>
        <v>1302</v>
      </c>
      <c r="AE57" s="4">
        <f ca="1">图表数据!R56</f>
        <v>1229</v>
      </c>
      <c r="AF57" s="4">
        <f ca="1">图表数据!S56</f>
        <v>22696</v>
      </c>
      <c r="AH57" s="4" t="str">
        <f t="shared" ca="1" si="1"/>
        <v>2016-12</v>
      </c>
      <c r="AI57" s="22" t="e">
        <f t="shared" ref="AI57:AV57" ca="1" si="74">S57/S45-1</f>
        <v>#DIV/0!</v>
      </c>
      <c r="AJ57" s="22" t="e">
        <f t="shared" ca="1" si="74"/>
        <v>#DIV/0!</v>
      </c>
      <c r="AK57" s="22" t="e">
        <f t="shared" ca="1" si="74"/>
        <v>#DIV/0!</v>
      </c>
      <c r="AL57" s="22" t="e">
        <f t="shared" ca="1" si="74"/>
        <v>#DIV/0!</v>
      </c>
      <c r="AM57" s="22" t="e">
        <f t="shared" ca="1" si="74"/>
        <v>#DIV/0!</v>
      </c>
      <c r="AN57" s="22" t="e">
        <f t="shared" ca="1" si="74"/>
        <v>#DIV/0!</v>
      </c>
      <c r="AO57" s="22" t="e">
        <f t="shared" ca="1" si="74"/>
        <v>#DIV/0!</v>
      </c>
      <c r="AP57" s="22" t="e">
        <f t="shared" ca="1" si="74"/>
        <v>#DIV/0!</v>
      </c>
      <c r="AQ57" s="22" t="e">
        <f t="shared" ca="1" si="74"/>
        <v>#DIV/0!</v>
      </c>
      <c r="AR57" s="22" t="e">
        <f t="shared" ca="1" si="74"/>
        <v>#DIV/0!</v>
      </c>
      <c r="AS57" s="22" t="e">
        <f t="shared" ca="1" si="74"/>
        <v>#DIV/0!</v>
      </c>
      <c r="AT57" s="22" t="e">
        <f t="shared" ca="1" si="74"/>
        <v>#DIV/0!</v>
      </c>
      <c r="AU57" s="22" t="e">
        <f t="shared" ca="1" si="74"/>
        <v>#DIV/0!</v>
      </c>
      <c r="AV57" s="22" t="e">
        <f t="shared" ca="1" si="74"/>
        <v>#DIV/0!</v>
      </c>
      <c r="AX57" s="4" t="str">
        <f t="shared" ca="1" si="2"/>
        <v>2016-12</v>
      </c>
      <c r="AY57" s="22">
        <f t="shared" ca="1" si="31"/>
        <v>-0.86475532873011107</v>
      </c>
      <c r="AZ57" s="22">
        <f t="shared" ca="1" si="3"/>
        <v>-0.88604066462614783</v>
      </c>
      <c r="BA57" s="22">
        <f t="shared" ca="1" si="4"/>
        <v>-0.93838120104438638</v>
      </c>
      <c r="BB57" s="22">
        <f t="shared" ca="1" si="5"/>
        <v>-0.92823091150649961</v>
      </c>
      <c r="BC57" s="22">
        <f t="shared" ca="1" si="6"/>
        <v>-0.63200000000000001</v>
      </c>
      <c r="BD57" s="22">
        <f t="shared" ca="1" si="7"/>
        <v>-0.96695508500369587</v>
      </c>
      <c r="BE57" s="22" t="e">
        <f t="shared" ca="1" si="8"/>
        <v>#DIV/0!</v>
      </c>
      <c r="BF57" s="22">
        <f t="shared" ca="1" si="9"/>
        <v>-0.92930872693149824</v>
      </c>
      <c r="BG57" s="22">
        <f t="shared" ca="1" si="10"/>
        <v>-0.92675095324101942</v>
      </c>
      <c r="BH57" s="22">
        <f t="shared" ca="1" si="11"/>
        <v>-0.93134182572951851</v>
      </c>
      <c r="BI57" s="22">
        <f t="shared" ca="1" si="12"/>
        <v>-0.97301677690656618</v>
      </c>
      <c r="BJ57" s="22">
        <f t="shared" ca="1" si="13"/>
        <v>-0.89440389294403899</v>
      </c>
      <c r="BK57" s="22">
        <f t="shared" ca="1" si="14"/>
        <v>-0.91992442011988529</v>
      </c>
      <c r="BL57" s="22">
        <f t="shared" ca="1" si="15"/>
        <v>-0.92450018296131198</v>
      </c>
      <c r="BN57" s="4" t="str">
        <f t="shared" ca="1" si="16"/>
        <v>2016-12</v>
      </c>
      <c r="BO57" s="22">
        <f t="shared" ca="1" si="17"/>
        <v>0.15879450123369757</v>
      </c>
      <c r="BP57" s="22">
        <f t="shared" ca="1" si="18"/>
        <v>0.18373281635530489</v>
      </c>
      <c r="BQ57" s="22">
        <f t="shared" ca="1" si="19"/>
        <v>0.18197039125837153</v>
      </c>
      <c r="BR57" s="22">
        <f t="shared" ca="1" si="20"/>
        <v>0.12138702855128657</v>
      </c>
      <c r="BS57" s="22">
        <f t="shared" ca="1" si="21"/>
        <v>2.0267888614733873E-3</v>
      </c>
      <c r="BT57" s="22">
        <f t="shared" ca="1" si="22"/>
        <v>3.3486076841734227E-2</v>
      </c>
      <c r="BU57" s="22">
        <f t="shared" ca="1" si="23"/>
        <v>0</v>
      </c>
      <c r="BV57" s="22">
        <f t="shared" ca="1" si="24"/>
        <v>8.9619316179062394E-2</v>
      </c>
      <c r="BW57" s="22">
        <f t="shared" ca="1" si="25"/>
        <v>1.6082129009517096E-2</v>
      </c>
      <c r="BX57" s="22">
        <f t="shared" ca="1" si="26"/>
        <v>7.4330278463165311E-2</v>
      </c>
      <c r="BY57" s="22">
        <f t="shared" ca="1" si="27"/>
        <v>2.7141346492774058E-2</v>
      </c>
      <c r="BZ57" s="22">
        <f t="shared" ca="1" si="28"/>
        <v>5.7366936905181527E-2</v>
      </c>
      <c r="CA57" s="22">
        <f t="shared" ca="1" si="29"/>
        <v>5.4150511103278114E-2</v>
      </c>
      <c r="CB57" s="22">
        <f t="shared" ca="1" si="30"/>
        <v>1</v>
      </c>
    </row>
    <row r="58" spans="2:80" ht="15" customHeight="1" x14ac:dyDescent="0.15">
      <c r="B58" s="4" t="str">
        <f ca="1">图表数据!E57</f>
        <v>2017-01</v>
      </c>
      <c r="C58" s="24">
        <v>16530</v>
      </c>
      <c r="D58" s="24">
        <v>16093</v>
      </c>
      <c r="E58" s="24">
        <v>32415</v>
      </c>
      <c r="F58" s="24">
        <v>11060</v>
      </c>
      <c r="G58" s="24">
        <v>992</v>
      </c>
      <c r="H58" s="24">
        <v>7723</v>
      </c>
      <c r="I58" s="24">
        <v>2461</v>
      </c>
      <c r="J58" s="24">
        <v>1478</v>
      </c>
      <c r="K58" s="24">
        <v>9244</v>
      </c>
      <c r="L58" s="24">
        <v>16800</v>
      </c>
      <c r="M58" s="24">
        <v>719</v>
      </c>
      <c r="N58" s="24">
        <v>6932</v>
      </c>
      <c r="O58" s="24">
        <v>6730</v>
      </c>
      <c r="P58" s="24">
        <v>129176</v>
      </c>
      <c r="R58" s="4" t="str">
        <f ca="1">图表数据!E57</f>
        <v>2017-01</v>
      </c>
      <c r="S58" s="4">
        <f ca="1">图表数据!F57</f>
        <v>16530</v>
      </c>
      <c r="T58" s="4">
        <f ca="1">图表数据!G57</f>
        <v>16093</v>
      </c>
      <c r="U58" s="4">
        <f ca="1">图表数据!H57</f>
        <v>32415</v>
      </c>
      <c r="V58" s="4">
        <f ca="1">图表数据!I57</f>
        <v>11060</v>
      </c>
      <c r="W58" s="4">
        <f ca="1">图表数据!J57</f>
        <v>992</v>
      </c>
      <c r="X58" s="4">
        <f ca="1">图表数据!K57</f>
        <v>7723</v>
      </c>
      <c r="Y58" s="4">
        <f ca="1">图表数据!L57</f>
        <v>2461</v>
      </c>
      <c r="Z58" s="4">
        <f ca="1">图表数据!M57</f>
        <v>1478</v>
      </c>
      <c r="AA58" s="4">
        <f ca="1">图表数据!N57</f>
        <v>9244</v>
      </c>
      <c r="AB58" s="4">
        <f ca="1">图表数据!O57</f>
        <v>16800</v>
      </c>
      <c r="AC58" s="4">
        <f ca="1">图表数据!P57</f>
        <v>719</v>
      </c>
      <c r="AD58" s="4">
        <f ca="1">图表数据!Q57</f>
        <v>6932</v>
      </c>
      <c r="AE58" s="4">
        <f ca="1">图表数据!R57</f>
        <v>6730</v>
      </c>
      <c r="AF58" s="4">
        <f ca="1">图表数据!S57</f>
        <v>129176</v>
      </c>
      <c r="AH58" s="4" t="str">
        <f t="shared" ca="1" si="1"/>
        <v>2017-01</v>
      </c>
      <c r="AI58" s="22" t="e">
        <f t="shared" ref="AI58:AV58" ca="1" si="75">S58/S46-1</f>
        <v>#DIV/0!</v>
      </c>
      <c r="AJ58" s="22" t="e">
        <f t="shared" ca="1" si="75"/>
        <v>#DIV/0!</v>
      </c>
      <c r="AK58" s="22" t="e">
        <f t="shared" ca="1" si="75"/>
        <v>#DIV/0!</v>
      </c>
      <c r="AL58" s="22" t="e">
        <f t="shared" ca="1" si="75"/>
        <v>#DIV/0!</v>
      </c>
      <c r="AM58" s="22" t="e">
        <f t="shared" ca="1" si="75"/>
        <v>#DIV/0!</v>
      </c>
      <c r="AN58" s="22" t="e">
        <f t="shared" ca="1" si="75"/>
        <v>#DIV/0!</v>
      </c>
      <c r="AO58" s="22" t="e">
        <f t="shared" ca="1" si="75"/>
        <v>#DIV/0!</v>
      </c>
      <c r="AP58" s="22" t="e">
        <f t="shared" ca="1" si="75"/>
        <v>#DIV/0!</v>
      </c>
      <c r="AQ58" s="22" t="e">
        <f t="shared" ca="1" si="75"/>
        <v>#DIV/0!</v>
      </c>
      <c r="AR58" s="22" t="e">
        <f t="shared" ca="1" si="75"/>
        <v>#DIV/0!</v>
      </c>
      <c r="AS58" s="22" t="e">
        <f t="shared" ca="1" si="75"/>
        <v>#DIV/0!</v>
      </c>
      <c r="AT58" s="22" t="e">
        <f t="shared" ca="1" si="75"/>
        <v>#DIV/0!</v>
      </c>
      <c r="AU58" s="22" t="e">
        <f t="shared" ca="1" si="75"/>
        <v>#DIV/0!</v>
      </c>
      <c r="AV58" s="22" t="e">
        <f t="shared" ca="1" si="75"/>
        <v>#DIV/0!</v>
      </c>
      <c r="AX58" s="4" t="str">
        <f t="shared" ca="1" si="2"/>
        <v>2017-01</v>
      </c>
      <c r="AY58" s="22">
        <f t="shared" ca="1" si="31"/>
        <v>3.5865704772475029</v>
      </c>
      <c r="AZ58" s="22">
        <f t="shared" ca="1" si="3"/>
        <v>2.8592326139088731</v>
      </c>
      <c r="BA58" s="22">
        <f t="shared" ca="1" si="4"/>
        <v>6.8486682808716708</v>
      </c>
      <c r="BB58" s="22">
        <f t="shared" ca="1" si="5"/>
        <v>3.0145190562613431</v>
      </c>
      <c r="BC58" s="22">
        <f t="shared" ca="1" si="6"/>
        <v>20.565217391304348</v>
      </c>
      <c r="BD58" s="22">
        <f t="shared" ca="1" si="7"/>
        <v>9.1618421052631582</v>
      </c>
      <c r="BE58" s="22" t="e">
        <f t="shared" ca="1" si="8"/>
        <v>#DIV/0!</v>
      </c>
      <c r="BF58" s="22">
        <f t="shared" ca="1" si="9"/>
        <v>-0.27335299901671584</v>
      </c>
      <c r="BG58" s="22">
        <f t="shared" ca="1" si="10"/>
        <v>24.326027397260273</v>
      </c>
      <c r="BH58" s="22">
        <f t="shared" ca="1" si="11"/>
        <v>8.9585062240663902</v>
      </c>
      <c r="BI58" s="22">
        <f t="shared" ca="1" si="12"/>
        <v>0.16720779220779214</v>
      </c>
      <c r="BJ58" s="22">
        <f t="shared" ca="1" si="13"/>
        <v>4.3241167434715821</v>
      </c>
      <c r="BK58" s="22">
        <f t="shared" ca="1" si="14"/>
        <v>4.4759967453213996</v>
      </c>
      <c r="BL58" s="22">
        <f t="shared" ca="1" si="15"/>
        <v>4.6915756080366586</v>
      </c>
      <c r="BN58" s="4" t="str">
        <f t="shared" ca="1" si="16"/>
        <v>2017-01</v>
      </c>
      <c r="BO58" s="22">
        <f t="shared" ca="1" si="17"/>
        <v>0.12796494704898742</v>
      </c>
      <c r="BP58" s="22">
        <f t="shared" ca="1" si="18"/>
        <v>0.12458196569022109</v>
      </c>
      <c r="BQ58" s="22">
        <f t="shared" ca="1" si="19"/>
        <v>0.250936706508949</v>
      </c>
      <c r="BR58" s="22">
        <f t="shared" ca="1" si="20"/>
        <v>8.5619619743605629E-2</v>
      </c>
      <c r="BS58" s="22">
        <f t="shared" ca="1" si="21"/>
        <v>7.6794450981606489E-3</v>
      </c>
      <c r="BT58" s="22">
        <f t="shared" ca="1" si="22"/>
        <v>5.9786647674490614E-2</v>
      </c>
      <c r="BU58" s="22">
        <f t="shared" ca="1" si="23"/>
        <v>1.9051526599368304E-2</v>
      </c>
      <c r="BV58" s="22">
        <f t="shared" ca="1" si="24"/>
        <v>1.1441753886170806E-2</v>
      </c>
      <c r="BW58" s="22">
        <f t="shared" ca="1" si="25"/>
        <v>7.156128073326315E-2</v>
      </c>
      <c r="BX58" s="22">
        <f t="shared" ca="1" si="26"/>
        <v>0.13005511859788196</v>
      </c>
      <c r="BY58" s="22">
        <f t="shared" ca="1" si="27"/>
        <v>5.566049420945067E-3</v>
      </c>
      <c r="BZ58" s="22">
        <f t="shared" ca="1" si="28"/>
        <v>5.3663219173840343E-2</v>
      </c>
      <c r="CA58" s="22">
        <f t="shared" ca="1" si="29"/>
        <v>5.2099461200222949E-2</v>
      </c>
      <c r="CB58" s="22">
        <f t="shared" ca="1" si="30"/>
        <v>1</v>
      </c>
    </row>
    <row r="59" spans="2:80" ht="15" customHeight="1" x14ac:dyDescent="0.15">
      <c r="B59" s="4" t="str">
        <f ca="1">图表数据!E58</f>
        <v>2017-02</v>
      </c>
      <c r="C59" s="24">
        <v>17814</v>
      </c>
      <c r="D59" s="24">
        <v>13203</v>
      </c>
      <c r="E59" s="24">
        <v>49185</v>
      </c>
      <c r="F59" s="24">
        <v>12290</v>
      </c>
      <c r="G59" s="24">
        <v>2334</v>
      </c>
      <c r="H59" s="24">
        <v>22470</v>
      </c>
      <c r="I59" s="24">
        <v>3020</v>
      </c>
      <c r="J59" s="24">
        <v>3051</v>
      </c>
      <c r="K59" s="24">
        <v>8977</v>
      </c>
      <c r="L59" s="24">
        <v>26070</v>
      </c>
      <c r="M59" s="24">
        <v>1845</v>
      </c>
      <c r="N59" s="24">
        <v>5329</v>
      </c>
      <c r="O59" s="24">
        <v>8122</v>
      </c>
      <c r="P59" s="24">
        <v>173711</v>
      </c>
      <c r="R59" s="4" t="str">
        <f ca="1">图表数据!E58</f>
        <v>2017-02</v>
      </c>
      <c r="S59" s="4">
        <f ca="1">图表数据!F58</f>
        <v>17814</v>
      </c>
      <c r="T59" s="4">
        <f ca="1">图表数据!G58</f>
        <v>13203</v>
      </c>
      <c r="U59" s="4">
        <f ca="1">图表数据!H58</f>
        <v>49185</v>
      </c>
      <c r="V59" s="4">
        <f ca="1">图表数据!I58</f>
        <v>12290</v>
      </c>
      <c r="W59" s="4">
        <f ca="1">图表数据!J58</f>
        <v>2334</v>
      </c>
      <c r="X59" s="4">
        <f ca="1">图表数据!K58</f>
        <v>22470</v>
      </c>
      <c r="Y59" s="4">
        <f ca="1">图表数据!L58</f>
        <v>3020</v>
      </c>
      <c r="Z59" s="4">
        <f ca="1">图表数据!M58</f>
        <v>3051</v>
      </c>
      <c r="AA59" s="4">
        <f ca="1">图表数据!N58</f>
        <v>8977</v>
      </c>
      <c r="AB59" s="4">
        <f ca="1">图表数据!O58</f>
        <v>26070</v>
      </c>
      <c r="AC59" s="4">
        <f ca="1">图表数据!P58</f>
        <v>1845</v>
      </c>
      <c r="AD59" s="4">
        <f ca="1">图表数据!Q58</f>
        <v>5329</v>
      </c>
      <c r="AE59" s="4">
        <f ca="1">图表数据!R58</f>
        <v>8122</v>
      </c>
      <c r="AF59" s="4">
        <f ca="1">图表数据!S58</f>
        <v>173711</v>
      </c>
      <c r="AH59" s="4" t="str">
        <f t="shared" ca="1" si="1"/>
        <v>2017-02</v>
      </c>
      <c r="AI59" s="22" t="e">
        <f t="shared" ref="AI59:AV59" ca="1" si="76">S59/S47-1</f>
        <v>#DIV/0!</v>
      </c>
      <c r="AJ59" s="22" t="e">
        <f t="shared" ca="1" si="76"/>
        <v>#DIV/0!</v>
      </c>
      <c r="AK59" s="22" t="e">
        <f t="shared" ca="1" si="76"/>
        <v>#DIV/0!</v>
      </c>
      <c r="AL59" s="22" t="e">
        <f t="shared" ca="1" si="76"/>
        <v>#DIV/0!</v>
      </c>
      <c r="AM59" s="22" t="e">
        <f t="shared" ca="1" si="76"/>
        <v>#DIV/0!</v>
      </c>
      <c r="AN59" s="22" t="e">
        <f t="shared" ca="1" si="76"/>
        <v>#DIV/0!</v>
      </c>
      <c r="AO59" s="22" t="e">
        <f t="shared" ca="1" si="76"/>
        <v>#DIV/0!</v>
      </c>
      <c r="AP59" s="22" t="e">
        <f t="shared" ca="1" si="76"/>
        <v>#DIV/0!</v>
      </c>
      <c r="AQ59" s="22" t="e">
        <f t="shared" ca="1" si="76"/>
        <v>#DIV/0!</v>
      </c>
      <c r="AR59" s="22" t="e">
        <f t="shared" ca="1" si="76"/>
        <v>#DIV/0!</v>
      </c>
      <c r="AS59" s="22" t="e">
        <f t="shared" ca="1" si="76"/>
        <v>#DIV/0!</v>
      </c>
      <c r="AT59" s="22" t="e">
        <f t="shared" ca="1" si="76"/>
        <v>#DIV/0!</v>
      </c>
      <c r="AU59" s="22" t="e">
        <f t="shared" ca="1" si="76"/>
        <v>#DIV/0!</v>
      </c>
      <c r="AV59" s="22" t="e">
        <f t="shared" ca="1" si="76"/>
        <v>#DIV/0!</v>
      </c>
      <c r="AX59" s="4" t="str">
        <f t="shared" ca="1" si="2"/>
        <v>2017-02</v>
      </c>
      <c r="AY59" s="22">
        <f t="shared" ca="1" si="31"/>
        <v>7.7676950998185168E-2</v>
      </c>
      <c r="AZ59" s="22">
        <f t="shared" ca="1" si="3"/>
        <v>-0.17958118436587334</v>
      </c>
      <c r="BA59" s="22">
        <f t="shared" ca="1" si="4"/>
        <v>0.51735307727903757</v>
      </c>
      <c r="BB59" s="22">
        <f t="shared" ca="1" si="5"/>
        <v>0.11121157323688968</v>
      </c>
      <c r="BC59" s="22">
        <f t="shared" ca="1" si="6"/>
        <v>1.3528225806451615</v>
      </c>
      <c r="BD59" s="22">
        <f t="shared" ca="1" si="7"/>
        <v>1.9094911303897448</v>
      </c>
      <c r="BE59" s="22">
        <f t="shared" ca="1" si="8"/>
        <v>0.22714343762698097</v>
      </c>
      <c r="BF59" s="22">
        <f t="shared" ca="1" si="9"/>
        <v>1.0642760487144791</v>
      </c>
      <c r="BG59" s="22">
        <f t="shared" ca="1" si="10"/>
        <v>-2.8883600173085222E-2</v>
      </c>
      <c r="BH59" s="22">
        <f t="shared" ca="1" si="11"/>
        <v>0.55178571428571432</v>
      </c>
      <c r="BI59" s="22">
        <f t="shared" ca="1" si="12"/>
        <v>1.5660639777468708</v>
      </c>
      <c r="BJ59" s="22">
        <f t="shared" ca="1" si="13"/>
        <v>-0.23124639353721865</v>
      </c>
      <c r="BK59" s="22">
        <f t="shared" ca="1" si="14"/>
        <v>0.20683506686478448</v>
      </c>
      <c r="BL59" s="22">
        <f t="shared" ca="1" si="15"/>
        <v>0.34476218492599253</v>
      </c>
      <c r="BN59" s="4" t="str">
        <f t="shared" ca="1" si="16"/>
        <v>2017-02</v>
      </c>
      <c r="BO59" s="22">
        <f t="shared" ca="1" si="17"/>
        <v>0.10254963704083218</v>
      </c>
      <c r="BP59" s="22">
        <f t="shared" ca="1" si="18"/>
        <v>7.6005549447070136E-2</v>
      </c>
      <c r="BQ59" s="22">
        <f t="shared" ca="1" si="19"/>
        <v>0.28314269102129397</v>
      </c>
      <c r="BR59" s="22">
        <f t="shared" ca="1" si="20"/>
        <v>7.0749693456372942E-2</v>
      </c>
      <c r="BS59" s="22">
        <f t="shared" ca="1" si="21"/>
        <v>1.3436109400095561E-2</v>
      </c>
      <c r="BT59" s="22">
        <f t="shared" ca="1" si="22"/>
        <v>0.12935277558703825</v>
      </c>
      <c r="BU59" s="22">
        <f t="shared" ca="1" si="23"/>
        <v>1.7385197252908567E-2</v>
      </c>
      <c r="BV59" s="22">
        <f t="shared" ca="1" si="24"/>
        <v>1.7563654575703323E-2</v>
      </c>
      <c r="BW59" s="22">
        <f t="shared" ca="1" si="25"/>
        <v>5.1677786668662316E-2</v>
      </c>
      <c r="BX59" s="22">
        <f t="shared" ca="1" si="26"/>
        <v>0.15007685178255839</v>
      </c>
      <c r="BY59" s="22">
        <f t="shared" ca="1" si="27"/>
        <v>1.0621089050204074E-2</v>
      </c>
      <c r="BZ59" s="22">
        <f t="shared" ca="1" si="28"/>
        <v>3.0677389457201904E-2</v>
      </c>
      <c r="CA59" s="22">
        <f t="shared" ca="1" si="29"/>
        <v>4.6755818572226285E-2</v>
      </c>
      <c r="CB59" s="22">
        <f t="shared" ca="1" si="30"/>
        <v>1</v>
      </c>
    </row>
    <row r="60" spans="2:80" ht="15" customHeight="1" x14ac:dyDescent="0.15">
      <c r="B60" s="4" t="str">
        <f ca="1">图表数据!E59</f>
        <v>2017-03</v>
      </c>
      <c r="C60" s="24">
        <v>19000</v>
      </c>
      <c r="D60" s="24">
        <v>15790</v>
      </c>
      <c r="E60" s="24">
        <v>71375</v>
      </c>
      <c r="F60" s="24">
        <v>17153</v>
      </c>
      <c r="G60" s="24">
        <v>4579</v>
      </c>
      <c r="H60" s="24">
        <v>52420</v>
      </c>
      <c r="I60" s="24">
        <v>1629</v>
      </c>
      <c r="J60" s="24">
        <v>6768</v>
      </c>
      <c r="K60" s="24">
        <v>14212</v>
      </c>
      <c r="L60" s="24">
        <v>30968</v>
      </c>
      <c r="M60" s="24">
        <v>9927</v>
      </c>
      <c r="N60" s="24">
        <v>8844</v>
      </c>
      <c r="O60" s="24">
        <v>7422</v>
      </c>
      <c r="P60" s="24">
        <v>260087</v>
      </c>
      <c r="R60" s="4" t="str">
        <f ca="1">图表数据!E59</f>
        <v>2017-03</v>
      </c>
      <c r="S60" s="4">
        <f ca="1">图表数据!F59</f>
        <v>19000</v>
      </c>
      <c r="T60" s="4">
        <f ca="1">图表数据!G59</f>
        <v>15790</v>
      </c>
      <c r="U60" s="4">
        <f ca="1">图表数据!H59</f>
        <v>71375</v>
      </c>
      <c r="V60" s="4">
        <f ca="1">图表数据!I59</f>
        <v>17153</v>
      </c>
      <c r="W60" s="4">
        <f ca="1">图表数据!J59</f>
        <v>4579</v>
      </c>
      <c r="X60" s="4">
        <f ca="1">图表数据!K59</f>
        <v>52420</v>
      </c>
      <c r="Y60" s="4">
        <f ca="1">图表数据!L59</f>
        <v>1629</v>
      </c>
      <c r="Z60" s="4">
        <f ca="1">图表数据!M59</f>
        <v>6768</v>
      </c>
      <c r="AA60" s="4">
        <f ca="1">图表数据!N59</f>
        <v>14212</v>
      </c>
      <c r="AB60" s="4">
        <f ca="1">图表数据!O59</f>
        <v>30968</v>
      </c>
      <c r="AC60" s="4">
        <f ca="1">图表数据!P59</f>
        <v>9927</v>
      </c>
      <c r="AD60" s="4">
        <f ca="1">图表数据!Q59</f>
        <v>8844</v>
      </c>
      <c r="AE60" s="4">
        <f ca="1">图表数据!R59</f>
        <v>7422</v>
      </c>
      <c r="AF60" s="4">
        <f ca="1">图表数据!S59</f>
        <v>260087</v>
      </c>
      <c r="AH60" s="4" t="str">
        <f t="shared" ca="1" si="1"/>
        <v>2017-03</v>
      </c>
      <c r="AI60" s="22" t="e">
        <f t="shared" ref="AI60:AV60" ca="1" si="77">S60/S48-1</f>
        <v>#DIV/0!</v>
      </c>
      <c r="AJ60" s="22" t="e">
        <f t="shared" ca="1" si="77"/>
        <v>#DIV/0!</v>
      </c>
      <c r="AK60" s="22" t="e">
        <f t="shared" ca="1" si="77"/>
        <v>#DIV/0!</v>
      </c>
      <c r="AL60" s="22" t="e">
        <f t="shared" ca="1" si="77"/>
        <v>#DIV/0!</v>
      </c>
      <c r="AM60" s="22" t="e">
        <f t="shared" ca="1" si="77"/>
        <v>#DIV/0!</v>
      </c>
      <c r="AN60" s="22" t="e">
        <f t="shared" ca="1" si="77"/>
        <v>#DIV/0!</v>
      </c>
      <c r="AO60" s="22" t="e">
        <f t="shared" ca="1" si="77"/>
        <v>#DIV/0!</v>
      </c>
      <c r="AP60" s="22" t="e">
        <f t="shared" ca="1" si="77"/>
        <v>#DIV/0!</v>
      </c>
      <c r="AQ60" s="22" t="e">
        <f t="shared" ca="1" si="77"/>
        <v>#DIV/0!</v>
      </c>
      <c r="AR60" s="22" t="e">
        <f t="shared" ca="1" si="77"/>
        <v>#DIV/0!</v>
      </c>
      <c r="AS60" s="22" t="e">
        <f t="shared" ca="1" si="77"/>
        <v>#DIV/0!</v>
      </c>
      <c r="AT60" s="22" t="e">
        <f t="shared" ca="1" si="77"/>
        <v>#DIV/0!</v>
      </c>
      <c r="AU60" s="22" t="e">
        <f t="shared" ca="1" si="77"/>
        <v>#DIV/0!</v>
      </c>
      <c r="AV60" s="22" t="e">
        <f t="shared" ca="1" si="77"/>
        <v>#DIV/0!</v>
      </c>
      <c r="AX60" s="4" t="str">
        <f t="shared" ca="1" si="2"/>
        <v>2017-03</v>
      </c>
      <c r="AY60" s="22">
        <f t="shared" ca="1" si="31"/>
        <v>6.6576849668799731E-2</v>
      </c>
      <c r="AZ60" s="22">
        <f t="shared" ca="1" si="3"/>
        <v>0.19594031659471334</v>
      </c>
      <c r="BA60" s="22">
        <f t="shared" ca="1" si="4"/>
        <v>0.45115380705499653</v>
      </c>
      <c r="BB60" s="22">
        <f t="shared" ca="1" si="5"/>
        <v>0.39568755085435314</v>
      </c>
      <c r="BC60" s="22">
        <f t="shared" ca="1" si="6"/>
        <v>0.96186803770351337</v>
      </c>
      <c r="BD60" s="22">
        <f t="shared" ca="1" si="7"/>
        <v>1.3328882955051178</v>
      </c>
      <c r="BE60" s="22">
        <f t="shared" ca="1" si="8"/>
        <v>-0.46059602649006626</v>
      </c>
      <c r="BF60" s="22">
        <f t="shared" ca="1" si="9"/>
        <v>1.2182890855457229</v>
      </c>
      <c r="BG60" s="22">
        <f t="shared" ca="1" si="10"/>
        <v>0.58315695666703804</v>
      </c>
      <c r="BH60" s="22">
        <f t="shared" ca="1" si="11"/>
        <v>0.18787878787878798</v>
      </c>
      <c r="BI60" s="22">
        <f t="shared" ca="1" si="12"/>
        <v>4.3804878048780491</v>
      </c>
      <c r="BJ60" s="22">
        <f t="shared" ca="1" si="13"/>
        <v>0.6595984237192718</v>
      </c>
      <c r="BK60" s="22">
        <f t="shared" ca="1" si="14"/>
        <v>-8.6185668554543238E-2</v>
      </c>
      <c r="BL60" s="22">
        <f t="shared" ca="1" si="15"/>
        <v>0.49723966818451326</v>
      </c>
      <c r="BN60" s="4" t="str">
        <f t="shared" ca="1" si="16"/>
        <v>2017-03</v>
      </c>
      <c r="BO60" s="22">
        <f t="shared" ca="1" si="17"/>
        <v>7.3052478593701342E-2</v>
      </c>
      <c r="BP60" s="22">
        <f t="shared" ca="1" si="18"/>
        <v>6.0710454578660221E-2</v>
      </c>
      <c r="BQ60" s="22">
        <f t="shared" ca="1" si="19"/>
        <v>0.2744274031381807</v>
      </c>
      <c r="BR60" s="22">
        <f t="shared" ca="1" si="20"/>
        <v>6.5951008700934691E-2</v>
      </c>
      <c r="BS60" s="22">
        <f t="shared" ca="1" si="21"/>
        <v>1.7605647341082022E-2</v>
      </c>
      <c r="BT60" s="22">
        <f t="shared" ca="1" si="22"/>
        <v>0.20154794357272759</v>
      </c>
      <c r="BU60" s="22">
        <f t="shared" ca="1" si="23"/>
        <v>6.2632888225862887E-3</v>
      </c>
      <c r="BV60" s="22">
        <f t="shared" ca="1" si="24"/>
        <v>2.6022061848535297E-2</v>
      </c>
      <c r="BW60" s="22">
        <f t="shared" ca="1" si="25"/>
        <v>5.46432539880886E-2</v>
      </c>
      <c r="BX60" s="22">
        <f t="shared" ca="1" si="26"/>
        <v>0.11906785037314437</v>
      </c>
      <c r="BY60" s="22">
        <f t="shared" ca="1" si="27"/>
        <v>3.8167997631561749E-2</v>
      </c>
      <c r="BZ60" s="22">
        <f t="shared" ca="1" si="28"/>
        <v>3.4004006351720767E-2</v>
      </c>
      <c r="CA60" s="22">
        <f t="shared" ca="1" si="29"/>
        <v>2.8536605059076386E-2</v>
      </c>
      <c r="CB60" s="22">
        <f t="shared" ca="1" si="30"/>
        <v>1</v>
      </c>
    </row>
    <row r="61" spans="2:80" ht="15" customHeight="1" x14ac:dyDescent="0.15">
      <c r="B61" s="4" t="str">
        <f ca="1">图表数据!E60</f>
        <v>2017-04</v>
      </c>
      <c r="C61" s="24">
        <v>10586</v>
      </c>
      <c r="D61" s="24">
        <v>10508</v>
      </c>
      <c r="E61" s="24">
        <v>49422</v>
      </c>
      <c r="F61" s="24">
        <v>10211</v>
      </c>
      <c r="G61" s="24">
        <v>5274</v>
      </c>
      <c r="H61" s="24">
        <v>23269</v>
      </c>
      <c r="I61" s="24">
        <v>2799</v>
      </c>
      <c r="J61" s="24">
        <v>10234</v>
      </c>
      <c r="K61" s="24">
        <v>8692</v>
      </c>
      <c r="L61" s="24">
        <v>28596</v>
      </c>
      <c r="M61" s="24">
        <v>4514</v>
      </c>
      <c r="N61" s="24">
        <v>8407</v>
      </c>
      <c r="O61" s="24">
        <v>7413</v>
      </c>
      <c r="P61" s="24">
        <v>179924</v>
      </c>
      <c r="R61" s="4" t="str">
        <f ca="1">图表数据!E60</f>
        <v>2017-04</v>
      </c>
      <c r="S61" s="4">
        <f ca="1">图表数据!F60</f>
        <v>10586</v>
      </c>
      <c r="T61" s="4">
        <f ca="1">图表数据!G60</f>
        <v>10508</v>
      </c>
      <c r="U61" s="4">
        <f ca="1">图表数据!H60</f>
        <v>49422</v>
      </c>
      <c r="V61" s="4">
        <f ca="1">图表数据!I60</f>
        <v>10211</v>
      </c>
      <c r="W61" s="4">
        <f ca="1">图表数据!J60</f>
        <v>5274</v>
      </c>
      <c r="X61" s="4">
        <f ca="1">图表数据!K60</f>
        <v>23269</v>
      </c>
      <c r="Y61" s="4">
        <f ca="1">图表数据!L60</f>
        <v>2799</v>
      </c>
      <c r="Z61" s="4">
        <f ca="1">图表数据!M60</f>
        <v>10234</v>
      </c>
      <c r="AA61" s="4">
        <f ca="1">图表数据!N60</f>
        <v>8692</v>
      </c>
      <c r="AB61" s="4">
        <f ca="1">图表数据!O60</f>
        <v>28596</v>
      </c>
      <c r="AC61" s="4">
        <f ca="1">图表数据!P60</f>
        <v>4514</v>
      </c>
      <c r="AD61" s="4">
        <f ca="1">图表数据!Q60</f>
        <v>8407</v>
      </c>
      <c r="AE61" s="4">
        <f ca="1">图表数据!R60</f>
        <v>7413</v>
      </c>
      <c r="AF61" s="4">
        <f ca="1">图表数据!S60</f>
        <v>179924</v>
      </c>
      <c r="AH61" s="4" t="str">
        <f t="shared" ca="1" si="1"/>
        <v>2017-04</v>
      </c>
      <c r="AI61" s="22">
        <f t="shared" ref="AI61:AV61" ca="1" si="78">S61/S49-1</f>
        <v>3.4348554671135316</v>
      </c>
      <c r="AJ61" s="22" t="e">
        <f t="shared" ca="1" si="78"/>
        <v>#DIV/0!</v>
      </c>
      <c r="AK61" s="22">
        <f t="shared" ca="1" si="78"/>
        <v>4491.909090909091</v>
      </c>
      <c r="AL61" s="22" t="e">
        <f t="shared" ca="1" si="78"/>
        <v>#DIV/0!</v>
      </c>
      <c r="AM61" s="22" t="e">
        <f t="shared" ca="1" si="78"/>
        <v>#DIV/0!</v>
      </c>
      <c r="AN61" s="22" t="e">
        <f t="shared" ca="1" si="78"/>
        <v>#DIV/0!</v>
      </c>
      <c r="AO61" s="22" t="e">
        <f t="shared" ca="1" si="78"/>
        <v>#DIV/0!</v>
      </c>
      <c r="AP61" s="22" t="e">
        <f t="shared" ca="1" si="78"/>
        <v>#DIV/0!</v>
      </c>
      <c r="AQ61" s="22" t="e">
        <f t="shared" ca="1" si="78"/>
        <v>#DIV/0!</v>
      </c>
      <c r="AR61" s="22" t="e">
        <f t="shared" ca="1" si="78"/>
        <v>#DIV/0!</v>
      </c>
      <c r="AS61" s="22" t="e">
        <f t="shared" ca="1" si="78"/>
        <v>#DIV/0!</v>
      </c>
      <c r="AT61" s="22" t="e">
        <f t="shared" ca="1" si="78"/>
        <v>#DIV/0!</v>
      </c>
      <c r="AU61" s="22" t="e">
        <f t="shared" ca="1" si="78"/>
        <v>#DIV/0!</v>
      </c>
      <c r="AV61" s="22">
        <f t="shared" ca="1" si="78"/>
        <v>73.999583159649859</v>
      </c>
      <c r="AX61" s="4" t="str">
        <f t="shared" ca="1" si="2"/>
        <v>2017-04</v>
      </c>
      <c r="AY61" s="22">
        <f t="shared" ca="1" si="31"/>
        <v>-0.44284210526315793</v>
      </c>
      <c r="AZ61" s="22">
        <f t="shared" ca="1" si="3"/>
        <v>-0.33451551614946173</v>
      </c>
      <c r="BA61" s="22">
        <f t="shared" ca="1" si="4"/>
        <v>-0.30757267950963219</v>
      </c>
      <c r="BB61" s="22">
        <f t="shared" ca="1" si="5"/>
        <v>-0.40471054626012948</v>
      </c>
      <c r="BC61" s="22">
        <f t="shared" ca="1" si="6"/>
        <v>0.15177986459925741</v>
      </c>
      <c r="BD61" s="22">
        <f t="shared" ca="1" si="7"/>
        <v>-0.55610454025181233</v>
      </c>
      <c r="BE61" s="22">
        <f t="shared" ca="1" si="8"/>
        <v>0.71823204419889497</v>
      </c>
      <c r="BF61" s="22">
        <f t="shared" ca="1" si="9"/>
        <v>0.51211583924349879</v>
      </c>
      <c r="BG61" s="22">
        <f t="shared" ca="1" si="10"/>
        <v>-0.38840416549394874</v>
      </c>
      <c r="BH61" s="22">
        <f t="shared" ca="1" si="11"/>
        <v>-7.6595195040041308E-2</v>
      </c>
      <c r="BI61" s="22">
        <f t="shared" ca="1" si="12"/>
        <v>-0.54528054800040293</v>
      </c>
      <c r="BJ61" s="22">
        <f t="shared" ca="1" si="13"/>
        <v>-4.9412030755314307E-2</v>
      </c>
      <c r="BK61" s="22">
        <f t="shared" ca="1" si="14"/>
        <v>-1.2126111560226693E-3</v>
      </c>
      <c r="BL61" s="22">
        <f t="shared" ca="1" si="15"/>
        <v>-0.30821609692141472</v>
      </c>
      <c r="BN61" s="4" t="str">
        <f t="shared" ca="1" si="16"/>
        <v>2017-04</v>
      </c>
      <c r="BO61" s="22">
        <f t="shared" ca="1" si="17"/>
        <v>5.8835952957915563E-2</v>
      </c>
      <c r="BP61" s="22">
        <f t="shared" ca="1" si="18"/>
        <v>5.840243658433561E-2</v>
      </c>
      <c r="BQ61" s="22">
        <f t="shared" ca="1" si="19"/>
        <v>0.27468264378293056</v>
      </c>
      <c r="BR61" s="22">
        <f t="shared" ca="1" si="20"/>
        <v>5.6751739623396545E-2</v>
      </c>
      <c r="BS61" s="22">
        <f t="shared" ca="1" si="21"/>
        <v>2.9312376336675484E-2</v>
      </c>
      <c r="BT61" s="22">
        <f t="shared" ca="1" si="22"/>
        <v>0.12932682688246147</v>
      </c>
      <c r="BU61" s="22">
        <f t="shared" ca="1" si="23"/>
        <v>1.5556568328849959E-2</v>
      </c>
      <c r="BV61" s="22">
        <f t="shared" ca="1" si="24"/>
        <v>5.6879571374580377E-2</v>
      </c>
      <c r="BW61" s="22">
        <f t="shared" ca="1" si="25"/>
        <v>4.8309286143038171E-2</v>
      </c>
      <c r="BX61" s="22">
        <f t="shared" ca="1" si="26"/>
        <v>0.15893377203708231</v>
      </c>
      <c r="BY61" s="22">
        <f t="shared" ca="1" si="27"/>
        <v>2.5088370645383606E-2</v>
      </c>
      <c r="BZ61" s="22">
        <f t="shared" ca="1" si="28"/>
        <v>4.6725284008803721E-2</v>
      </c>
      <c r="CA61" s="22">
        <f t="shared" ca="1" si="29"/>
        <v>4.1200729196771972E-2</v>
      </c>
      <c r="CB61" s="22">
        <f t="shared" ca="1" si="30"/>
        <v>1</v>
      </c>
    </row>
    <row r="62" spans="2:80" ht="15" customHeight="1" x14ac:dyDescent="0.15">
      <c r="B62" s="4" t="str">
        <f ca="1">图表数据!E61</f>
        <v>2017-05</v>
      </c>
      <c r="C62" s="24">
        <v>10112</v>
      </c>
      <c r="D62" s="24">
        <v>8898</v>
      </c>
      <c r="E62" s="24">
        <v>36923</v>
      </c>
      <c r="F62" s="24">
        <v>13791</v>
      </c>
      <c r="G62" s="24">
        <v>2607</v>
      </c>
      <c r="H62" s="24">
        <v>27974</v>
      </c>
      <c r="I62" s="24">
        <v>4240</v>
      </c>
      <c r="J62" s="24">
        <v>15734</v>
      </c>
      <c r="K62" s="24">
        <v>7620</v>
      </c>
      <c r="L62" s="24">
        <v>25061</v>
      </c>
      <c r="M62" s="24">
        <v>7609</v>
      </c>
      <c r="N62" s="24">
        <v>7467</v>
      </c>
      <c r="O62" s="24">
        <v>5974</v>
      </c>
      <c r="P62" s="24">
        <v>174011</v>
      </c>
      <c r="R62" s="4" t="str">
        <f ca="1">图表数据!E61</f>
        <v>2017-05</v>
      </c>
      <c r="S62" s="4">
        <f ca="1">图表数据!F61</f>
        <v>10112</v>
      </c>
      <c r="T62" s="4">
        <f ca="1">图表数据!G61</f>
        <v>8898</v>
      </c>
      <c r="U62" s="4">
        <f ca="1">图表数据!H61</f>
        <v>36923</v>
      </c>
      <c r="V62" s="4">
        <f ca="1">图表数据!I61</f>
        <v>13791</v>
      </c>
      <c r="W62" s="4">
        <f ca="1">图表数据!J61</f>
        <v>2607</v>
      </c>
      <c r="X62" s="4">
        <f ca="1">图表数据!K61</f>
        <v>27974</v>
      </c>
      <c r="Y62" s="4">
        <f ca="1">图表数据!L61</f>
        <v>4240</v>
      </c>
      <c r="Z62" s="4">
        <f ca="1">图表数据!M61</f>
        <v>15734</v>
      </c>
      <c r="AA62" s="4">
        <f ca="1">图表数据!N61</f>
        <v>7620</v>
      </c>
      <c r="AB62" s="4">
        <f ca="1">图表数据!O61</f>
        <v>25061</v>
      </c>
      <c r="AC62" s="4">
        <f ca="1">图表数据!P61</f>
        <v>7609</v>
      </c>
      <c r="AD62" s="4">
        <f ca="1">图表数据!Q61</f>
        <v>7467</v>
      </c>
      <c r="AE62" s="4">
        <f ca="1">图表数据!R61</f>
        <v>5974</v>
      </c>
      <c r="AF62" s="4">
        <f ca="1">图表数据!S61</f>
        <v>174011</v>
      </c>
      <c r="AH62" s="4" t="str">
        <f t="shared" ca="1" si="1"/>
        <v>2017-05</v>
      </c>
      <c r="AI62" s="22">
        <f t="shared" ref="AI62:AV62" ca="1" si="79">S62/S50-1</f>
        <v>0.68308921438082559</v>
      </c>
      <c r="AJ62" s="22">
        <f t="shared" ca="1" si="79"/>
        <v>0.16664481447489177</v>
      </c>
      <c r="AK62" s="22">
        <f t="shared" ca="1" si="79"/>
        <v>2.2917000980654363</v>
      </c>
      <c r="AL62" s="22">
        <f t="shared" ca="1" si="79"/>
        <v>0.21688873202153003</v>
      </c>
      <c r="AM62" s="22" t="e">
        <f t="shared" ca="1" si="79"/>
        <v>#DIV/0!</v>
      </c>
      <c r="AN62" s="22">
        <f t="shared" ca="1" si="79"/>
        <v>134.14009661835749</v>
      </c>
      <c r="AO62" s="22" t="e">
        <f t="shared" ca="1" si="79"/>
        <v>#DIV/0!</v>
      </c>
      <c r="AP62" s="22">
        <f t="shared" ca="1" si="79"/>
        <v>32.982721382289419</v>
      </c>
      <c r="AQ62" s="22">
        <f t="shared" ca="1" si="79"/>
        <v>-0.47448275862068967</v>
      </c>
      <c r="AR62" s="22">
        <f t="shared" ca="1" si="79"/>
        <v>2.2992364402317009</v>
      </c>
      <c r="AS62" s="22" t="e">
        <f t="shared" ca="1" si="79"/>
        <v>#DIV/0!</v>
      </c>
      <c r="AT62" s="22">
        <f t="shared" ca="1" si="79"/>
        <v>18</v>
      </c>
      <c r="AU62" s="22">
        <f t="shared" ca="1" si="79"/>
        <v>1.0114478114478116</v>
      </c>
      <c r="AV62" s="22">
        <f t="shared" ca="1" si="79"/>
        <v>1.7924864396443816</v>
      </c>
      <c r="AX62" s="4" t="str">
        <f t="shared" ca="1" si="2"/>
        <v>2017-05</v>
      </c>
      <c r="AY62" s="22">
        <f t="shared" ca="1" si="31"/>
        <v>-4.4776119402985093E-2</v>
      </c>
      <c r="AZ62" s="22">
        <f t="shared" ca="1" si="3"/>
        <v>-0.1532165968785687</v>
      </c>
      <c r="BA62" s="22">
        <f t="shared" ca="1" si="4"/>
        <v>-0.25290356521387236</v>
      </c>
      <c r="BB62" s="22">
        <f t="shared" ca="1" si="5"/>
        <v>0.35060229164626389</v>
      </c>
      <c r="BC62" s="22">
        <f t="shared" ca="1" si="6"/>
        <v>-0.50568828213879402</v>
      </c>
      <c r="BD62" s="22">
        <f t="shared" ca="1" si="7"/>
        <v>0.20220035240018919</v>
      </c>
      <c r="BE62" s="22">
        <f t="shared" ca="1" si="8"/>
        <v>0.51482672382993933</v>
      </c>
      <c r="BF62" s="22">
        <f t="shared" ca="1" si="9"/>
        <v>0.53742427203439513</v>
      </c>
      <c r="BG62" s="22">
        <f t="shared" ca="1" si="10"/>
        <v>-0.12333179935572935</v>
      </c>
      <c r="BH62" s="22">
        <f t="shared" ca="1" si="11"/>
        <v>-0.1236186879283816</v>
      </c>
      <c r="BI62" s="22">
        <f t="shared" ca="1" si="12"/>
        <v>0.68564466105449706</v>
      </c>
      <c r="BJ62" s="22">
        <f t="shared" ca="1" si="13"/>
        <v>-0.1118115855834424</v>
      </c>
      <c r="BK62" s="22">
        <f t="shared" ca="1" si="14"/>
        <v>-0.19411844057736405</v>
      </c>
      <c r="BL62" s="22">
        <f t="shared" ca="1" si="15"/>
        <v>-3.2863875858695879E-2</v>
      </c>
      <c r="BN62" s="4" t="str">
        <f t="shared" ca="1" si="16"/>
        <v>2017-05</v>
      </c>
      <c r="BO62" s="22">
        <f t="shared" ca="1" si="17"/>
        <v>5.8111268827832727E-2</v>
      </c>
      <c r="BP62" s="22">
        <f t="shared" ca="1" si="18"/>
        <v>5.1134698381136823E-2</v>
      </c>
      <c r="BQ62" s="22">
        <f t="shared" ca="1" si="19"/>
        <v>0.21218773525811588</v>
      </c>
      <c r="BR62" s="22">
        <f t="shared" ca="1" si="20"/>
        <v>7.9253610403939981E-2</v>
      </c>
      <c r="BS62" s="22">
        <f t="shared" ca="1" si="21"/>
        <v>1.4981811494675625E-2</v>
      </c>
      <c r="BT62" s="22">
        <f t="shared" ca="1" si="22"/>
        <v>0.16075995195706019</v>
      </c>
      <c r="BU62" s="22">
        <f t="shared" ca="1" si="23"/>
        <v>2.436627569521467E-2</v>
      </c>
      <c r="BV62" s="22">
        <f t="shared" ca="1" si="24"/>
        <v>9.0419571176534819E-2</v>
      </c>
      <c r="BW62" s="22">
        <f t="shared" ca="1" si="25"/>
        <v>4.3790335093758438E-2</v>
      </c>
      <c r="BX62" s="22">
        <f t="shared" ca="1" si="26"/>
        <v>0.14401963094287143</v>
      </c>
      <c r="BY62" s="22">
        <f t="shared" ca="1" si="27"/>
        <v>4.3727120699266139E-2</v>
      </c>
      <c r="BZ62" s="22">
        <f t="shared" ca="1" si="28"/>
        <v>4.2911080334001872E-2</v>
      </c>
      <c r="CA62" s="22">
        <f t="shared" ca="1" si="29"/>
        <v>3.4331162972455767E-2</v>
      </c>
      <c r="CB62" s="22">
        <f t="shared" ca="1" si="30"/>
        <v>1</v>
      </c>
    </row>
    <row r="63" spans="2:80" ht="15" customHeight="1" x14ac:dyDescent="0.15">
      <c r="B63" s="4" t="str">
        <f ca="1">图表数据!E62</f>
        <v>2017-06</v>
      </c>
      <c r="C63" s="24">
        <v>4567</v>
      </c>
      <c r="D63" s="24">
        <v>10504</v>
      </c>
      <c r="E63" s="24">
        <v>34433</v>
      </c>
      <c r="F63" s="24">
        <v>7791</v>
      </c>
      <c r="G63" s="24">
        <v>1942</v>
      </c>
      <c r="H63" s="24">
        <v>7787</v>
      </c>
      <c r="I63" s="24">
        <v>2988</v>
      </c>
      <c r="J63" s="24">
        <v>6451</v>
      </c>
      <c r="K63" s="24">
        <v>3674</v>
      </c>
      <c r="L63" s="24">
        <v>34068</v>
      </c>
      <c r="M63" s="24">
        <v>10338</v>
      </c>
      <c r="N63" s="24">
        <v>4467</v>
      </c>
      <c r="O63" s="24">
        <v>5125</v>
      </c>
      <c r="P63" s="24">
        <v>134136</v>
      </c>
      <c r="R63" s="4" t="str">
        <f ca="1">图表数据!E62</f>
        <v>2017-06</v>
      </c>
      <c r="S63" s="4">
        <f ca="1">图表数据!F62</f>
        <v>4567</v>
      </c>
      <c r="T63" s="4">
        <f ca="1">图表数据!G62</f>
        <v>10504</v>
      </c>
      <c r="U63" s="4">
        <f ca="1">图表数据!H62</f>
        <v>34433</v>
      </c>
      <c r="V63" s="4">
        <f ca="1">图表数据!I62</f>
        <v>7791</v>
      </c>
      <c r="W63" s="4">
        <f ca="1">图表数据!J62</f>
        <v>1942</v>
      </c>
      <c r="X63" s="4">
        <f ca="1">图表数据!K62</f>
        <v>7787</v>
      </c>
      <c r="Y63" s="4">
        <f ca="1">图表数据!L62</f>
        <v>2988</v>
      </c>
      <c r="Z63" s="4">
        <f ca="1">图表数据!M62</f>
        <v>6451</v>
      </c>
      <c r="AA63" s="4">
        <f ca="1">图表数据!N62</f>
        <v>3674</v>
      </c>
      <c r="AB63" s="4">
        <f ca="1">图表数据!O62</f>
        <v>34068</v>
      </c>
      <c r="AC63" s="4">
        <f ca="1">图表数据!P62</f>
        <v>10338</v>
      </c>
      <c r="AD63" s="4">
        <f ca="1">图表数据!Q62</f>
        <v>4467</v>
      </c>
      <c r="AE63" s="4">
        <f ca="1">图表数据!R62</f>
        <v>5125</v>
      </c>
      <c r="AF63" s="4">
        <f ca="1">图表数据!S62</f>
        <v>134136</v>
      </c>
      <c r="AH63" s="4" t="str">
        <f t="shared" ca="1" si="1"/>
        <v>2017-06</v>
      </c>
      <c r="AI63" s="22">
        <f t="shared" ref="AI63:AV63" ca="1" si="80">S63/S51-1</f>
        <v>-0.70754354508196715</v>
      </c>
      <c r="AJ63" s="22">
        <f t="shared" ca="1" si="80"/>
        <v>-0.62531212099593358</v>
      </c>
      <c r="AK63" s="22">
        <f t="shared" ca="1" si="80"/>
        <v>-0.21950721943921847</v>
      </c>
      <c r="AL63" s="22">
        <f t="shared" ca="1" si="80"/>
        <v>-0.66952279957582184</v>
      </c>
      <c r="AM63" s="22" t="e">
        <f t="shared" ca="1" si="80"/>
        <v>#DIV/0!</v>
      </c>
      <c r="AN63" s="22">
        <f t="shared" ca="1" si="80"/>
        <v>1.6658678534748375</v>
      </c>
      <c r="AO63" s="22" t="e">
        <f t="shared" ca="1" si="80"/>
        <v>#DIV/0!</v>
      </c>
      <c r="AP63" s="22">
        <f t="shared" ca="1" si="80"/>
        <v>0.42532037118868748</v>
      </c>
      <c r="AQ63" s="22">
        <f t="shared" ca="1" si="80"/>
        <v>-0.91348372815899781</v>
      </c>
      <c r="AR63" s="22">
        <f t="shared" ca="1" si="80"/>
        <v>0.98346530041918956</v>
      </c>
      <c r="AS63" s="22">
        <f t="shared" ca="1" si="80"/>
        <v>4.5491143317230271</v>
      </c>
      <c r="AT63" s="22">
        <f t="shared" ca="1" si="80"/>
        <v>-0.52919477234401346</v>
      </c>
      <c r="AU63" s="22">
        <f t="shared" ca="1" si="80"/>
        <v>-2.7329664072879067E-2</v>
      </c>
      <c r="AV63" s="22">
        <f t="shared" ca="1" si="80"/>
        <v>-0.31230646186657918</v>
      </c>
      <c r="AX63" s="4" t="str">
        <f t="shared" ca="1" si="2"/>
        <v>2017-06</v>
      </c>
      <c r="AY63" s="22">
        <f t="shared" ca="1" si="31"/>
        <v>-0.54835838607594933</v>
      </c>
      <c r="AZ63" s="22">
        <f t="shared" ca="1" si="3"/>
        <v>0.18048999775230379</v>
      </c>
      <c r="BA63" s="22">
        <f t="shared" ca="1" si="4"/>
        <v>-6.7437640495084383E-2</v>
      </c>
      <c r="BB63" s="22">
        <f t="shared" ca="1" si="5"/>
        <v>-0.43506634761801177</v>
      </c>
      <c r="BC63" s="22">
        <f t="shared" ca="1" si="6"/>
        <v>-0.25508247027234365</v>
      </c>
      <c r="BD63" s="22">
        <f t="shared" ca="1" si="7"/>
        <v>-0.72163437477657832</v>
      </c>
      <c r="BE63" s="22">
        <f t="shared" ca="1" si="8"/>
        <v>-0.29528301886792452</v>
      </c>
      <c r="BF63" s="22">
        <f t="shared" ca="1" si="9"/>
        <v>-0.58999618660226261</v>
      </c>
      <c r="BG63" s="22">
        <f t="shared" ca="1" si="10"/>
        <v>-0.51784776902887142</v>
      </c>
      <c r="BH63" s="22">
        <f t="shared" ca="1" si="11"/>
        <v>0.35940305654203741</v>
      </c>
      <c r="BI63" s="22">
        <f t="shared" ca="1" si="12"/>
        <v>0.35865422525956103</v>
      </c>
      <c r="BJ63" s="22">
        <f t="shared" ca="1" si="13"/>
        <v>-0.40176777822418641</v>
      </c>
      <c r="BK63" s="22">
        <f t="shared" ca="1" si="14"/>
        <v>-0.14211583528624039</v>
      </c>
      <c r="BL63" s="22">
        <f t="shared" ca="1" si="15"/>
        <v>-0.22915218003459548</v>
      </c>
      <c r="BN63" s="4" t="str">
        <f t="shared" ca="1" si="16"/>
        <v>2017-06</v>
      </c>
      <c r="BO63" s="22">
        <f t="shared" ca="1" si="17"/>
        <v>3.4047533846245599E-2</v>
      </c>
      <c r="BP63" s="22">
        <f t="shared" ca="1" si="18"/>
        <v>7.8308582334347232E-2</v>
      </c>
      <c r="BQ63" s="22">
        <f t="shared" ca="1" si="19"/>
        <v>0.25670215303870697</v>
      </c>
      <c r="BR63" s="22">
        <f t="shared" ca="1" si="20"/>
        <v>5.8082841295401678E-2</v>
      </c>
      <c r="BS63" s="22">
        <f t="shared" ca="1" si="21"/>
        <v>1.4477843382835332E-2</v>
      </c>
      <c r="BT63" s="22">
        <f t="shared" ca="1" si="22"/>
        <v>5.805302081469553E-2</v>
      </c>
      <c r="BU63" s="22">
        <f t="shared" ca="1" si="23"/>
        <v>2.2275899087493289E-2</v>
      </c>
      <c r="BV63" s="22">
        <f t="shared" ca="1" si="24"/>
        <v>4.8092980258841775E-2</v>
      </c>
      <c r="BW63" s="22">
        <f t="shared" ca="1" si="25"/>
        <v>2.7390111528597841E-2</v>
      </c>
      <c r="BX63" s="22">
        <f t="shared" ca="1" si="26"/>
        <v>0.25398103417427087</v>
      </c>
      <c r="BY63" s="22">
        <f t="shared" ca="1" si="27"/>
        <v>7.7071032385042051E-2</v>
      </c>
      <c r="BZ63" s="22">
        <f t="shared" ca="1" si="28"/>
        <v>3.3302021828591877E-2</v>
      </c>
      <c r="CA63" s="22">
        <f t="shared" ca="1" si="29"/>
        <v>3.8207490904753387E-2</v>
      </c>
      <c r="CB63" s="22">
        <f t="shared" ca="1" si="30"/>
        <v>1</v>
      </c>
    </row>
    <row r="64" spans="2:80" ht="15" customHeight="1" x14ac:dyDescent="0.15">
      <c r="B64" s="4" t="str">
        <f ca="1">图表数据!E63</f>
        <v>2017-07</v>
      </c>
      <c r="C64" s="24">
        <v>6181</v>
      </c>
      <c r="D64" s="24">
        <v>8079</v>
      </c>
      <c r="E64" s="24">
        <v>29664</v>
      </c>
      <c r="F64" s="24">
        <v>6134</v>
      </c>
      <c r="G64" s="24">
        <v>1973</v>
      </c>
      <c r="H64" s="24">
        <v>36827</v>
      </c>
      <c r="I64" s="24">
        <v>2433</v>
      </c>
      <c r="J64" s="24">
        <v>4745</v>
      </c>
      <c r="K64" s="24">
        <v>2327</v>
      </c>
      <c r="L64" s="24">
        <v>37234</v>
      </c>
      <c r="M64" s="24">
        <v>8715</v>
      </c>
      <c r="N64" s="24">
        <v>4690</v>
      </c>
      <c r="O64" s="24">
        <v>4068</v>
      </c>
      <c r="P64" s="24">
        <v>153070</v>
      </c>
      <c r="R64" s="4" t="str">
        <f ca="1">图表数据!E63</f>
        <v>2017-07</v>
      </c>
      <c r="S64" s="4">
        <f ca="1">图表数据!F63</f>
        <v>6181</v>
      </c>
      <c r="T64" s="4">
        <f ca="1">图表数据!G63</f>
        <v>8079</v>
      </c>
      <c r="U64" s="4">
        <f ca="1">图表数据!H63</f>
        <v>29664</v>
      </c>
      <c r="V64" s="4">
        <f ca="1">图表数据!I63</f>
        <v>6134</v>
      </c>
      <c r="W64" s="4">
        <f ca="1">图表数据!J63</f>
        <v>1973</v>
      </c>
      <c r="X64" s="4">
        <f ca="1">图表数据!K63</f>
        <v>36827</v>
      </c>
      <c r="Y64" s="4">
        <f ca="1">图表数据!L63</f>
        <v>2433</v>
      </c>
      <c r="Z64" s="4">
        <f ca="1">图表数据!M63</f>
        <v>4745</v>
      </c>
      <c r="AA64" s="4">
        <f ca="1">图表数据!N63</f>
        <v>2327</v>
      </c>
      <c r="AB64" s="4">
        <f ca="1">图表数据!O63</f>
        <v>37234</v>
      </c>
      <c r="AC64" s="4">
        <f ca="1">图表数据!P63</f>
        <v>8715</v>
      </c>
      <c r="AD64" s="4">
        <f ca="1">图表数据!Q63</f>
        <v>4690</v>
      </c>
      <c r="AE64" s="4">
        <f ca="1">图表数据!R63</f>
        <v>4068</v>
      </c>
      <c r="AF64" s="4">
        <f ca="1">图表数据!S63</f>
        <v>153070</v>
      </c>
      <c r="AH64" s="4" t="str">
        <f t="shared" ca="1" si="1"/>
        <v>2017-07</v>
      </c>
      <c r="AI64" s="22">
        <f t="shared" ref="AI64:AV64" ca="1" si="81">S64/S52-1</f>
        <v>-0.81735713019325096</v>
      </c>
      <c r="AJ64" s="22">
        <f t="shared" ca="1" si="81"/>
        <v>-0.82398692810457519</v>
      </c>
      <c r="AK64" s="22">
        <f t="shared" ca="1" si="81"/>
        <v>-0.50016849767473204</v>
      </c>
      <c r="AL64" s="22">
        <f t="shared" ca="1" si="81"/>
        <v>-0.8590209147322454</v>
      </c>
      <c r="AM64" s="22">
        <f t="shared" ca="1" si="81"/>
        <v>1.3657074340527577</v>
      </c>
      <c r="AN64" s="22">
        <f t="shared" ca="1" si="81"/>
        <v>-0.37705944044115158</v>
      </c>
      <c r="AO64" s="22" t="e">
        <f t="shared" ca="1" si="81"/>
        <v>#DIV/0!</v>
      </c>
      <c r="AP64" s="22">
        <f t="shared" ca="1" si="81"/>
        <v>-0.80598601627345956</v>
      </c>
      <c r="AQ64" s="22">
        <f t="shared" ca="1" si="81"/>
        <v>-0.93689491525423729</v>
      </c>
      <c r="AR64" s="22">
        <f t="shared" ca="1" si="81"/>
        <v>0.46222117499214588</v>
      </c>
      <c r="AS64" s="22">
        <f t="shared" ca="1" si="81"/>
        <v>0.26837432688109453</v>
      </c>
      <c r="AT64" s="22">
        <f t="shared" ca="1" si="81"/>
        <v>-0.77621910487641954</v>
      </c>
      <c r="AU64" s="22">
        <f t="shared" ca="1" si="81"/>
        <v>-0.61164677804295942</v>
      </c>
      <c r="AV64" s="22">
        <f t="shared" ca="1" si="81"/>
        <v>-0.58365293077655378</v>
      </c>
      <c r="AX64" s="4" t="str">
        <f t="shared" ca="1" si="2"/>
        <v>2017-07</v>
      </c>
      <c r="AY64" s="22">
        <f t="shared" ca="1" si="31"/>
        <v>0.3534048609590541</v>
      </c>
      <c r="AZ64" s="22">
        <f t="shared" ca="1" si="3"/>
        <v>-0.23086443259710587</v>
      </c>
      <c r="BA64" s="22">
        <f t="shared" ca="1" si="4"/>
        <v>-0.13850085673627044</v>
      </c>
      <c r="BB64" s="22">
        <f t="shared" ca="1" si="5"/>
        <v>-0.21268129893466825</v>
      </c>
      <c r="BC64" s="22">
        <f t="shared" ca="1" si="6"/>
        <v>1.5962924819773461E-2</v>
      </c>
      <c r="BD64" s="22">
        <f t="shared" ca="1" si="7"/>
        <v>3.7292924104276359</v>
      </c>
      <c r="BE64" s="22">
        <f t="shared" ca="1" si="8"/>
        <v>-0.18574297188755018</v>
      </c>
      <c r="BF64" s="22">
        <f t="shared" ca="1" si="9"/>
        <v>-0.2644551232367075</v>
      </c>
      <c r="BG64" s="22">
        <f t="shared" ca="1" si="10"/>
        <v>-0.36663037561241152</v>
      </c>
      <c r="BH64" s="22">
        <f t="shared" ca="1" si="11"/>
        <v>9.2931783491839948E-2</v>
      </c>
      <c r="BI64" s="22">
        <f t="shared" ca="1" si="12"/>
        <v>-0.15699361578641902</v>
      </c>
      <c r="BJ64" s="22">
        <f t="shared" ca="1" si="13"/>
        <v>4.9921647638236033E-2</v>
      </c>
      <c r="BK64" s="22">
        <f t="shared" ca="1" si="14"/>
        <v>-0.20624390243902435</v>
      </c>
      <c r="BL64" s="22">
        <f t="shared" ca="1" si="15"/>
        <v>0.1411552454225562</v>
      </c>
      <c r="BN64" s="4" t="str">
        <f t="shared" ca="1" si="16"/>
        <v>2017-07</v>
      </c>
      <c r="BO64" s="22">
        <f t="shared" ca="1" si="17"/>
        <v>4.0380218200823152E-2</v>
      </c>
      <c r="BP64" s="22">
        <f t="shared" ca="1" si="18"/>
        <v>5.2779773959626318E-2</v>
      </c>
      <c r="BQ64" s="22">
        <f t="shared" ca="1" si="19"/>
        <v>0.19379368916182138</v>
      </c>
      <c r="BR64" s="22">
        <f t="shared" ca="1" si="20"/>
        <v>4.0073169138302736E-2</v>
      </c>
      <c r="BS64" s="22">
        <f t="shared" ca="1" si="21"/>
        <v>1.288952766708042E-2</v>
      </c>
      <c r="BT64" s="22">
        <f t="shared" ca="1" si="22"/>
        <v>0.2405892728816881</v>
      </c>
      <c r="BU64" s="22">
        <f t="shared" ca="1" si="23"/>
        <v>1.5894688704514274E-2</v>
      </c>
      <c r="BV64" s="22">
        <f t="shared" ca="1" si="24"/>
        <v>3.0998889397007904E-2</v>
      </c>
      <c r="BW64" s="22">
        <f t="shared" ca="1" si="25"/>
        <v>1.5202195074149083E-2</v>
      </c>
      <c r="BX64" s="22">
        <f t="shared" ca="1" si="26"/>
        <v>0.24324818710393936</v>
      </c>
      <c r="BY64" s="22">
        <f t="shared" ca="1" si="27"/>
        <v>5.6934735741817469E-2</v>
      </c>
      <c r="BZ64" s="22">
        <f t="shared" ca="1" si="28"/>
        <v>3.0639576664271247E-2</v>
      </c>
      <c r="CA64" s="22">
        <f t="shared" ca="1" si="29"/>
        <v>2.6576076304958517E-2</v>
      </c>
      <c r="CB64" s="22">
        <f t="shared" ca="1" si="30"/>
        <v>1</v>
      </c>
    </row>
    <row r="65" spans="2:80" ht="15" customHeight="1" x14ac:dyDescent="0.15">
      <c r="B65" s="4" t="str">
        <f ca="1">图表数据!E64</f>
        <v>2017-08</v>
      </c>
      <c r="C65" s="24">
        <v>5906</v>
      </c>
      <c r="D65" s="24">
        <v>7970</v>
      </c>
      <c r="E65" s="24">
        <v>38111</v>
      </c>
      <c r="F65" s="24">
        <v>7990</v>
      </c>
      <c r="G65" s="24">
        <v>714</v>
      </c>
      <c r="H65" s="24">
        <v>48108</v>
      </c>
      <c r="I65" s="24">
        <v>4209</v>
      </c>
      <c r="J65" s="24">
        <v>7906</v>
      </c>
      <c r="K65" s="24">
        <v>14790</v>
      </c>
      <c r="L65" s="24">
        <v>39455</v>
      </c>
      <c r="M65" s="24">
        <v>8333</v>
      </c>
      <c r="N65" s="24">
        <v>4815</v>
      </c>
      <c r="O65" s="24">
        <v>3358</v>
      </c>
      <c r="P65" s="24">
        <v>191666</v>
      </c>
      <c r="R65" s="4" t="str">
        <f ca="1">图表数据!E64</f>
        <v>2017-08</v>
      </c>
      <c r="S65" s="4">
        <f ca="1">图表数据!F64</f>
        <v>5906</v>
      </c>
      <c r="T65" s="4">
        <f ca="1">图表数据!G64</f>
        <v>7970</v>
      </c>
      <c r="U65" s="4">
        <f ca="1">图表数据!H64</f>
        <v>38111</v>
      </c>
      <c r="V65" s="4">
        <f ca="1">图表数据!I64</f>
        <v>7990</v>
      </c>
      <c r="W65" s="4">
        <f ca="1">图表数据!J64</f>
        <v>714</v>
      </c>
      <c r="X65" s="4">
        <f ca="1">图表数据!K64</f>
        <v>48108</v>
      </c>
      <c r="Y65" s="4">
        <f ca="1">图表数据!L64</f>
        <v>4209</v>
      </c>
      <c r="Z65" s="4">
        <f ca="1">图表数据!M64</f>
        <v>7906</v>
      </c>
      <c r="AA65" s="4">
        <f ca="1">图表数据!N64</f>
        <v>14790</v>
      </c>
      <c r="AB65" s="4">
        <f ca="1">图表数据!O64</f>
        <v>39455</v>
      </c>
      <c r="AC65" s="4">
        <f ca="1">图表数据!P64</f>
        <v>8333</v>
      </c>
      <c r="AD65" s="4">
        <f ca="1">图表数据!Q64</f>
        <v>4815</v>
      </c>
      <c r="AE65" s="4">
        <f ca="1">图表数据!R64</f>
        <v>3358</v>
      </c>
      <c r="AF65" s="4">
        <f ca="1">图表数据!S64</f>
        <v>191666</v>
      </c>
      <c r="AH65" s="4" t="str">
        <f t="shared" ca="1" si="1"/>
        <v>2017-08</v>
      </c>
      <c r="AI65" s="22">
        <f t="shared" ref="AI65:AV65" ca="1" si="82">S65/S53-1</f>
        <v>-0.87939554829487443</v>
      </c>
      <c r="AJ65" s="22">
        <f t="shared" ca="1" si="82"/>
        <v>-0.86072277366140082</v>
      </c>
      <c r="AK65" s="22">
        <f t="shared" ca="1" si="82"/>
        <v>-0.58646469688256164</v>
      </c>
      <c r="AL65" s="22">
        <f t="shared" ca="1" si="82"/>
        <v>-0.8800192209508364</v>
      </c>
      <c r="AM65" s="22">
        <f t="shared" ca="1" si="82"/>
        <v>-0.27068437180796734</v>
      </c>
      <c r="AN65" s="22">
        <f t="shared" ca="1" si="82"/>
        <v>-0.6035828176372191</v>
      </c>
      <c r="AO65" s="22" t="e">
        <f t="shared" ca="1" si="82"/>
        <v>#DIV/0!</v>
      </c>
      <c r="AP65" s="22">
        <f t="shared" ca="1" si="82"/>
        <v>-0.61413441358777887</v>
      </c>
      <c r="AQ65" s="22">
        <f t="shared" ca="1" si="82"/>
        <v>-0.46729577870623829</v>
      </c>
      <c r="AR65" s="22">
        <f t="shared" ca="1" si="82"/>
        <v>0.19459246699769883</v>
      </c>
      <c r="AS65" s="22">
        <f t="shared" ca="1" si="82"/>
        <v>-0.68586722961510915</v>
      </c>
      <c r="AT65" s="22">
        <f t="shared" ca="1" si="82"/>
        <v>-0.83753416337686004</v>
      </c>
      <c r="AU65" s="22">
        <f t="shared" ca="1" si="82"/>
        <v>-0.80299207978879439</v>
      </c>
      <c r="AV65" s="22">
        <f t="shared" ca="1" si="82"/>
        <v>-0.64622387277304849</v>
      </c>
      <c r="AX65" s="4" t="str">
        <f t="shared" ca="1" si="2"/>
        <v>2017-08</v>
      </c>
      <c r="AY65" s="22">
        <f t="shared" ca="1" si="31"/>
        <v>-4.4491182656528072E-2</v>
      </c>
      <c r="AZ65" s="22">
        <f t="shared" ca="1" si="3"/>
        <v>-1.3491768783265301E-2</v>
      </c>
      <c r="BA65" s="22">
        <f t="shared" ca="1" si="4"/>
        <v>0.28475593311758352</v>
      </c>
      <c r="BB65" s="22">
        <f t="shared" ca="1" si="5"/>
        <v>0.30257580697750242</v>
      </c>
      <c r="BC65" s="22">
        <f t="shared" ca="1" si="6"/>
        <v>-0.63811454637607712</v>
      </c>
      <c r="BD65" s="22">
        <f t="shared" ca="1" si="7"/>
        <v>0.30632416433594911</v>
      </c>
      <c r="BE65" s="22">
        <f t="shared" ca="1" si="8"/>
        <v>0.72996300863131935</v>
      </c>
      <c r="BF65" s="22">
        <f t="shared" ca="1" si="9"/>
        <v>0.66617492096944142</v>
      </c>
      <c r="BG65" s="22">
        <f t="shared" ca="1" si="10"/>
        <v>5.3558229480017188</v>
      </c>
      <c r="BH65" s="22">
        <f t="shared" ca="1" si="11"/>
        <v>5.9649782456894229E-2</v>
      </c>
      <c r="BI65" s="22">
        <f t="shared" ca="1" si="12"/>
        <v>-4.3832472748135398E-2</v>
      </c>
      <c r="BJ65" s="22">
        <f t="shared" ca="1" si="13"/>
        <v>2.6652452025586415E-2</v>
      </c>
      <c r="BK65" s="22">
        <f t="shared" ca="1" si="14"/>
        <v>-0.17453294001966568</v>
      </c>
      <c r="BL65" s="22">
        <f t="shared" ca="1" si="15"/>
        <v>0.25214607695825442</v>
      </c>
      <c r="BN65" s="4" t="str">
        <f t="shared" ca="1" si="16"/>
        <v>2017-08</v>
      </c>
      <c r="BO65" s="22">
        <f t="shared" ca="1" si="17"/>
        <v>3.0814020222679036E-2</v>
      </c>
      <c r="BP65" s="22">
        <f t="shared" ca="1" si="18"/>
        <v>4.1582753331315933E-2</v>
      </c>
      <c r="BQ65" s="22">
        <f t="shared" ca="1" si="19"/>
        <v>0.19884069161979695</v>
      </c>
      <c r="BR65" s="22">
        <f t="shared" ca="1" si="20"/>
        <v>4.1687101520353112E-2</v>
      </c>
      <c r="BS65" s="22">
        <f t="shared" ca="1" si="21"/>
        <v>3.7252303486272997E-3</v>
      </c>
      <c r="BT65" s="22">
        <f t="shared" ca="1" si="22"/>
        <v>0.25099913391003098</v>
      </c>
      <c r="BU65" s="22">
        <f t="shared" ca="1" si="23"/>
        <v>2.1960076382874377E-2</v>
      </c>
      <c r="BV65" s="22">
        <f t="shared" ca="1" si="24"/>
        <v>4.1248839126396965E-2</v>
      </c>
      <c r="BW65" s="22">
        <f t="shared" ca="1" si="25"/>
        <v>7.7165485792994065E-2</v>
      </c>
      <c r="BX65" s="22">
        <f t="shared" ca="1" si="26"/>
        <v>0.20585288992309539</v>
      </c>
      <c r="BY65" s="22">
        <f t="shared" ca="1" si="27"/>
        <v>4.3476672962340736E-2</v>
      </c>
      <c r="BZ65" s="22">
        <f t="shared" ca="1" si="28"/>
        <v>2.5121826510700905E-2</v>
      </c>
      <c r="CA65" s="22">
        <f t="shared" ca="1" si="29"/>
        <v>1.7520060939342396E-2</v>
      </c>
      <c r="CB65" s="22">
        <f t="shared" ca="1" si="30"/>
        <v>1</v>
      </c>
    </row>
    <row r="66" spans="2:80" ht="15" customHeight="1" x14ac:dyDescent="0.15">
      <c r="B66" s="4" t="str">
        <f ca="1">图表数据!E65</f>
        <v>2017-09</v>
      </c>
      <c r="C66" s="24">
        <v>4462</v>
      </c>
      <c r="D66" s="24">
        <v>12162</v>
      </c>
      <c r="E66" s="24">
        <v>48079</v>
      </c>
      <c r="F66" s="24">
        <v>8661</v>
      </c>
      <c r="G66" s="24">
        <v>3478</v>
      </c>
      <c r="H66" s="24">
        <v>20987</v>
      </c>
      <c r="I66" s="24">
        <v>5063</v>
      </c>
      <c r="J66" s="24">
        <v>5351</v>
      </c>
      <c r="K66" s="24">
        <v>12390</v>
      </c>
      <c r="L66" s="24">
        <v>41991</v>
      </c>
      <c r="M66" s="24">
        <v>2895</v>
      </c>
      <c r="N66" s="24">
        <v>7447</v>
      </c>
      <c r="O66" s="24">
        <v>4462</v>
      </c>
      <c r="P66" s="24">
        <v>177428</v>
      </c>
      <c r="R66" s="4" t="str">
        <f ca="1">图表数据!E65</f>
        <v>2017-09</v>
      </c>
      <c r="S66" s="4">
        <f ca="1">图表数据!F65</f>
        <v>4462</v>
      </c>
      <c r="T66" s="4">
        <f ca="1">图表数据!G65</f>
        <v>12162</v>
      </c>
      <c r="U66" s="4">
        <f ca="1">图表数据!H65</f>
        <v>48079</v>
      </c>
      <c r="V66" s="4">
        <f ca="1">图表数据!I65</f>
        <v>8661</v>
      </c>
      <c r="W66" s="4">
        <f ca="1">图表数据!J65</f>
        <v>3478</v>
      </c>
      <c r="X66" s="4">
        <f ca="1">图表数据!K65</f>
        <v>20987</v>
      </c>
      <c r="Y66" s="4">
        <f ca="1">图表数据!L65</f>
        <v>5063</v>
      </c>
      <c r="Z66" s="4">
        <f ca="1">图表数据!M65</f>
        <v>5351</v>
      </c>
      <c r="AA66" s="4">
        <f ca="1">图表数据!N65</f>
        <v>12390</v>
      </c>
      <c r="AB66" s="4">
        <f ca="1">图表数据!O65</f>
        <v>41991</v>
      </c>
      <c r="AC66" s="4">
        <f ca="1">图表数据!P65</f>
        <v>2895</v>
      </c>
      <c r="AD66" s="4">
        <f ca="1">图表数据!Q65</f>
        <v>7447</v>
      </c>
      <c r="AE66" s="4">
        <f ca="1">图表数据!R65</f>
        <v>4462</v>
      </c>
      <c r="AF66" s="4">
        <f ca="1">图表数据!S65</f>
        <v>177428</v>
      </c>
      <c r="AH66" s="4" t="str">
        <f t="shared" ca="1" si="1"/>
        <v>2017-09</v>
      </c>
      <c r="AI66" s="22">
        <f t="shared" ref="AI66:AV66" ca="1" si="83">S66/S54-1</f>
        <v>-0.88151570673676938</v>
      </c>
      <c r="AJ66" s="22">
        <f t="shared" ca="1" si="83"/>
        <v>-0.83171673285273484</v>
      </c>
      <c r="AK66" s="22">
        <f t="shared" ca="1" si="83"/>
        <v>-0.56474230723965924</v>
      </c>
      <c r="AL66" s="22">
        <f t="shared" ca="1" si="83"/>
        <v>-0.91012203727533103</v>
      </c>
      <c r="AM66" s="22">
        <f t="shared" ca="1" si="83"/>
        <v>0.43363561417971974</v>
      </c>
      <c r="AN66" s="22">
        <f t="shared" ca="1" si="83"/>
        <v>-0.79929998374279188</v>
      </c>
      <c r="AO66" s="22" t="e">
        <f t="shared" ca="1" si="83"/>
        <v>#DIV/0!</v>
      </c>
      <c r="AP66" s="22">
        <f t="shared" ca="1" si="83"/>
        <v>-0.81699726402188788</v>
      </c>
      <c r="AQ66" s="22">
        <f t="shared" ca="1" si="83"/>
        <v>-0.62487510975203608</v>
      </c>
      <c r="AR66" s="22">
        <f t="shared" ca="1" si="83"/>
        <v>0.12778986383047286</v>
      </c>
      <c r="AS66" s="22">
        <f t="shared" ca="1" si="83"/>
        <v>-0.87073007367716004</v>
      </c>
      <c r="AT66" s="22">
        <f t="shared" ca="1" si="83"/>
        <v>-0.67620331318752991</v>
      </c>
      <c r="AU66" s="22">
        <f t="shared" ca="1" si="83"/>
        <v>-0.75424102225159728</v>
      </c>
      <c r="AV66" s="22">
        <f t="shared" ca="1" si="83"/>
        <v>-0.69763565904683356</v>
      </c>
      <c r="AX66" s="4" t="str">
        <f t="shared" ca="1" si="2"/>
        <v>2017-09</v>
      </c>
      <c r="AY66" s="22">
        <f t="shared" ca="1" si="31"/>
        <v>-0.24449712157128345</v>
      </c>
      <c r="AZ66" s="22">
        <f t="shared" ca="1" si="3"/>
        <v>0.5259723964868257</v>
      </c>
      <c r="BA66" s="22">
        <f t="shared" ca="1" si="4"/>
        <v>0.26155178294980441</v>
      </c>
      <c r="BB66" s="22">
        <f t="shared" ca="1" si="5"/>
        <v>8.3979974968710902E-2</v>
      </c>
      <c r="BC66" s="22">
        <f t="shared" ca="1" si="6"/>
        <v>3.8711484593837531</v>
      </c>
      <c r="BD66" s="22">
        <f t="shared" ca="1" si="7"/>
        <v>-0.56375239045481007</v>
      </c>
      <c r="BE66" s="22">
        <f t="shared" ca="1" si="8"/>
        <v>0.20289855072463769</v>
      </c>
      <c r="BF66" s="22">
        <f t="shared" ca="1" si="9"/>
        <v>-0.32317227422210981</v>
      </c>
      <c r="BG66" s="22">
        <f t="shared" ca="1" si="10"/>
        <v>-0.16227180527383367</v>
      </c>
      <c r="BH66" s="22">
        <f t="shared" ca="1" si="11"/>
        <v>6.4275757191737393E-2</v>
      </c>
      <c r="BI66" s="22">
        <f t="shared" ca="1" si="12"/>
        <v>-0.65258610344413781</v>
      </c>
      <c r="BJ66" s="22">
        <f t="shared" ca="1" si="13"/>
        <v>0.54662512980269984</v>
      </c>
      <c r="BK66" s="22">
        <f t="shared" ca="1" si="14"/>
        <v>0.32876712328767121</v>
      </c>
      <c r="BL66" s="22">
        <f t="shared" ca="1" si="15"/>
        <v>-7.4285475775567877E-2</v>
      </c>
      <c r="BN66" s="4" t="str">
        <f t="shared" ca="1" si="16"/>
        <v>2017-09</v>
      </c>
      <c r="BO66" s="22">
        <f t="shared" ca="1" si="17"/>
        <v>2.5148229140834592E-2</v>
      </c>
      <c r="BP66" s="22">
        <f t="shared" ca="1" si="18"/>
        <v>6.8546114480239867E-2</v>
      </c>
      <c r="BQ66" s="22">
        <f t="shared" ca="1" si="19"/>
        <v>0.2709775232770476</v>
      </c>
      <c r="BR66" s="22">
        <f t="shared" ca="1" si="20"/>
        <v>4.8814166873323267E-2</v>
      </c>
      <c r="BS66" s="22">
        <f t="shared" ca="1" si="21"/>
        <v>1.9602317559798903E-2</v>
      </c>
      <c r="BT66" s="22">
        <f t="shared" ca="1" si="22"/>
        <v>0.11828459995040241</v>
      </c>
      <c r="BU66" s="22">
        <f t="shared" ca="1" si="23"/>
        <v>2.8535518632910251E-2</v>
      </c>
      <c r="BV66" s="22">
        <f t="shared" ca="1" si="24"/>
        <v>3.015871226638411E-2</v>
      </c>
      <c r="BW66" s="22">
        <f t="shared" ca="1" si="25"/>
        <v>6.9831142773406671E-2</v>
      </c>
      <c r="BX66" s="22">
        <f t="shared" ca="1" si="26"/>
        <v>0.23666501341389184</v>
      </c>
      <c r="BY66" s="22">
        <f t="shared" ca="1" si="27"/>
        <v>1.6316477669815362E-2</v>
      </c>
      <c r="BZ66" s="22">
        <f t="shared" ca="1" si="28"/>
        <v>4.1971954821110533E-2</v>
      </c>
      <c r="CA66" s="22">
        <f t="shared" ca="1" si="29"/>
        <v>2.5148229140834592E-2</v>
      </c>
      <c r="CB66" s="22">
        <f t="shared" ca="1" si="30"/>
        <v>1</v>
      </c>
    </row>
    <row r="67" spans="2:80" ht="15" customHeight="1" x14ac:dyDescent="0.15">
      <c r="B67" s="4" t="str">
        <f ca="1">图表数据!E66</f>
        <v>2017-10</v>
      </c>
      <c r="C67" s="24">
        <v>3619</v>
      </c>
      <c r="D67" s="24">
        <v>2034</v>
      </c>
      <c r="E67" s="24">
        <v>21053</v>
      </c>
      <c r="F67" s="24">
        <v>706</v>
      </c>
      <c r="G67" s="24">
        <v>76</v>
      </c>
      <c r="H67" s="24">
        <v>-13</v>
      </c>
      <c r="I67" s="24">
        <v>444</v>
      </c>
      <c r="J67" s="24">
        <v>2932</v>
      </c>
      <c r="K67" s="24">
        <v>-97</v>
      </c>
      <c r="L67" s="24">
        <v>4139</v>
      </c>
      <c r="M67" s="24">
        <v>-10</v>
      </c>
      <c r="N67" s="24">
        <v>2969</v>
      </c>
      <c r="O67" s="24">
        <v>1878</v>
      </c>
      <c r="P67" s="24">
        <v>39730</v>
      </c>
      <c r="R67" s="4" t="str">
        <f ca="1">图表数据!E66</f>
        <v>2017-10</v>
      </c>
      <c r="S67" s="4">
        <f ca="1">图表数据!F66</f>
        <v>3619</v>
      </c>
      <c r="T67" s="4">
        <f ca="1">图表数据!G66</f>
        <v>2034</v>
      </c>
      <c r="U67" s="4">
        <f ca="1">图表数据!H66</f>
        <v>21053</v>
      </c>
      <c r="V67" s="4">
        <f ca="1">图表数据!I66</f>
        <v>706</v>
      </c>
      <c r="W67" s="4">
        <f ca="1">图表数据!J66</f>
        <v>76</v>
      </c>
      <c r="X67" s="4">
        <f ca="1">图表数据!K66</f>
        <v>-13</v>
      </c>
      <c r="Y67" s="4">
        <f ca="1">图表数据!L66</f>
        <v>444</v>
      </c>
      <c r="Z67" s="4">
        <f ca="1">图表数据!M66</f>
        <v>2932</v>
      </c>
      <c r="AA67" s="4">
        <f ca="1">图表数据!N66</f>
        <v>-97</v>
      </c>
      <c r="AB67" s="4">
        <f ca="1">图表数据!O66</f>
        <v>4139</v>
      </c>
      <c r="AC67" s="4">
        <f ca="1">图表数据!P66</f>
        <v>-10</v>
      </c>
      <c r="AD67" s="4">
        <f ca="1">图表数据!Q66</f>
        <v>2969</v>
      </c>
      <c r="AE67" s="4">
        <f ca="1">图表数据!R66</f>
        <v>1878</v>
      </c>
      <c r="AF67" s="4">
        <f ca="1">图表数据!S66</f>
        <v>39730</v>
      </c>
      <c r="AH67" s="4" t="str">
        <f t="shared" ca="1" si="1"/>
        <v>2017-10</v>
      </c>
      <c r="AI67" s="22">
        <f t="shared" ref="AI67:AV67" ca="1" si="84">S67/S55-1</f>
        <v>-0.66943734015345269</v>
      </c>
      <c r="AJ67" s="22">
        <f t="shared" ca="1" si="84"/>
        <v>-0.94832054474312721</v>
      </c>
      <c r="AK67" s="22">
        <f t="shared" ca="1" si="84"/>
        <v>-0.66599505013326565</v>
      </c>
      <c r="AL67" s="22">
        <f t="shared" ca="1" si="84"/>
        <v>-0.98494252138119309</v>
      </c>
      <c r="AM67" s="22">
        <f t="shared" ca="1" si="84"/>
        <v>-0.85977859778597787</v>
      </c>
      <c r="AN67" s="22">
        <f t="shared" ca="1" si="84"/>
        <v>-1.0002872229955149</v>
      </c>
      <c r="AO67" s="22" t="e">
        <f t="shared" ca="1" si="84"/>
        <v>#DIV/0!</v>
      </c>
      <c r="AP67" s="22">
        <f t="shared" ca="1" si="84"/>
        <v>-0.87671866459235592</v>
      </c>
      <c r="AQ67" s="22">
        <f t="shared" ca="1" si="84"/>
        <v>-1.0344827586206897</v>
      </c>
      <c r="AR67" s="22">
        <f t="shared" ca="1" si="84"/>
        <v>-0.8259754456777666</v>
      </c>
      <c r="AS67" s="22">
        <f t="shared" ca="1" si="84"/>
        <v>-1.000400641025641</v>
      </c>
      <c r="AT67" s="22">
        <f t="shared" ca="1" si="84"/>
        <v>-0.74921868401047387</v>
      </c>
      <c r="AU67" s="22">
        <f t="shared" ca="1" si="84"/>
        <v>-0.76843403205918626</v>
      </c>
      <c r="AV67" s="22">
        <f t="shared" ca="1" si="84"/>
        <v>-0.86814550788704259</v>
      </c>
      <c r="AX67" s="4" t="str">
        <f t="shared" ca="1" si="2"/>
        <v>2017-10</v>
      </c>
      <c r="AY67" s="22">
        <f t="shared" ca="1" si="31"/>
        <v>-0.18892873151053335</v>
      </c>
      <c r="AZ67" s="22">
        <f t="shared" ca="1" si="3"/>
        <v>-0.83275777010360141</v>
      </c>
      <c r="BA67" s="22">
        <f t="shared" ca="1" si="4"/>
        <v>-0.56211651656648431</v>
      </c>
      <c r="BB67" s="22">
        <f t="shared" ca="1" si="5"/>
        <v>-0.91848516337605357</v>
      </c>
      <c r="BC67" s="22">
        <f t="shared" ca="1" si="6"/>
        <v>-0.97814836112708448</v>
      </c>
      <c r="BD67" s="22">
        <f t="shared" ca="1" si="7"/>
        <v>-1.0006194310763805</v>
      </c>
      <c r="BE67" s="22">
        <f t="shared" ca="1" si="8"/>
        <v>-0.91230495753505825</v>
      </c>
      <c r="BF67" s="22">
        <f t="shared" ca="1" si="9"/>
        <v>-0.45206503457297698</v>
      </c>
      <c r="BG67" s="22">
        <f t="shared" ca="1" si="10"/>
        <v>-1.0078288942695723</v>
      </c>
      <c r="BH67" s="22">
        <f t="shared" ca="1" si="11"/>
        <v>-0.90143125907932653</v>
      </c>
      <c r="BI67" s="22">
        <f t="shared" ca="1" si="12"/>
        <v>-1.003454231433506</v>
      </c>
      <c r="BJ67" s="22">
        <f t="shared" ca="1" si="13"/>
        <v>-0.60131596616087013</v>
      </c>
      <c r="BK67" s="22">
        <f t="shared" ca="1" si="14"/>
        <v>-0.57911250560286864</v>
      </c>
      <c r="BL67" s="22">
        <f t="shared" ca="1" si="15"/>
        <v>-0.77607818382667904</v>
      </c>
      <c r="BN67" s="4" t="str">
        <f t="shared" ca="1" si="16"/>
        <v>2017-10</v>
      </c>
      <c r="BO67" s="22">
        <f t="shared" ca="1" si="17"/>
        <v>9.1089856531588215E-2</v>
      </c>
      <c r="BP67" s="22">
        <f t="shared" ca="1" si="18"/>
        <v>5.1195570098162599E-2</v>
      </c>
      <c r="BQ67" s="22">
        <f t="shared" ca="1" si="19"/>
        <v>0.52990183740246666</v>
      </c>
      <c r="BR67" s="22">
        <f t="shared" ca="1" si="20"/>
        <v>1.7769947143216714E-2</v>
      </c>
      <c r="BS67" s="22">
        <f t="shared" ca="1" si="21"/>
        <v>1.912912157060156E-3</v>
      </c>
      <c r="BT67" s="22">
        <f t="shared" ca="1" si="22"/>
        <v>-3.2720865844450037E-4</v>
      </c>
      <c r="BU67" s="22">
        <f t="shared" ca="1" si="23"/>
        <v>1.1175434180719859E-2</v>
      </c>
      <c r="BV67" s="22">
        <f t="shared" ca="1" si="24"/>
        <v>7.3798137427636551E-2</v>
      </c>
      <c r="BW67" s="22">
        <f t="shared" ca="1" si="25"/>
        <v>-2.4414799899320412E-3</v>
      </c>
      <c r="BX67" s="22">
        <f t="shared" ca="1" si="26"/>
        <v>0.10417820286936824</v>
      </c>
      <c r="BY67" s="22">
        <f t="shared" ca="1" si="27"/>
        <v>-2.5169896803423108E-4</v>
      </c>
      <c r="BZ67" s="22">
        <f t="shared" ca="1" si="28"/>
        <v>7.4729423609363202E-2</v>
      </c>
      <c r="CA67" s="22">
        <f t="shared" ca="1" si="29"/>
        <v>4.7269066196828594E-2</v>
      </c>
      <c r="CB67" s="22">
        <f t="shared" ca="1" si="30"/>
        <v>1</v>
      </c>
    </row>
    <row r="68" spans="2:80" ht="15" customHeight="1" x14ac:dyDescent="0.15">
      <c r="B68" s="4" t="str">
        <f ca="1">图表数据!E67</f>
        <v>2017-11</v>
      </c>
      <c r="C68" s="24">
        <v>2740</v>
      </c>
      <c r="D68" s="24">
        <v>2584</v>
      </c>
      <c r="E68" s="24">
        <v>17545</v>
      </c>
      <c r="F68" s="24">
        <v>1649</v>
      </c>
      <c r="G68" s="24">
        <v>199</v>
      </c>
      <c r="H68" s="24">
        <v>1596</v>
      </c>
      <c r="I68" s="24">
        <v>1069</v>
      </c>
      <c r="J68" s="24">
        <v>2139</v>
      </c>
      <c r="K68" s="24">
        <v>3920</v>
      </c>
      <c r="L68" s="24">
        <v>20514</v>
      </c>
      <c r="M68" s="24">
        <v>180</v>
      </c>
      <c r="N68" s="24">
        <v>4551</v>
      </c>
      <c r="O68" s="24">
        <v>2419</v>
      </c>
      <c r="P68" s="24">
        <v>61104</v>
      </c>
      <c r="R68" s="4" t="str">
        <f ca="1">图表数据!E67</f>
        <v>2017-11</v>
      </c>
      <c r="S68" s="4">
        <f ca="1">图表数据!F67</f>
        <v>2740</v>
      </c>
      <c r="T68" s="4">
        <f ca="1">图表数据!G67</f>
        <v>2584</v>
      </c>
      <c r="U68" s="4">
        <f ca="1">图表数据!H67</f>
        <v>17545</v>
      </c>
      <c r="V68" s="4">
        <f ca="1">图表数据!I67</f>
        <v>1649</v>
      </c>
      <c r="W68" s="4">
        <f ca="1">图表数据!J67</f>
        <v>199</v>
      </c>
      <c r="X68" s="4">
        <f ca="1">图表数据!K67</f>
        <v>1596</v>
      </c>
      <c r="Y68" s="4">
        <f ca="1">图表数据!L67</f>
        <v>1069</v>
      </c>
      <c r="Z68" s="4">
        <f ca="1">图表数据!M67</f>
        <v>2139</v>
      </c>
      <c r="AA68" s="4">
        <f ca="1">图表数据!N67</f>
        <v>3920</v>
      </c>
      <c r="AB68" s="4">
        <f ca="1">图表数据!O67</f>
        <v>20514</v>
      </c>
      <c r="AC68" s="4">
        <f ca="1">图表数据!P67</f>
        <v>180</v>
      </c>
      <c r="AD68" s="4">
        <f ca="1">图表数据!Q67</f>
        <v>4551</v>
      </c>
      <c r="AE68" s="4">
        <f ca="1">图表数据!R67</f>
        <v>2419</v>
      </c>
      <c r="AF68" s="4">
        <f ca="1">图表数据!S67</f>
        <v>61104</v>
      </c>
      <c r="AH68" s="4" t="str">
        <f t="shared" ref="AH68:AH77" ca="1" si="85">R68</f>
        <v>2017-11</v>
      </c>
      <c r="AI68" s="22">
        <f t="shared" ref="AI68:AV68" ca="1" si="86">S68/S56-1</f>
        <v>-0.89717802461723206</v>
      </c>
      <c r="AJ68" s="22">
        <f t="shared" ca="1" si="86"/>
        <v>-0.92938347179711411</v>
      </c>
      <c r="AK68" s="22">
        <f t="shared" ca="1" si="86"/>
        <v>-0.73823200298396119</v>
      </c>
      <c r="AL68" s="22">
        <f t="shared" ca="1" si="86"/>
        <v>-0.95704274884726603</v>
      </c>
      <c r="AM68" s="22">
        <f t="shared" ca="1" si="86"/>
        <v>0.59200000000000008</v>
      </c>
      <c r="AN68" s="22">
        <f t="shared" ca="1" si="86"/>
        <v>-0.93060567850776121</v>
      </c>
      <c r="AO68" s="22" t="e">
        <f t="shared" ca="1" si="86"/>
        <v>#DIV/0!</v>
      </c>
      <c r="AP68" s="22">
        <f t="shared" ca="1" si="86"/>
        <v>-0.92565947242206237</v>
      </c>
      <c r="AQ68" s="22">
        <f t="shared" ca="1" si="86"/>
        <v>-0.21332530604053779</v>
      </c>
      <c r="AR68" s="22">
        <f t="shared" ca="1" si="86"/>
        <v>-0.16511334500020347</v>
      </c>
      <c r="AS68" s="22">
        <f t="shared" ca="1" si="86"/>
        <v>-0.99211529195321735</v>
      </c>
      <c r="AT68" s="22">
        <f t="shared" ca="1" si="86"/>
        <v>-0.63090024330900241</v>
      </c>
      <c r="AU68" s="22">
        <f t="shared" ca="1" si="86"/>
        <v>-0.84238988793328118</v>
      </c>
      <c r="AV68" s="22">
        <f t="shared" ca="1" si="86"/>
        <v>-0.7967333089384917</v>
      </c>
      <c r="AX68" s="4" t="str">
        <f t="shared" ref="AX68:AX77" ca="1" si="87">R68</f>
        <v>2017-11</v>
      </c>
      <c r="AY68" s="22">
        <f t="shared" ca="1" si="31"/>
        <v>-0.24288477479966841</v>
      </c>
      <c r="AZ68" s="22">
        <f t="shared" ref="AZ68:AZ77" ca="1" si="88">T68/T67-1</f>
        <v>0.27040314650934127</v>
      </c>
      <c r="BA68" s="22">
        <f t="shared" ref="BA68:BA77" ca="1" si="89">U68/U67-1</f>
        <v>-0.16662708402602955</v>
      </c>
      <c r="BB68" s="22">
        <f t="shared" ref="BB68:BB77" ca="1" si="90">V68/V67-1</f>
        <v>1.3356940509915014</v>
      </c>
      <c r="BC68" s="22">
        <f t="shared" ref="BC68:BC77" ca="1" si="91">W68/W67-1</f>
        <v>1.6184210526315788</v>
      </c>
      <c r="BD68" s="22">
        <f t="shared" ref="BD68:BD77" ca="1" si="92">X68/X67-1</f>
        <v>-123.76923076923077</v>
      </c>
      <c r="BE68" s="22">
        <f t="shared" ref="BE68:BE77" ca="1" si="93">Y68/Y67-1</f>
        <v>1.4076576576576576</v>
      </c>
      <c r="BF68" s="22">
        <f t="shared" ref="BF68:BF77" ca="1" si="94">Z68/Z67-1</f>
        <v>-0.27046384720327421</v>
      </c>
      <c r="BG68" s="22">
        <f t="shared" ref="BG68:BG77" ca="1" si="95">AA68/AA67-1</f>
        <v>-41.412371134020617</v>
      </c>
      <c r="BH68" s="22">
        <f t="shared" ref="BH68:BH77" ca="1" si="96">AB68/AB67-1</f>
        <v>3.9562696303454938</v>
      </c>
      <c r="BI68" s="22">
        <f t="shared" ref="BI68:BI77" ca="1" si="97">AC68/AC67-1</f>
        <v>-19</v>
      </c>
      <c r="BJ68" s="22">
        <f t="shared" ref="BJ68:BJ77" ca="1" si="98">AD68/AD67-1</f>
        <v>0.53283933984506571</v>
      </c>
      <c r="BK68" s="22">
        <f t="shared" ref="BK68:BK77" ca="1" si="99">AE68/AE67-1</f>
        <v>0.28807241746538881</v>
      </c>
      <c r="BL68" s="22">
        <f t="shared" ref="BL68:BL77" ca="1" si="100">AF68/AF67-1</f>
        <v>0.5379813742763655</v>
      </c>
      <c r="BN68" s="4" t="str">
        <f t="shared" ref="BN68:BN77" ca="1" si="101">R68</f>
        <v>2017-11</v>
      </c>
      <c r="BO68" s="22">
        <f t="shared" ref="BO68:BO77" ca="1" si="102">S68/$AF68</f>
        <v>4.4841581565854938E-2</v>
      </c>
      <c r="BP68" s="22">
        <f t="shared" ref="BP68:BP77" ca="1" si="103">T68/$AF68</f>
        <v>4.228855721393035E-2</v>
      </c>
      <c r="BQ68" s="22">
        <f t="shared" ref="BQ68:BQ77" ca="1" si="104">U68/$AF68</f>
        <v>0.28713341188792879</v>
      </c>
      <c r="BR68" s="22">
        <f t="shared" ref="BR68:BR77" ca="1" si="105">V68/$AF68</f>
        <v>2.6986776643100289E-2</v>
      </c>
      <c r="BS68" s="22">
        <f t="shared" ref="BS68:BS77" ca="1" si="106">W68/$AF68</f>
        <v>3.2567426027755959E-3</v>
      </c>
      <c r="BT68" s="22">
        <f t="shared" ref="BT68:BT77" ca="1" si="107">X68/$AF68</f>
        <v>2.6119402985074626E-2</v>
      </c>
      <c r="BU68" s="22">
        <f t="shared" ref="BU68:BU77" ca="1" si="108">Y68/$AF68</f>
        <v>1.7494763026970412E-2</v>
      </c>
      <c r="BV68" s="22">
        <f t="shared" ref="BV68:BV77" ca="1" si="109">Z68/$AF68</f>
        <v>3.5005891594658285E-2</v>
      </c>
      <c r="BW68" s="22">
        <f t="shared" ref="BW68:BW77" ca="1" si="110">AA68/$AF68</f>
        <v>6.4152919612463999E-2</v>
      </c>
      <c r="BX68" s="22">
        <f t="shared" ref="BX68:BX77" ca="1" si="111">AB68/$AF68</f>
        <v>0.33572270227808326</v>
      </c>
      <c r="BY68" s="22">
        <f t="shared" ref="BY68:BY77" ca="1" si="112">AC68/$AF68</f>
        <v>2.9457973291437548E-3</v>
      </c>
      <c r="BZ68" s="22">
        <f t="shared" ref="BZ68:BZ77" ca="1" si="113">AD68/$AF68</f>
        <v>7.4479575805184606E-2</v>
      </c>
      <c r="CA68" s="22">
        <f t="shared" ref="CA68:CA77" ca="1" si="114">AE68/$AF68</f>
        <v>3.958824299554857E-2</v>
      </c>
      <c r="CB68" s="22">
        <f t="shared" ref="CB68:CB77" ca="1" si="115">AF68/$AF68</f>
        <v>1</v>
      </c>
    </row>
    <row r="69" spans="2:80" ht="15" customHeight="1" x14ac:dyDescent="0.15">
      <c r="B69" s="4" t="str">
        <f ca="1">图表数据!E68</f>
        <v>2017-12</v>
      </c>
      <c r="C69" s="24">
        <v>2803</v>
      </c>
      <c r="D69" s="24">
        <v>1394</v>
      </c>
      <c r="E69" s="24">
        <v>7675</v>
      </c>
      <c r="F69" s="24">
        <v>2654</v>
      </c>
      <c r="G69" s="24">
        <v>119</v>
      </c>
      <c r="H69" s="24">
        <v>2440</v>
      </c>
      <c r="I69" s="24">
        <v>1009</v>
      </c>
      <c r="J69" s="24">
        <v>2061</v>
      </c>
      <c r="K69" s="24">
        <v>4919</v>
      </c>
      <c r="L69" s="24">
        <v>18730</v>
      </c>
      <c r="M69" s="24">
        <v>28</v>
      </c>
      <c r="N69" s="24">
        <v>2053</v>
      </c>
      <c r="O69" s="24">
        <v>1434</v>
      </c>
      <c r="P69" s="24">
        <v>47321</v>
      </c>
      <c r="R69" s="4" t="str">
        <f ca="1">图表数据!E68</f>
        <v>2017-12</v>
      </c>
      <c r="S69" s="4">
        <f ca="1">图表数据!F68</f>
        <v>2803</v>
      </c>
      <c r="T69" s="4">
        <f ca="1">图表数据!G68</f>
        <v>1394</v>
      </c>
      <c r="U69" s="4">
        <f ca="1">图表数据!H68</f>
        <v>7675</v>
      </c>
      <c r="V69" s="4">
        <f ca="1">图表数据!I68</f>
        <v>2654</v>
      </c>
      <c r="W69" s="4">
        <f ca="1">图表数据!J68</f>
        <v>119</v>
      </c>
      <c r="X69" s="4">
        <f ca="1">图表数据!K68</f>
        <v>2440</v>
      </c>
      <c r="Y69" s="4">
        <f ca="1">图表数据!L68</f>
        <v>1009</v>
      </c>
      <c r="Z69" s="4">
        <f ca="1">图表数据!M68</f>
        <v>2061</v>
      </c>
      <c r="AA69" s="4">
        <f ca="1">图表数据!N68</f>
        <v>4919</v>
      </c>
      <c r="AB69" s="4">
        <f ca="1">图表数据!O68</f>
        <v>18730</v>
      </c>
      <c r="AC69" s="4">
        <f ca="1">图表数据!P68</f>
        <v>28</v>
      </c>
      <c r="AD69" s="4">
        <f ca="1">图表数据!Q68</f>
        <v>2053</v>
      </c>
      <c r="AE69" s="4">
        <f ca="1">图表数据!R68</f>
        <v>1434</v>
      </c>
      <c r="AF69" s="4">
        <f ca="1">图表数据!S68</f>
        <v>47321</v>
      </c>
      <c r="AH69" s="4" t="str">
        <f t="shared" ca="1" si="85"/>
        <v>2017-12</v>
      </c>
      <c r="AI69" s="22">
        <f t="shared" ref="AI69:AV69" ca="1" si="116">S69/S57-1</f>
        <v>-0.22225305216426194</v>
      </c>
      <c r="AJ69" s="22">
        <f t="shared" ca="1" si="116"/>
        <v>-0.66570743405275778</v>
      </c>
      <c r="AK69" s="22">
        <f t="shared" ca="1" si="116"/>
        <v>0.85835351089588374</v>
      </c>
      <c r="AL69" s="22">
        <f t="shared" ca="1" si="116"/>
        <v>-3.6660617059891099E-2</v>
      </c>
      <c r="AM69" s="22">
        <f t="shared" ca="1" si="116"/>
        <v>1.5869565217391304</v>
      </c>
      <c r="AN69" s="22">
        <f t="shared" ca="1" si="116"/>
        <v>2.2105263157894739</v>
      </c>
      <c r="AO69" s="22" t="e">
        <f t="shared" ca="1" si="116"/>
        <v>#DIV/0!</v>
      </c>
      <c r="AP69" s="22">
        <f t="shared" ca="1" si="116"/>
        <v>1.327433628318575E-2</v>
      </c>
      <c r="AQ69" s="22">
        <f t="shared" ca="1" si="116"/>
        <v>12.476712328767123</v>
      </c>
      <c r="AR69" s="22">
        <f t="shared" ca="1" si="116"/>
        <v>10.102548903378779</v>
      </c>
      <c r="AS69" s="22">
        <f t="shared" ca="1" si="116"/>
        <v>-0.95454545454545459</v>
      </c>
      <c r="AT69" s="22">
        <f t="shared" ca="1" si="116"/>
        <v>0.5768049155145929</v>
      </c>
      <c r="AU69" s="22">
        <f t="shared" ca="1" si="116"/>
        <v>0.16680227827502025</v>
      </c>
      <c r="AV69" s="22">
        <f t="shared" ca="1" si="116"/>
        <v>1.0849929502996121</v>
      </c>
      <c r="AX69" s="4" t="str">
        <f t="shared" ca="1" si="87"/>
        <v>2017-12</v>
      </c>
      <c r="AY69" s="22">
        <f t="shared" ref="AY69:AY77" ca="1" si="117">S69/S68-1</f>
        <v>2.2992700729927096E-2</v>
      </c>
      <c r="AZ69" s="22">
        <f t="shared" ca="1" si="88"/>
        <v>-0.46052631578947367</v>
      </c>
      <c r="BA69" s="22">
        <f t="shared" ca="1" si="89"/>
        <v>-0.56255343402678826</v>
      </c>
      <c r="BB69" s="22">
        <f t="shared" ca="1" si="90"/>
        <v>0.60946027895694366</v>
      </c>
      <c r="BC69" s="22">
        <f t="shared" ca="1" si="91"/>
        <v>-0.40201005025125625</v>
      </c>
      <c r="BD69" s="22">
        <f t="shared" ca="1" si="92"/>
        <v>0.52882205513784464</v>
      </c>
      <c r="BE69" s="22">
        <f t="shared" ca="1" si="93"/>
        <v>-5.6127221702525709E-2</v>
      </c>
      <c r="BF69" s="22">
        <f t="shared" ca="1" si="94"/>
        <v>-3.6465638148667656E-2</v>
      </c>
      <c r="BG69" s="22">
        <f t="shared" ca="1" si="95"/>
        <v>0.25484693877551012</v>
      </c>
      <c r="BH69" s="22">
        <f t="shared" ca="1" si="96"/>
        <v>-8.6964999512528007E-2</v>
      </c>
      <c r="BI69" s="22">
        <f t="shared" ca="1" si="97"/>
        <v>-0.84444444444444444</v>
      </c>
      <c r="BJ69" s="22">
        <f t="shared" ca="1" si="98"/>
        <v>-0.54889035376840256</v>
      </c>
      <c r="BK69" s="22">
        <f t="shared" ca="1" si="99"/>
        <v>-0.40719305498139724</v>
      </c>
      <c r="BL69" s="22">
        <f t="shared" ca="1" si="100"/>
        <v>-0.22556624770882427</v>
      </c>
      <c r="BN69" s="4" t="str">
        <f t="shared" ca="1" si="101"/>
        <v>2017-12</v>
      </c>
      <c r="BO69" s="22">
        <f t="shared" ca="1" si="102"/>
        <v>5.923374400371928E-2</v>
      </c>
      <c r="BP69" s="22">
        <f t="shared" ca="1" si="103"/>
        <v>2.9458380000422644E-2</v>
      </c>
      <c r="BQ69" s="22">
        <f t="shared" ca="1" si="104"/>
        <v>0.16219014813719068</v>
      </c>
      <c r="BR69" s="22">
        <f t="shared" ca="1" si="105"/>
        <v>5.6085036241837659E-2</v>
      </c>
      <c r="BS69" s="22">
        <f t="shared" ca="1" si="106"/>
        <v>2.5147397561336403E-3</v>
      </c>
      <c r="BT69" s="22">
        <f t="shared" ca="1" si="107"/>
        <v>5.156273113416876E-2</v>
      </c>
      <c r="BU69" s="22">
        <f t="shared" ca="1" si="108"/>
        <v>2.1322457259990279E-2</v>
      </c>
      <c r="BV69" s="22">
        <f t="shared" ca="1" si="109"/>
        <v>4.355360199488599E-2</v>
      </c>
      <c r="BW69" s="22">
        <f t="shared" ca="1" si="110"/>
        <v>0.1039496206758099</v>
      </c>
      <c r="BX69" s="22">
        <f t="shared" ca="1" si="111"/>
        <v>0.39580735825532004</v>
      </c>
      <c r="BY69" s="22">
        <f t="shared" ca="1" si="112"/>
        <v>5.9170347203144481E-4</v>
      </c>
      <c r="BZ69" s="22">
        <f t="shared" ca="1" si="113"/>
        <v>4.3384543860019865E-2</v>
      </c>
      <c r="CA69" s="22">
        <f t="shared" ca="1" si="114"/>
        <v>3.0303670674753282E-2</v>
      </c>
      <c r="CB69" s="22">
        <f t="shared" ca="1" si="115"/>
        <v>1</v>
      </c>
    </row>
    <row r="70" spans="2:80" ht="15" customHeight="1" x14ac:dyDescent="0.15">
      <c r="B70" s="4" t="str">
        <f ca="1">图表数据!E69</f>
        <v>2018-01</v>
      </c>
      <c r="C70" s="24">
        <v>16366</v>
      </c>
      <c r="D70" s="24">
        <v>23080</v>
      </c>
      <c r="E70" s="24">
        <v>111168</v>
      </c>
      <c r="F70" s="24">
        <v>17756</v>
      </c>
      <c r="G70" s="24">
        <v>4756</v>
      </c>
      <c r="H70" s="24">
        <v>47216</v>
      </c>
      <c r="I70" s="24">
        <v>4585</v>
      </c>
      <c r="J70" s="24">
        <v>4058</v>
      </c>
      <c r="K70" s="24">
        <v>26307</v>
      </c>
      <c r="L70" s="24">
        <v>72332</v>
      </c>
      <c r="M70" s="24">
        <v>10811</v>
      </c>
      <c r="N70" s="24">
        <v>15276</v>
      </c>
      <c r="O70" s="24">
        <v>9373</v>
      </c>
      <c r="P70" s="24">
        <v>363082</v>
      </c>
      <c r="R70" s="4" t="str">
        <f ca="1">图表数据!E69</f>
        <v>2018-01</v>
      </c>
      <c r="S70" s="4">
        <f ca="1">图表数据!F69</f>
        <v>16366</v>
      </c>
      <c r="T70" s="4">
        <f ca="1">图表数据!G69</f>
        <v>23080</v>
      </c>
      <c r="U70" s="4">
        <f ca="1">图表数据!H69</f>
        <v>111168</v>
      </c>
      <c r="V70" s="4">
        <f ca="1">图表数据!I69</f>
        <v>17756</v>
      </c>
      <c r="W70" s="4">
        <f ca="1">图表数据!J69</f>
        <v>4756</v>
      </c>
      <c r="X70" s="4">
        <f ca="1">图表数据!K69</f>
        <v>47216</v>
      </c>
      <c r="Y70" s="4">
        <f ca="1">图表数据!L69</f>
        <v>4585</v>
      </c>
      <c r="Z70" s="4">
        <f ca="1">图表数据!M69</f>
        <v>4058</v>
      </c>
      <c r="AA70" s="4">
        <f ca="1">图表数据!N69</f>
        <v>26307</v>
      </c>
      <c r="AB70" s="4">
        <f ca="1">图表数据!O69</f>
        <v>72332</v>
      </c>
      <c r="AC70" s="4">
        <f ca="1">图表数据!P69</f>
        <v>10811</v>
      </c>
      <c r="AD70" s="4">
        <f ca="1">图表数据!Q69</f>
        <v>15276</v>
      </c>
      <c r="AE70" s="4">
        <f ca="1">图表数据!R69</f>
        <v>9373</v>
      </c>
      <c r="AF70" s="4">
        <f ca="1">图表数据!S69</f>
        <v>363082</v>
      </c>
      <c r="AH70" s="4" t="str">
        <f t="shared" ca="1" si="85"/>
        <v>2018-01</v>
      </c>
      <c r="AI70" s="22">
        <f t="shared" ref="AI70:AV70" ca="1" si="118">S70/S58-1</f>
        <v>-9.9213551119177179E-3</v>
      </c>
      <c r="AJ70" s="22">
        <f t="shared" ca="1" si="118"/>
        <v>0.43416392220219979</v>
      </c>
      <c r="AK70" s="22">
        <f t="shared" ca="1" si="118"/>
        <v>2.4295233688107358</v>
      </c>
      <c r="AL70" s="22">
        <f t="shared" ca="1" si="118"/>
        <v>0.60542495479204339</v>
      </c>
      <c r="AM70" s="22">
        <f t="shared" ca="1" si="118"/>
        <v>3.794354838709677</v>
      </c>
      <c r="AN70" s="22">
        <f t="shared" ca="1" si="118"/>
        <v>5.1136863912987183</v>
      </c>
      <c r="AO70" s="22">
        <f t="shared" ca="1" si="118"/>
        <v>0.86306379520520116</v>
      </c>
      <c r="AP70" s="22">
        <f t="shared" ca="1" si="118"/>
        <v>1.7456021650879565</v>
      </c>
      <c r="AQ70" s="22">
        <f t="shared" ca="1" si="118"/>
        <v>1.8458459541324101</v>
      </c>
      <c r="AR70" s="22">
        <f t="shared" ca="1" si="118"/>
        <v>3.3054761904761909</v>
      </c>
      <c r="AS70" s="22">
        <f t="shared" ca="1" si="118"/>
        <v>14.03616133518776</v>
      </c>
      <c r="AT70" s="22">
        <f t="shared" ca="1" si="118"/>
        <v>1.2036930178880554</v>
      </c>
      <c r="AU70" s="22">
        <f t="shared" ca="1" si="118"/>
        <v>0.39271916790490335</v>
      </c>
      <c r="AV70" s="22">
        <f t="shared" ca="1" si="118"/>
        <v>1.8107543196878679</v>
      </c>
      <c r="AX70" s="4" t="str">
        <f t="shared" ca="1" si="87"/>
        <v>2018-01</v>
      </c>
      <c r="AY70" s="22">
        <f t="shared" ca="1" si="117"/>
        <v>4.8387442026400285</v>
      </c>
      <c r="AZ70" s="22">
        <f t="shared" ca="1" si="88"/>
        <v>15.556671449067434</v>
      </c>
      <c r="BA70" s="22">
        <f t="shared" ca="1" si="89"/>
        <v>13.48442996742671</v>
      </c>
      <c r="BB70" s="22">
        <f t="shared" ca="1" si="90"/>
        <v>5.6902788244159757</v>
      </c>
      <c r="BC70" s="22">
        <f t="shared" ca="1" si="91"/>
        <v>38.966386554621849</v>
      </c>
      <c r="BD70" s="22">
        <f t="shared" ca="1" si="92"/>
        <v>18.350819672131149</v>
      </c>
      <c r="BE70" s="22">
        <f t="shared" ca="1" si="93"/>
        <v>3.54410307234886</v>
      </c>
      <c r="BF70" s="22">
        <f t="shared" ca="1" si="94"/>
        <v>0.9689471130519165</v>
      </c>
      <c r="BG70" s="22">
        <f t="shared" ca="1" si="95"/>
        <v>4.3480382191502338</v>
      </c>
      <c r="BH70" s="22">
        <f t="shared" ca="1" si="96"/>
        <v>2.8618259476775227</v>
      </c>
      <c r="BI70" s="22">
        <f t="shared" ca="1" si="97"/>
        <v>385.10714285714283</v>
      </c>
      <c r="BJ70" s="22">
        <f t="shared" ca="1" si="98"/>
        <v>6.4408183146614713</v>
      </c>
      <c r="BK70" s="22">
        <f t="shared" ca="1" si="99"/>
        <v>5.5362622036262206</v>
      </c>
      <c r="BL70" s="22">
        <f t="shared" ca="1" si="100"/>
        <v>6.6727457154328942</v>
      </c>
      <c r="BN70" s="4" t="str">
        <f t="shared" ca="1" si="101"/>
        <v>2018-01</v>
      </c>
      <c r="BO70" s="22">
        <f t="shared" ca="1" si="102"/>
        <v>4.5075217168573489E-2</v>
      </c>
      <c r="BP70" s="22">
        <f t="shared" ca="1" si="103"/>
        <v>6.3566907750866194E-2</v>
      </c>
      <c r="BQ70" s="22">
        <f t="shared" ca="1" si="104"/>
        <v>0.30617876953415479</v>
      </c>
      <c r="BR70" s="22">
        <f t="shared" ca="1" si="105"/>
        <v>4.8903553467260837E-2</v>
      </c>
      <c r="BS70" s="22">
        <f t="shared" ca="1" si="106"/>
        <v>1.3098969378818008E-2</v>
      </c>
      <c r="BT70" s="22">
        <f t="shared" ca="1" si="107"/>
        <v>0.13004224940922438</v>
      </c>
      <c r="BU70" s="22">
        <f t="shared" ca="1" si="108"/>
        <v>1.2628001388116183E-2</v>
      </c>
      <c r="BV70" s="22">
        <f t="shared" ca="1" si="109"/>
        <v>1.1176538633146231E-2</v>
      </c>
      <c r="BW70" s="22">
        <f t="shared" ca="1" si="110"/>
        <v>7.2454707201128121E-2</v>
      </c>
      <c r="BX70" s="22">
        <f t="shared" ca="1" si="111"/>
        <v>0.19921670586809592</v>
      </c>
      <c r="BY70" s="22">
        <f t="shared" ca="1" si="112"/>
        <v>2.9775642967704265E-2</v>
      </c>
      <c r="BZ70" s="22">
        <f t="shared" ca="1" si="113"/>
        <v>4.2073140502696359E-2</v>
      </c>
      <c r="CA70" s="22">
        <f t="shared" ca="1" si="114"/>
        <v>2.5815105127767281E-2</v>
      </c>
      <c r="CB70" s="22">
        <f t="shared" ca="1" si="115"/>
        <v>1</v>
      </c>
    </row>
    <row r="71" spans="2:80" ht="15" customHeight="1" x14ac:dyDescent="0.15">
      <c r="B71" s="4" t="str">
        <f ca="1">图表数据!E70</f>
        <v>2018-02</v>
      </c>
      <c r="C71" s="24">
        <v>11487</v>
      </c>
      <c r="D71" s="24">
        <v>16074</v>
      </c>
      <c r="E71" s="24">
        <v>77017</v>
      </c>
      <c r="F71" s="24">
        <v>11463</v>
      </c>
      <c r="G71" s="24">
        <v>21060</v>
      </c>
      <c r="H71" s="24">
        <v>237398</v>
      </c>
      <c r="I71" s="24">
        <v>6398</v>
      </c>
      <c r="J71" s="24">
        <v>5695</v>
      </c>
      <c r="K71" s="24">
        <v>11224</v>
      </c>
      <c r="L71" s="24">
        <v>160776</v>
      </c>
      <c r="M71" s="24">
        <v>7889</v>
      </c>
      <c r="N71" s="24">
        <v>10618</v>
      </c>
      <c r="O71" s="24">
        <v>6225</v>
      </c>
      <c r="P71" s="24">
        <v>583324</v>
      </c>
      <c r="R71" s="4" t="str">
        <f ca="1">图表数据!E70</f>
        <v>2018-02</v>
      </c>
      <c r="S71" s="4">
        <f ca="1">图表数据!F70</f>
        <v>11487</v>
      </c>
      <c r="T71" s="4">
        <f ca="1">图表数据!G70</f>
        <v>16074</v>
      </c>
      <c r="U71" s="4">
        <f ca="1">图表数据!H70</f>
        <v>77017</v>
      </c>
      <c r="V71" s="4">
        <f ca="1">图表数据!I70</f>
        <v>11463</v>
      </c>
      <c r="W71" s="4">
        <f ca="1">图表数据!J70</f>
        <v>21060</v>
      </c>
      <c r="X71" s="4">
        <f ca="1">图表数据!K70</f>
        <v>237398</v>
      </c>
      <c r="Y71" s="4">
        <f ca="1">图表数据!L70</f>
        <v>6398</v>
      </c>
      <c r="Z71" s="4">
        <f ca="1">图表数据!M70</f>
        <v>5695</v>
      </c>
      <c r="AA71" s="4">
        <f ca="1">图表数据!N70</f>
        <v>11224</v>
      </c>
      <c r="AB71" s="4">
        <f ca="1">图表数据!O70</f>
        <v>160776</v>
      </c>
      <c r="AC71" s="4">
        <f ca="1">图表数据!P70</f>
        <v>7889</v>
      </c>
      <c r="AD71" s="4">
        <f ca="1">图表数据!Q70</f>
        <v>10618</v>
      </c>
      <c r="AE71" s="4">
        <f ca="1">图表数据!R70</f>
        <v>6225</v>
      </c>
      <c r="AF71" s="4">
        <f ca="1">图表数据!S70</f>
        <v>583324</v>
      </c>
      <c r="AH71" s="4" t="str">
        <f t="shared" ca="1" si="85"/>
        <v>2018-02</v>
      </c>
      <c r="AI71" s="22">
        <f t="shared" ref="AI71:AV71" ca="1" si="119">S71/S59-1</f>
        <v>-0.3551700909397103</v>
      </c>
      <c r="AJ71" s="22">
        <f t="shared" ca="1" si="119"/>
        <v>0.21745057941376955</v>
      </c>
      <c r="AK71" s="22">
        <f t="shared" ca="1" si="119"/>
        <v>0.56586357629358552</v>
      </c>
      <c r="AL71" s="22">
        <f t="shared" ca="1" si="119"/>
        <v>-6.7290480065093528E-2</v>
      </c>
      <c r="AM71" s="22">
        <f t="shared" ca="1" si="119"/>
        <v>8.023136246786633</v>
      </c>
      <c r="AN71" s="22">
        <f t="shared" ca="1" si="119"/>
        <v>9.5651090342679126</v>
      </c>
      <c r="AO71" s="22">
        <f t="shared" ca="1" si="119"/>
        <v>1.1185430463576158</v>
      </c>
      <c r="AP71" s="22">
        <f t="shared" ca="1" si="119"/>
        <v>0.86660111438872511</v>
      </c>
      <c r="AQ71" s="22">
        <f t="shared" ca="1" si="119"/>
        <v>0.25030633842040761</v>
      </c>
      <c r="AR71" s="22">
        <f t="shared" ca="1" si="119"/>
        <v>5.1670886075949367</v>
      </c>
      <c r="AS71" s="22">
        <f t="shared" ca="1" si="119"/>
        <v>3.2758807588075882</v>
      </c>
      <c r="AT71" s="22">
        <f t="shared" ca="1" si="119"/>
        <v>0.99249390129480197</v>
      </c>
      <c r="AU71" s="22">
        <f t="shared" ca="1" si="119"/>
        <v>-0.23356316178281211</v>
      </c>
      <c r="AV71" s="22">
        <f t="shared" ca="1" si="119"/>
        <v>2.3580141729654427</v>
      </c>
      <c r="AX71" s="4" t="str">
        <f t="shared" ca="1" si="87"/>
        <v>2018-02</v>
      </c>
      <c r="AY71" s="22">
        <f t="shared" ca="1" si="117"/>
        <v>-0.29811804961505561</v>
      </c>
      <c r="AZ71" s="22">
        <f t="shared" ca="1" si="88"/>
        <v>-0.30355285961871747</v>
      </c>
      <c r="BA71" s="22">
        <f t="shared" ca="1" si="89"/>
        <v>-0.30720171272308583</v>
      </c>
      <c r="BB71" s="22">
        <f t="shared" ca="1" si="90"/>
        <v>-0.35441540887587297</v>
      </c>
      <c r="BC71" s="22">
        <f t="shared" ca="1" si="91"/>
        <v>3.4280908326324644</v>
      </c>
      <c r="BD71" s="22">
        <f t="shared" ca="1" si="92"/>
        <v>4.0279142663503897</v>
      </c>
      <c r="BE71" s="22">
        <f t="shared" ca="1" si="93"/>
        <v>0.3954198473282442</v>
      </c>
      <c r="BF71" s="22">
        <f t="shared" ca="1" si="94"/>
        <v>0.4034006899950715</v>
      </c>
      <c r="BG71" s="22">
        <f t="shared" ca="1" si="95"/>
        <v>-0.57334549739613028</v>
      </c>
      <c r="BH71" s="22">
        <f t="shared" ca="1" si="96"/>
        <v>1.2227506497815628</v>
      </c>
      <c r="BI71" s="22">
        <f t="shared" ca="1" si="97"/>
        <v>-0.27028027009527333</v>
      </c>
      <c r="BJ71" s="22">
        <f t="shared" ca="1" si="98"/>
        <v>-0.3049227546478136</v>
      </c>
      <c r="BK71" s="22">
        <f t="shared" ca="1" si="99"/>
        <v>-0.33585831644084074</v>
      </c>
      <c r="BL71" s="22">
        <f t="shared" ca="1" si="100"/>
        <v>0.60659024683129426</v>
      </c>
      <c r="BN71" s="4" t="str">
        <f t="shared" ca="1" si="101"/>
        <v>2018-02</v>
      </c>
      <c r="BO71" s="22">
        <f t="shared" ca="1" si="102"/>
        <v>1.9692315077041233E-2</v>
      </c>
      <c r="BP71" s="22">
        <f t="shared" ca="1" si="103"/>
        <v>2.7555869465340017E-2</v>
      </c>
      <c r="BQ71" s="22">
        <f t="shared" ca="1" si="104"/>
        <v>0.13203125535722857</v>
      </c>
      <c r="BR71" s="22">
        <f t="shared" ca="1" si="105"/>
        <v>1.9651171561602128E-2</v>
      </c>
      <c r="BS71" s="22">
        <f t="shared" ca="1" si="106"/>
        <v>3.6103434797813909E-2</v>
      </c>
      <c r="BT71" s="22">
        <f t="shared" ca="1" si="107"/>
        <v>0.40697451159218545</v>
      </c>
      <c r="BU71" s="22">
        <f t="shared" ca="1" si="108"/>
        <v>1.0968175490807853E-2</v>
      </c>
      <c r="BV71" s="22">
        <f t="shared" ca="1" si="109"/>
        <v>9.7630133510707602E-3</v>
      </c>
      <c r="BW71" s="22">
        <f t="shared" ca="1" si="110"/>
        <v>1.9241450720354384E-2</v>
      </c>
      <c r="BX71" s="22">
        <f t="shared" ca="1" si="111"/>
        <v>0.27562040992655884</v>
      </c>
      <c r="BY71" s="22">
        <f t="shared" ca="1" si="112"/>
        <v>1.35242163874622E-2</v>
      </c>
      <c r="BZ71" s="22">
        <f t="shared" ca="1" si="113"/>
        <v>1.8202576955517004E-2</v>
      </c>
      <c r="CA71" s="22">
        <f t="shared" ca="1" si="114"/>
        <v>1.0671599317017643E-2</v>
      </c>
      <c r="CB71" s="22">
        <f t="shared" ca="1" si="115"/>
        <v>1</v>
      </c>
    </row>
    <row r="72" spans="2:80" ht="15" customHeight="1" x14ac:dyDescent="0.15">
      <c r="B72" s="4" t="str">
        <f ca="1">图表数据!E71</f>
        <v>2018-03</v>
      </c>
      <c r="C72" s="24">
        <v>22056</v>
      </c>
      <c r="D72" s="24">
        <v>18355</v>
      </c>
      <c r="E72" s="24">
        <v>104386</v>
      </c>
      <c r="F72" s="24">
        <v>30520</v>
      </c>
      <c r="G72" s="24">
        <v>15377</v>
      </c>
      <c r="H72" s="24">
        <v>70562</v>
      </c>
      <c r="I72" s="24">
        <v>15802</v>
      </c>
      <c r="J72" s="24">
        <v>5467</v>
      </c>
      <c r="K72" s="24">
        <v>23206</v>
      </c>
      <c r="L72" s="24">
        <v>82192</v>
      </c>
      <c r="M72" s="24">
        <v>4321</v>
      </c>
      <c r="N72" s="24">
        <v>19026</v>
      </c>
      <c r="O72" s="24">
        <v>14516</v>
      </c>
      <c r="P72" s="24">
        <v>425786</v>
      </c>
      <c r="R72" s="4" t="str">
        <f ca="1">图表数据!E71</f>
        <v>2018-03</v>
      </c>
      <c r="S72" s="4">
        <f ca="1">图表数据!F71</f>
        <v>22056</v>
      </c>
      <c r="T72" s="4">
        <f ca="1">图表数据!G71</f>
        <v>18355</v>
      </c>
      <c r="U72" s="4">
        <f ca="1">图表数据!H71</f>
        <v>104386</v>
      </c>
      <c r="V72" s="4">
        <f ca="1">图表数据!I71</f>
        <v>30520</v>
      </c>
      <c r="W72" s="4">
        <f ca="1">图表数据!J71</f>
        <v>15377</v>
      </c>
      <c r="X72" s="4">
        <f ca="1">图表数据!K71</f>
        <v>70562</v>
      </c>
      <c r="Y72" s="4">
        <f ca="1">图表数据!L71</f>
        <v>15802</v>
      </c>
      <c r="Z72" s="4">
        <f ca="1">图表数据!M71</f>
        <v>5467</v>
      </c>
      <c r="AA72" s="4">
        <f ca="1">图表数据!N71</f>
        <v>23206</v>
      </c>
      <c r="AB72" s="4">
        <f ca="1">图表数据!O71</f>
        <v>82192</v>
      </c>
      <c r="AC72" s="4">
        <f ca="1">图表数据!P71</f>
        <v>4321</v>
      </c>
      <c r="AD72" s="4">
        <f ca="1">图表数据!Q71</f>
        <v>19026</v>
      </c>
      <c r="AE72" s="4">
        <f ca="1">图表数据!R71</f>
        <v>14516</v>
      </c>
      <c r="AF72" s="4">
        <f ca="1">图表数据!S71</f>
        <v>425786</v>
      </c>
      <c r="AH72" s="4" t="str">
        <f t="shared" ca="1" si="85"/>
        <v>2018-03</v>
      </c>
      <c r="AI72" s="22">
        <f t="shared" ref="AI72:AV72" ca="1" si="120">S72/S60-1</f>
        <v>0.1608421052631579</v>
      </c>
      <c r="AJ72" s="22">
        <f t="shared" ca="1" si="120"/>
        <v>0.16244458518049409</v>
      </c>
      <c r="AK72" s="22">
        <f t="shared" ca="1" si="120"/>
        <v>0.46250087565674258</v>
      </c>
      <c r="AL72" s="22">
        <f t="shared" ca="1" si="120"/>
        <v>0.77928059231621294</v>
      </c>
      <c r="AM72" s="22">
        <f t="shared" ca="1" si="120"/>
        <v>2.3581568027953703</v>
      </c>
      <c r="AN72" s="22">
        <f t="shared" ca="1" si="120"/>
        <v>0.34608927890118268</v>
      </c>
      <c r="AO72" s="22">
        <f t="shared" ca="1" si="120"/>
        <v>8.7004297114794351</v>
      </c>
      <c r="AP72" s="22">
        <f t="shared" ca="1" si="120"/>
        <v>-0.19222813238770686</v>
      </c>
      <c r="AQ72" s="22">
        <f t="shared" ca="1" si="120"/>
        <v>0.63284548269068397</v>
      </c>
      <c r="AR72" s="22">
        <f t="shared" ca="1" si="120"/>
        <v>1.6540945492120898</v>
      </c>
      <c r="AS72" s="22">
        <f t="shared" ca="1" si="120"/>
        <v>-0.56472247406064269</v>
      </c>
      <c r="AT72" s="22">
        <f t="shared" ca="1" si="120"/>
        <v>1.1512890094979649</v>
      </c>
      <c r="AU72" s="22">
        <f t="shared" ca="1" si="120"/>
        <v>0.95580706009161953</v>
      </c>
      <c r="AV72" s="22">
        <f t="shared" ca="1" si="120"/>
        <v>0.63709066581566942</v>
      </c>
      <c r="AX72" s="4" t="str">
        <f t="shared" ca="1" si="87"/>
        <v>2018-03</v>
      </c>
      <c r="AY72" s="22">
        <f t="shared" ca="1" si="117"/>
        <v>0.92008357273439545</v>
      </c>
      <c r="AZ72" s="22">
        <f t="shared" ca="1" si="88"/>
        <v>0.14190618389946508</v>
      </c>
      <c r="BA72" s="22">
        <f t="shared" ca="1" si="89"/>
        <v>0.35536310165288176</v>
      </c>
      <c r="BB72" s="22">
        <f t="shared" ca="1" si="90"/>
        <v>1.6624792811654889</v>
      </c>
      <c r="BC72" s="22">
        <f t="shared" ca="1" si="91"/>
        <v>-0.26984805318138649</v>
      </c>
      <c r="BD72" s="22">
        <f t="shared" ca="1" si="92"/>
        <v>-0.70276918929392829</v>
      </c>
      <c r="BE72" s="22">
        <f t="shared" ca="1" si="93"/>
        <v>1.4698343232260083</v>
      </c>
      <c r="BF72" s="22">
        <f t="shared" ca="1" si="94"/>
        <v>-4.0035118525021951E-2</v>
      </c>
      <c r="BG72" s="22">
        <f t="shared" ca="1" si="95"/>
        <v>1.0675338560228083</v>
      </c>
      <c r="BH72" s="22">
        <f t="shared" ca="1" si="96"/>
        <v>-0.4887794198139026</v>
      </c>
      <c r="BI72" s="22">
        <f t="shared" ca="1" si="97"/>
        <v>-0.45227532006591453</v>
      </c>
      <c r="BJ72" s="22">
        <f t="shared" ca="1" si="98"/>
        <v>0.79186287436428704</v>
      </c>
      <c r="BK72" s="22">
        <f t="shared" ca="1" si="99"/>
        <v>1.3318875502008032</v>
      </c>
      <c r="BL72" s="22">
        <f t="shared" ca="1" si="100"/>
        <v>-0.27006946396856635</v>
      </c>
      <c r="BN72" s="4" t="str">
        <f t="shared" ca="1" si="101"/>
        <v>2018-03</v>
      </c>
      <c r="BO72" s="22">
        <f t="shared" ca="1" si="102"/>
        <v>5.1800669820050445E-2</v>
      </c>
      <c r="BP72" s="22">
        <f t="shared" ca="1" si="103"/>
        <v>4.3108509908733494E-2</v>
      </c>
      <c r="BQ72" s="22">
        <f t="shared" ca="1" si="104"/>
        <v>0.24516071453734975</v>
      </c>
      <c r="BR72" s="22">
        <f t="shared" ca="1" si="105"/>
        <v>7.1679200349471325E-2</v>
      </c>
      <c r="BS72" s="22">
        <f t="shared" ca="1" si="106"/>
        <v>3.6114386100059653E-2</v>
      </c>
      <c r="BT72" s="22">
        <f t="shared" ca="1" si="107"/>
        <v>0.16572174754454116</v>
      </c>
      <c r="BU72" s="22">
        <f t="shared" ca="1" si="108"/>
        <v>3.7112540102304914E-2</v>
      </c>
      <c r="BV72" s="22">
        <f t="shared" ca="1" si="109"/>
        <v>1.2839783365352547E-2</v>
      </c>
      <c r="BW72" s="22">
        <f t="shared" ca="1" si="110"/>
        <v>5.4501557120243502E-2</v>
      </c>
      <c r="BX72" s="22">
        <f t="shared" ca="1" si="111"/>
        <v>0.19303593824127613</v>
      </c>
      <c r="BY72" s="22">
        <f t="shared" ca="1" si="112"/>
        <v>1.0148290455768861E-2</v>
      </c>
      <c r="BZ72" s="22">
        <f t="shared" ca="1" si="113"/>
        <v>4.4684418933454831E-2</v>
      </c>
      <c r="CA72" s="22">
        <f t="shared" ca="1" si="114"/>
        <v>3.4092243521393374E-2</v>
      </c>
      <c r="CB72" s="22">
        <f t="shared" ca="1" si="115"/>
        <v>1</v>
      </c>
    </row>
    <row r="73" spans="2:80" ht="15" customHeight="1" x14ac:dyDescent="0.15">
      <c r="B73" s="4" t="str">
        <f ca="1">图表数据!E72</f>
        <v>2018-04</v>
      </c>
      <c r="C73" s="24">
        <v>34</v>
      </c>
      <c r="D73" s="24">
        <v>1828</v>
      </c>
      <c r="E73" s="24">
        <v>40457</v>
      </c>
      <c r="F73" s="24">
        <v>9757</v>
      </c>
      <c r="G73" s="24">
        <v>-723</v>
      </c>
      <c r="H73" s="24">
        <v>-492</v>
      </c>
      <c r="I73" s="24">
        <v>-66</v>
      </c>
      <c r="J73" s="24">
        <v>-67</v>
      </c>
      <c r="K73" s="24">
        <v>17558</v>
      </c>
      <c r="L73" s="24">
        <v>12997</v>
      </c>
      <c r="M73" s="24">
        <v>87</v>
      </c>
      <c r="N73" s="24">
        <v>1486</v>
      </c>
      <c r="O73" s="24">
        <v>2896</v>
      </c>
      <c r="P73" s="24">
        <v>85753</v>
      </c>
      <c r="R73" s="4" t="str">
        <f ca="1">图表数据!E72</f>
        <v>2018-04</v>
      </c>
      <c r="S73" s="4">
        <f ca="1">图表数据!F72</f>
        <v>34</v>
      </c>
      <c r="T73" s="4">
        <f ca="1">图表数据!G72</f>
        <v>1828</v>
      </c>
      <c r="U73" s="4">
        <f ca="1">图表数据!H72</f>
        <v>40457</v>
      </c>
      <c r="V73" s="4">
        <f ca="1">图表数据!I72</f>
        <v>9757</v>
      </c>
      <c r="W73" s="4">
        <f ca="1">图表数据!J72</f>
        <v>-723</v>
      </c>
      <c r="X73" s="4">
        <f ca="1">图表数据!K72</f>
        <v>-492</v>
      </c>
      <c r="Y73" s="4">
        <f ca="1">图表数据!L72</f>
        <v>-66</v>
      </c>
      <c r="Z73" s="4">
        <f ca="1">图表数据!M72</f>
        <v>-67</v>
      </c>
      <c r="AA73" s="4">
        <f ca="1">图表数据!N72</f>
        <v>17558</v>
      </c>
      <c r="AB73" s="4">
        <f ca="1">图表数据!O72</f>
        <v>12997</v>
      </c>
      <c r="AC73" s="4">
        <f ca="1">图表数据!P72</f>
        <v>87</v>
      </c>
      <c r="AD73" s="4">
        <f ca="1">图表数据!Q72</f>
        <v>1486</v>
      </c>
      <c r="AE73" s="4">
        <f ca="1">图表数据!R72</f>
        <v>2896</v>
      </c>
      <c r="AF73" s="4">
        <f ca="1">图表数据!S72</f>
        <v>85753</v>
      </c>
      <c r="AH73" s="4" t="str">
        <f t="shared" ca="1" si="85"/>
        <v>2018-04</v>
      </c>
      <c r="AI73" s="22">
        <f t="shared" ref="AI73:AV73" ca="1" si="121">S73/S61-1</f>
        <v>-0.99678821084451164</v>
      </c>
      <c r="AJ73" s="22">
        <f t="shared" ca="1" si="121"/>
        <v>-0.82603730491054428</v>
      </c>
      <c r="AK73" s="22">
        <f t="shared" ca="1" si="121"/>
        <v>-0.1813969487272874</v>
      </c>
      <c r="AL73" s="22">
        <f t="shared" ca="1" si="121"/>
        <v>-4.4461854862403283E-2</v>
      </c>
      <c r="AM73" s="22">
        <f t="shared" ca="1" si="121"/>
        <v>-1.1370875995449374</v>
      </c>
      <c r="AN73" s="22">
        <f t="shared" ca="1" si="121"/>
        <v>-1.021144011345567</v>
      </c>
      <c r="AO73" s="22">
        <f t="shared" ca="1" si="121"/>
        <v>-1.0235798499464095</v>
      </c>
      <c r="AP73" s="22">
        <f t="shared" ca="1" si="121"/>
        <v>-1.006546804768419</v>
      </c>
      <c r="AQ73" s="22">
        <f t="shared" ca="1" si="121"/>
        <v>1.0200184077312473</v>
      </c>
      <c r="AR73" s="22">
        <f t="shared" ca="1" si="121"/>
        <v>-0.54549587354874807</v>
      </c>
      <c r="AS73" s="22">
        <f t="shared" ca="1" si="121"/>
        <v>-0.98072662826761192</v>
      </c>
      <c r="AT73" s="22">
        <f t="shared" ca="1" si="121"/>
        <v>-0.82324253598191977</v>
      </c>
      <c r="AU73" s="22">
        <f t="shared" ca="1" si="121"/>
        <v>-0.60933495211115607</v>
      </c>
      <c r="AV73" s="22">
        <f t="shared" ca="1" si="121"/>
        <v>-0.52339321046664145</v>
      </c>
      <c r="AX73" s="4" t="str">
        <f t="shared" ca="1" si="87"/>
        <v>2018-04</v>
      </c>
      <c r="AY73" s="22">
        <f t="shared" ca="1" si="117"/>
        <v>-0.99845846935074356</v>
      </c>
      <c r="AZ73" s="22">
        <f t="shared" ca="1" si="88"/>
        <v>-0.90040860800871703</v>
      </c>
      <c r="BA73" s="22">
        <f t="shared" ca="1" si="89"/>
        <v>-0.61242886977180855</v>
      </c>
      <c r="BB73" s="22">
        <f t="shared" ca="1" si="90"/>
        <v>-0.68030799475753612</v>
      </c>
      <c r="BC73" s="22">
        <f t="shared" ca="1" si="91"/>
        <v>-1.0470182740456526</v>
      </c>
      <c r="BD73" s="22">
        <f t="shared" ca="1" si="92"/>
        <v>-1.0069725914798333</v>
      </c>
      <c r="BE73" s="22">
        <f t="shared" ca="1" si="93"/>
        <v>-1.0041766864953803</v>
      </c>
      <c r="BF73" s="22">
        <f t="shared" ca="1" si="94"/>
        <v>-1.0122553502835192</v>
      </c>
      <c r="BG73" s="22">
        <f t="shared" ca="1" si="95"/>
        <v>-0.24338533137981555</v>
      </c>
      <c r="BH73" s="22">
        <f t="shared" ca="1" si="96"/>
        <v>-0.84187025501265333</v>
      </c>
      <c r="BI73" s="22">
        <f t="shared" ca="1" si="97"/>
        <v>-0.97986577181208057</v>
      </c>
      <c r="BJ73" s="22">
        <f t="shared" ca="1" si="98"/>
        <v>-0.92189635235992851</v>
      </c>
      <c r="BK73" s="22">
        <f t="shared" ca="1" si="99"/>
        <v>-0.8004960044089281</v>
      </c>
      <c r="BL73" s="22">
        <f t="shared" ca="1" si="100"/>
        <v>-0.79860070551873474</v>
      </c>
      <c r="BN73" s="4" t="str">
        <f t="shared" ca="1" si="101"/>
        <v>2018-04</v>
      </c>
      <c r="BO73" s="22">
        <f t="shared" ca="1" si="102"/>
        <v>3.9648758644012454E-4</v>
      </c>
      <c r="BP73" s="22">
        <f t="shared" ca="1" si="103"/>
        <v>2.1317038470957284E-2</v>
      </c>
      <c r="BQ73" s="22">
        <f t="shared" ca="1" si="104"/>
        <v>0.47178524366494468</v>
      </c>
      <c r="BR73" s="22">
        <f t="shared" ca="1" si="105"/>
        <v>0.11378027590871456</v>
      </c>
      <c r="BS73" s="22">
        <f t="shared" ca="1" si="106"/>
        <v>-8.4311919116532366E-3</v>
      </c>
      <c r="BT73" s="22">
        <f t="shared" ca="1" si="107"/>
        <v>-5.7374086037806256E-3</v>
      </c>
      <c r="BU73" s="22">
        <f t="shared" ca="1" si="108"/>
        <v>-7.6965237367788877E-4</v>
      </c>
      <c r="BV73" s="22">
        <f t="shared" ca="1" si="109"/>
        <v>-7.8131377327906898E-4</v>
      </c>
      <c r="BW73" s="22">
        <f t="shared" ca="1" si="110"/>
        <v>0.20475085419752079</v>
      </c>
      <c r="BX73" s="22">
        <f t="shared" ca="1" si="111"/>
        <v>0.15156321061653819</v>
      </c>
      <c r="BY73" s="22">
        <f t="shared" ca="1" si="112"/>
        <v>1.0145417653026716E-3</v>
      </c>
      <c r="BZ73" s="22">
        <f t="shared" ca="1" si="113"/>
        <v>1.7328839807353679E-2</v>
      </c>
      <c r="CA73" s="22">
        <f t="shared" ca="1" si="114"/>
        <v>3.3771413245017666E-2</v>
      </c>
      <c r="CB73" s="22">
        <f t="shared" ca="1" si="115"/>
        <v>1</v>
      </c>
    </row>
    <row r="74" spans="2:80" ht="15" customHeight="1" x14ac:dyDescent="0.15">
      <c r="B74" s="4" t="str">
        <f ca="1">图表数据!E73</f>
        <v>2018-05</v>
      </c>
      <c r="C74" s="24">
        <v>2101</v>
      </c>
      <c r="D74" s="24">
        <v>5320</v>
      </c>
      <c r="E74" s="24">
        <v>56488</v>
      </c>
      <c r="F74" s="24">
        <v>29366</v>
      </c>
      <c r="G74" s="24">
        <v>3375</v>
      </c>
      <c r="H74" s="24">
        <v>3510</v>
      </c>
      <c r="I74" s="24">
        <v>1321</v>
      </c>
      <c r="J74" s="24">
        <v>160</v>
      </c>
      <c r="K74" s="24">
        <v>27681</v>
      </c>
      <c r="L74" s="24">
        <v>22607</v>
      </c>
      <c r="M74" s="24">
        <v>3940</v>
      </c>
      <c r="N74" s="24">
        <v>2945</v>
      </c>
      <c r="O74" s="24">
        <v>5899</v>
      </c>
      <c r="P74" s="24">
        <v>164714</v>
      </c>
      <c r="R74" s="4" t="str">
        <f ca="1">图表数据!E73</f>
        <v>2018-05</v>
      </c>
      <c r="S74" s="4">
        <f ca="1">图表数据!F73</f>
        <v>2101</v>
      </c>
      <c r="T74" s="4">
        <f ca="1">图表数据!G73</f>
        <v>5320</v>
      </c>
      <c r="U74" s="4">
        <f ca="1">图表数据!H73</f>
        <v>56488</v>
      </c>
      <c r="V74" s="4">
        <f ca="1">图表数据!I73</f>
        <v>29366</v>
      </c>
      <c r="W74" s="4">
        <f ca="1">图表数据!J73</f>
        <v>3375</v>
      </c>
      <c r="X74" s="4">
        <f ca="1">图表数据!K73</f>
        <v>3510</v>
      </c>
      <c r="Y74" s="4">
        <f ca="1">图表数据!L73</f>
        <v>1321</v>
      </c>
      <c r="Z74" s="4">
        <f ca="1">图表数据!M73</f>
        <v>160</v>
      </c>
      <c r="AA74" s="4">
        <f ca="1">图表数据!N73</f>
        <v>27681</v>
      </c>
      <c r="AB74" s="4">
        <f ca="1">图表数据!O73</f>
        <v>22607</v>
      </c>
      <c r="AC74" s="4">
        <f ca="1">图表数据!P73</f>
        <v>3940</v>
      </c>
      <c r="AD74" s="4">
        <f ca="1">图表数据!Q73</f>
        <v>2945</v>
      </c>
      <c r="AE74" s="4">
        <f ca="1">图表数据!R73</f>
        <v>5899</v>
      </c>
      <c r="AF74" s="4">
        <f ca="1">图表数据!S73</f>
        <v>164714</v>
      </c>
      <c r="AH74" s="4" t="str">
        <f t="shared" ca="1" si="85"/>
        <v>2018-05</v>
      </c>
      <c r="AI74" s="22">
        <f t="shared" ref="AI74:AV74" ca="1" si="122">S74/S62-1</f>
        <v>-0.79222705696202533</v>
      </c>
      <c r="AJ74" s="22">
        <f t="shared" ca="1" si="122"/>
        <v>-0.40211283434479661</v>
      </c>
      <c r="AK74" s="22">
        <f t="shared" ca="1" si="122"/>
        <v>0.52988652059691788</v>
      </c>
      <c r="AL74" s="22">
        <f t="shared" ca="1" si="122"/>
        <v>1.1293597273584219</v>
      </c>
      <c r="AM74" s="22">
        <f t="shared" ca="1" si="122"/>
        <v>0.29459148446490224</v>
      </c>
      <c r="AN74" s="22">
        <f t="shared" ca="1" si="122"/>
        <v>-0.87452634589261458</v>
      </c>
      <c r="AO74" s="22">
        <f t="shared" ca="1" si="122"/>
        <v>-0.68844339622641515</v>
      </c>
      <c r="AP74" s="22">
        <f t="shared" ca="1" si="122"/>
        <v>-0.98983093936697597</v>
      </c>
      <c r="AQ74" s="22">
        <f t="shared" ca="1" si="122"/>
        <v>2.6326771653543308</v>
      </c>
      <c r="AR74" s="22">
        <f t="shared" ca="1" si="122"/>
        <v>-9.7921072582897728E-2</v>
      </c>
      <c r="AS74" s="22">
        <f t="shared" ca="1" si="122"/>
        <v>-0.4821921408857931</v>
      </c>
      <c r="AT74" s="22">
        <f t="shared" ca="1" si="122"/>
        <v>-0.6055979643765903</v>
      </c>
      <c r="AU74" s="22">
        <f t="shared" ca="1" si="122"/>
        <v>-1.2554402410445253E-2</v>
      </c>
      <c r="AV74" s="22">
        <f t="shared" ca="1" si="122"/>
        <v>-5.3427656872266693E-2</v>
      </c>
      <c r="AX74" s="4" t="str">
        <f t="shared" ca="1" si="87"/>
        <v>2018-05</v>
      </c>
      <c r="AY74" s="22">
        <f t="shared" ca="1" si="117"/>
        <v>60.794117647058826</v>
      </c>
      <c r="AZ74" s="22">
        <f t="shared" ca="1" si="88"/>
        <v>1.9102844638949672</v>
      </c>
      <c r="BA74" s="22">
        <f t="shared" ca="1" si="89"/>
        <v>0.39624786810687884</v>
      </c>
      <c r="BB74" s="22">
        <f t="shared" ca="1" si="90"/>
        <v>2.0097365993645586</v>
      </c>
      <c r="BC74" s="22">
        <f t="shared" ca="1" si="91"/>
        <v>-5.6680497925311206</v>
      </c>
      <c r="BD74" s="22">
        <f t="shared" ca="1" si="92"/>
        <v>-8.1341463414634134</v>
      </c>
      <c r="BE74" s="22">
        <f t="shared" ca="1" si="93"/>
        <v>-21.015151515151516</v>
      </c>
      <c r="BF74" s="22">
        <f t="shared" ca="1" si="94"/>
        <v>-3.3880597014925371</v>
      </c>
      <c r="BG74" s="22">
        <f t="shared" ca="1" si="95"/>
        <v>0.57654630367923443</v>
      </c>
      <c r="BH74" s="22">
        <f t="shared" ca="1" si="96"/>
        <v>0.73940140032315149</v>
      </c>
      <c r="BI74" s="22">
        <f t="shared" ca="1" si="97"/>
        <v>44.287356321839077</v>
      </c>
      <c r="BJ74" s="22">
        <f t="shared" ca="1" si="98"/>
        <v>0.98183041722745634</v>
      </c>
      <c r="BK74" s="22">
        <f t="shared" ca="1" si="99"/>
        <v>1.0369475138121547</v>
      </c>
      <c r="BL74" s="22">
        <f t="shared" ca="1" si="100"/>
        <v>0.92079577390878464</v>
      </c>
      <c r="BN74" s="4" t="str">
        <f t="shared" ca="1" si="101"/>
        <v>2018-05</v>
      </c>
      <c r="BO74" s="22">
        <f t="shared" ca="1" si="102"/>
        <v>1.2755442767463604E-2</v>
      </c>
      <c r="BP74" s="22">
        <f t="shared" ca="1" si="103"/>
        <v>3.2298408149884043E-2</v>
      </c>
      <c r="BQ74" s="22">
        <f t="shared" ca="1" si="104"/>
        <v>0.34294595480651313</v>
      </c>
      <c r="BR74" s="22">
        <f t="shared" ca="1" si="105"/>
        <v>0.17828478453561933</v>
      </c>
      <c r="BS74" s="22">
        <f t="shared" ca="1" si="106"/>
        <v>2.0490061561251625E-2</v>
      </c>
      <c r="BT74" s="22">
        <f t="shared" ca="1" si="107"/>
        <v>2.1309664023701689E-2</v>
      </c>
      <c r="BU74" s="22">
        <f t="shared" ca="1" si="108"/>
        <v>8.0199618733076735E-3</v>
      </c>
      <c r="BV74" s="22">
        <f t="shared" ca="1" si="109"/>
        <v>9.7138069623711406E-4</v>
      </c>
      <c r="BW74" s="22">
        <f t="shared" ca="1" si="110"/>
        <v>0.1680549315783722</v>
      </c>
      <c r="BX74" s="22">
        <f t="shared" ca="1" si="111"/>
        <v>0.13725002124895272</v>
      </c>
      <c r="BY74" s="22">
        <f t="shared" ca="1" si="112"/>
        <v>2.3920249644838933E-2</v>
      </c>
      <c r="BZ74" s="22">
        <f t="shared" ca="1" si="113"/>
        <v>1.7879475940114381E-2</v>
      </c>
      <c r="CA74" s="22">
        <f t="shared" ca="1" si="114"/>
        <v>3.5813592044392099E-2</v>
      </c>
      <c r="CB74" s="22">
        <f t="shared" ca="1" si="115"/>
        <v>1</v>
      </c>
    </row>
    <row r="75" spans="2:80" ht="15" customHeight="1" x14ac:dyDescent="0.15">
      <c r="B75" s="4" t="str">
        <f ca="1">图表数据!E74</f>
        <v>2018-06</v>
      </c>
      <c r="C75" s="24">
        <v>4535</v>
      </c>
      <c r="D75" s="24">
        <v>7323</v>
      </c>
      <c r="E75" s="24">
        <v>49520</v>
      </c>
      <c r="F75" s="24">
        <v>28600</v>
      </c>
      <c r="G75" s="24">
        <v>6246</v>
      </c>
      <c r="H75" s="24">
        <v>2905</v>
      </c>
      <c r="I75" s="24">
        <v>1172</v>
      </c>
      <c r="J75" s="24">
        <v>170</v>
      </c>
      <c r="K75" s="24">
        <v>17216</v>
      </c>
      <c r="L75" s="24">
        <v>18199</v>
      </c>
      <c r="M75" s="24">
        <v>2015</v>
      </c>
      <c r="N75" s="24">
        <v>2842</v>
      </c>
      <c r="O75" s="24">
        <v>7097</v>
      </c>
      <c r="P75" s="24">
        <v>147840</v>
      </c>
      <c r="R75" s="4" t="str">
        <f ca="1">图表数据!E74</f>
        <v>2018-06</v>
      </c>
      <c r="S75" s="4">
        <f ca="1">图表数据!F74</f>
        <v>4535</v>
      </c>
      <c r="T75" s="4">
        <f ca="1">图表数据!G74</f>
        <v>7323</v>
      </c>
      <c r="U75" s="4">
        <f ca="1">图表数据!H74</f>
        <v>49520</v>
      </c>
      <c r="V75" s="4">
        <f ca="1">图表数据!I74</f>
        <v>28600</v>
      </c>
      <c r="W75" s="4">
        <f ca="1">图表数据!J74</f>
        <v>6246</v>
      </c>
      <c r="X75" s="4">
        <f ca="1">图表数据!K74</f>
        <v>2905</v>
      </c>
      <c r="Y75" s="4">
        <f ca="1">图表数据!L74</f>
        <v>1172</v>
      </c>
      <c r="Z75" s="4">
        <f ca="1">图表数据!M74</f>
        <v>170</v>
      </c>
      <c r="AA75" s="4">
        <f ca="1">图表数据!N74</f>
        <v>17216</v>
      </c>
      <c r="AB75" s="4">
        <f ca="1">图表数据!O74</f>
        <v>18199</v>
      </c>
      <c r="AC75" s="4">
        <f ca="1">图表数据!P74</f>
        <v>2015</v>
      </c>
      <c r="AD75" s="4">
        <f ca="1">图表数据!Q74</f>
        <v>2842</v>
      </c>
      <c r="AE75" s="4">
        <f ca="1">图表数据!R74</f>
        <v>7097</v>
      </c>
      <c r="AF75" s="4">
        <f ca="1">图表数据!S74</f>
        <v>147840</v>
      </c>
      <c r="AH75" s="4" t="str">
        <f t="shared" ca="1" si="85"/>
        <v>2018-06</v>
      </c>
      <c r="AI75" s="22">
        <f t="shared" ref="AI75:AV75" ca="1" si="123">S75/S63-1</f>
        <v>-7.0067878257061844E-3</v>
      </c>
      <c r="AJ75" s="22">
        <f t="shared" ca="1" si="123"/>
        <v>-0.30283701447067779</v>
      </c>
      <c r="AK75" s="22">
        <f t="shared" ca="1" si="123"/>
        <v>0.43815525803734778</v>
      </c>
      <c r="AL75" s="22">
        <f t="shared" ca="1" si="123"/>
        <v>2.6709023231934284</v>
      </c>
      <c r="AM75" s="22">
        <f t="shared" ca="1" si="123"/>
        <v>2.2162718846549949</v>
      </c>
      <c r="AN75" s="22">
        <f t="shared" ca="1" si="123"/>
        <v>-0.62694233979709768</v>
      </c>
      <c r="AO75" s="22">
        <f t="shared" ca="1" si="123"/>
        <v>-0.60776439089692103</v>
      </c>
      <c r="AP75" s="22">
        <f t="shared" ca="1" si="123"/>
        <v>-0.97364749651216864</v>
      </c>
      <c r="AQ75" s="22">
        <f t="shared" ca="1" si="123"/>
        <v>3.6859009254218833</v>
      </c>
      <c r="AR75" s="22">
        <f t="shared" ca="1" si="123"/>
        <v>-0.46580368674415873</v>
      </c>
      <c r="AS75" s="22">
        <f t="shared" ca="1" si="123"/>
        <v>-0.80508802476301022</v>
      </c>
      <c r="AT75" s="22">
        <f t="shared" ca="1" si="123"/>
        <v>-0.36377882247593463</v>
      </c>
      <c r="AU75" s="22">
        <f t="shared" ca="1" si="123"/>
        <v>0.38478048780487795</v>
      </c>
      <c r="AV75" s="22">
        <f t="shared" ca="1" si="123"/>
        <v>0.10216496689926635</v>
      </c>
      <c r="AX75" s="4" t="str">
        <f t="shared" ca="1" si="87"/>
        <v>2018-06</v>
      </c>
      <c r="AY75" s="22">
        <f t="shared" ca="1" si="117"/>
        <v>1.1584959543074724</v>
      </c>
      <c r="AZ75" s="22">
        <f t="shared" ca="1" si="88"/>
        <v>0.37650375939849634</v>
      </c>
      <c r="BA75" s="22">
        <f t="shared" ca="1" si="89"/>
        <v>-0.12335363262993915</v>
      </c>
      <c r="BB75" s="22">
        <f t="shared" ca="1" si="90"/>
        <v>-2.6084587618334099E-2</v>
      </c>
      <c r="BC75" s="22">
        <f t="shared" ca="1" si="91"/>
        <v>0.85066666666666668</v>
      </c>
      <c r="BD75" s="22">
        <f t="shared" ca="1" si="92"/>
        <v>-0.17236467236467234</v>
      </c>
      <c r="BE75" s="22">
        <f t="shared" ca="1" si="93"/>
        <v>-0.11279333838001515</v>
      </c>
      <c r="BF75" s="22">
        <f t="shared" ca="1" si="94"/>
        <v>6.25E-2</v>
      </c>
      <c r="BG75" s="22">
        <f t="shared" ca="1" si="95"/>
        <v>-0.3780571511144829</v>
      </c>
      <c r="BH75" s="22">
        <f t="shared" ca="1" si="96"/>
        <v>-0.19498385455832268</v>
      </c>
      <c r="BI75" s="22">
        <f t="shared" ca="1" si="97"/>
        <v>-0.48857868020304573</v>
      </c>
      <c r="BJ75" s="22">
        <f t="shared" ca="1" si="98"/>
        <v>-3.497453310696097E-2</v>
      </c>
      <c r="BK75" s="22">
        <f t="shared" ca="1" si="99"/>
        <v>0.2030852686896083</v>
      </c>
      <c r="BL75" s="22">
        <f t="shared" ca="1" si="100"/>
        <v>-0.10244423667690661</v>
      </c>
      <c r="BN75" s="4" t="str">
        <f t="shared" ca="1" si="101"/>
        <v>2018-06</v>
      </c>
      <c r="BO75" s="22">
        <f t="shared" ca="1" si="102"/>
        <v>3.0675054112554112E-2</v>
      </c>
      <c r="BP75" s="22">
        <f t="shared" ca="1" si="103"/>
        <v>4.9533279220779221E-2</v>
      </c>
      <c r="BQ75" s="22">
        <f t="shared" ca="1" si="104"/>
        <v>0.33495670995670995</v>
      </c>
      <c r="BR75" s="22">
        <f t="shared" ca="1" si="105"/>
        <v>0.19345238095238096</v>
      </c>
      <c r="BS75" s="22">
        <f t="shared" ca="1" si="106"/>
        <v>4.2248376623376625E-2</v>
      </c>
      <c r="BT75" s="22">
        <f t="shared" ca="1" si="107"/>
        <v>1.9649621212121212E-2</v>
      </c>
      <c r="BU75" s="22">
        <f t="shared" ca="1" si="108"/>
        <v>7.9274891774891772E-3</v>
      </c>
      <c r="BV75" s="22">
        <f t="shared" ca="1" si="109"/>
        <v>1.149891774891775E-3</v>
      </c>
      <c r="BW75" s="22">
        <f t="shared" ca="1" si="110"/>
        <v>0.11645021645021646</v>
      </c>
      <c r="BX75" s="22">
        <f t="shared" ca="1" si="111"/>
        <v>0.12309929653679653</v>
      </c>
      <c r="BY75" s="22">
        <f t="shared" ca="1" si="112"/>
        <v>1.3629599567099568E-2</v>
      </c>
      <c r="BZ75" s="22">
        <f t="shared" ca="1" si="113"/>
        <v>1.9223484848484847E-2</v>
      </c>
      <c r="CA75" s="22">
        <f t="shared" ca="1" si="114"/>
        <v>4.8004599567099564E-2</v>
      </c>
      <c r="CB75" s="22">
        <f t="shared" ca="1" si="115"/>
        <v>1</v>
      </c>
    </row>
    <row r="76" spans="2:80" ht="15" customHeight="1" x14ac:dyDescent="0.15">
      <c r="B76" s="4" t="str">
        <f ca="1">图表数据!E75</f>
        <v>2018-07</v>
      </c>
      <c r="C76" s="24">
        <v>4142</v>
      </c>
      <c r="D76" s="24">
        <v>11738</v>
      </c>
      <c r="E76" s="24">
        <v>45928</v>
      </c>
      <c r="F76" s="24">
        <v>25479</v>
      </c>
      <c r="G76" s="24">
        <v>7914</v>
      </c>
      <c r="H76" s="24">
        <v>2685</v>
      </c>
      <c r="I76" s="24">
        <v>1321</v>
      </c>
      <c r="J76" s="24">
        <v>112</v>
      </c>
      <c r="K76" s="24">
        <v>7109</v>
      </c>
      <c r="L76" s="24">
        <v>21523</v>
      </c>
      <c r="M76" s="24">
        <v>1207</v>
      </c>
      <c r="N76" s="24">
        <v>2763</v>
      </c>
      <c r="O76" s="24">
        <v>6577</v>
      </c>
      <c r="P76" s="24">
        <v>138496</v>
      </c>
      <c r="R76" s="4" t="str">
        <f ca="1">图表数据!E75</f>
        <v>2018-07</v>
      </c>
      <c r="S76" s="4">
        <f ca="1">图表数据!F75</f>
        <v>4142</v>
      </c>
      <c r="T76" s="4">
        <f ca="1">图表数据!G75</f>
        <v>11738</v>
      </c>
      <c r="U76" s="4">
        <f ca="1">图表数据!H75</f>
        <v>45928</v>
      </c>
      <c r="V76" s="4">
        <f ca="1">图表数据!I75</f>
        <v>25479</v>
      </c>
      <c r="W76" s="4">
        <f ca="1">图表数据!J75</f>
        <v>7914</v>
      </c>
      <c r="X76" s="4">
        <f ca="1">图表数据!K75</f>
        <v>2685</v>
      </c>
      <c r="Y76" s="4">
        <f ca="1">图表数据!L75</f>
        <v>1321</v>
      </c>
      <c r="Z76" s="4">
        <f ca="1">图表数据!M75</f>
        <v>112</v>
      </c>
      <c r="AA76" s="4">
        <f ca="1">图表数据!N75</f>
        <v>7109</v>
      </c>
      <c r="AB76" s="4">
        <f ca="1">图表数据!O75</f>
        <v>21523</v>
      </c>
      <c r="AC76" s="4">
        <f ca="1">图表数据!P75</f>
        <v>1207</v>
      </c>
      <c r="AD76" s="4">
        <f ca="1">图表数据!Q75</f>
        <v>2763</v>
      </c>
      <c r="AE76" s="4">
        <f ca="1">图表数据!R75</f>
        <v>6577</v>
      </c>
      <c r="AF76" s="4">
        <f ca="1">图表数据!S75</f>
        <v>138496</v>
      </c>
      <c r="AH76" s="4" t="str">
        <f t="shared" ca="1" si="85"/>
        <v>2018-07</v>
      </c>
      <c r="AI76" s="22">
        <f t="shared" ref="AI76:AV76" ca="1" si="124">S76/S64-1</f>
        <v>-0.32988189613331176</v>
      </c>
      <c r="AJ76" s="22">
        <f t="shared" ca="1" si="124"/>
        <v>0.45290258695383101</v>
      </c>
      <c r="AK76" s="22">
        <f t="shared" ca="1" si="124"/>
        <v>0.54827400215749722</v>
      </c>
      <c r="AL76" s="22">
        <f t="shared" ca="1" si="124"/>
        <v>3.1537332898597983</v>
      </c>
      <c r="AM76" s="22">
        <f t="shared" ca="1" si="124"/>
        <v>3.0111505321844909</v>
      </c>
      <c r="AN76" s="22">
        <f t="shared" ca="1" si="124"/>
        <v>-0.92709153610123007</v>
      </c>
      <c r="AO76" s="22">
        <f t="shared" ca="1" si="124"/>
        <v>-0.4570489108097</v>
      </c>
      <c r="AP76" s="22">
        <f t="shared" ca="1" si="124"/>
        <v>-0.97639620653319281</v>
      </c>
      <c r="AQ76" s="22">
        <f t="shared" ca="1" si="124"/>
        <v>2.0550064460678987</v>
      </c>
      <c r="AR76" s="22">
        <f t="shared" ca="1" si="124"/>
        <v>-0.42195305366063274</v>
      </c>
      <c r="AS76" s="22">
        <f t="shared" ca="1" si="124"/>
        <v>-0.86150315547905909</v>
      </c>
      <c r="AT76" s="22">
        <f t="shared" ca="1" si="124"/>
        <v>-0.41087420042643918</v>
      </c>
      <c r="AU76" s="22">
        <f t="shared" ca="1" si="124"/>
        <v>0.61676499508357918</v>
      </c>
      <c r="AV76" s="22">
        <f t="shared" ca="1" si="124"/>
        <v>-9.5211341216436929E-2</v>
      </c>
      <c r="AX76" s="4" t="str">
        <f t="shared" ca="1" si="87"/>
        <v>2018-07</v>
      </c>
      <c r="AY76" s="22">
        <f t="shared" ca="1" si="117"/>
        <v>-8.6659316427783906E-2</v>
      </c>
      <c r="AZ76" s="22">
        <f t="shared" ca="1" si="88"/>
        <v>0.60289498839273525</v>
      </c>
      <c r="BA76" s="22">
        <f t="shared" ca="1" si="89"/>
        <v>-7.2536348949919227E-2</v>
      </c>
      <c r="BB76" s="22">
        <f t="shared" ca="1" si="90"/>
        <v>-0.10912587412587416</v>
      </c>
      <c r="BC76" s="22">
        <f t="shared" ca="1" si="91"/>
        <v>0.26705091258405389</v>
      </c>
      <c r="BD76" s="22">
        <f t="shared" ca="1" si="92"/>
        <v>-7.5731497418244365E-2</v>
      </c>
      <c r="BE76" s="22">
        <f t="shared" ca="1" si="93"/>
        <v>0.12713310580204773</v>
      </c>
      <c r="BF76" s="22">
        <f t="shared" ca="1" si="94"/>
        <v>-0.3411764705882353</v>
      </c>
      <c r="BG76" s="22">
        <f t="shared" ca="1" si="95"/>
        <v>-0.58707016728624528</v>
      </c>
      <c r="BH76" s="22">
        <f t="shared" ca="1" si="96"/>
        <v>0.18264739820869269</v>
      </c>
      <c r="BI76" s="22">
        <f t="shared" ca="1" si="97"/>
        <v>-0.40099255583126547</v>
      </c>
      <c r="BJ76" s="22">
        <f t="shared" ca="1" si="98"/>
        <v>-2.7797325826882435E-2</v>
      </c>
      <c r="BK76" s="22">
        <f t="shared" ca="1" si="99"/>
        <v>-7.3270395941947286E-2</v>
      </c>
      <c r="BL76" s="22">
        <f t="shared" ca="1" si="100"/>
        <v>-6.320346320346315E-2</v>
      </c>
      <c r="BN76" s="4" t="str">
        <f t="shared" ca="1" si="101"/>
        <v>2018-07</v>
      </c>
      <c r="BO76" s="22">
        <f t="shared" ca="1" si="102"/>
        <v>2.9907000924214416E-2</v>
      </c>
      <c r="BP76" s="22">
        <f t="shared" ca="1" si="103"/>
        <v>8.4753350277264328E-2</v>
      </c>
      <c r="BQ76" s="22">
        <f t="shared" ca="1" si="104"/>
        <v>0.33161968576709799</v>
      </c>
      <c r="BR76" s="22">
        <f t="shared" ca="1" si="105"/>
        <v>0.18396921210720887</v>
      </c>
      <c r="BS76" s="22">
        <f t="shared" ca="1" si="106"/>
        <v>5.7142444547134935E-2</v>
      </c>
      <c r="BT76" s="22">
        <f t="shared" ca="1" si="107"/>
        <v>1.9386841497227358E-2</v>
      </c>
      <c r="BU76" s="22">
        <f t="shared" ca="1" si="108"/>
        <v>9.538181608133087E-3</v>
      </c>
      <c r="BV76" s="22">
        <f t="shared" ca="1" si="109"/>
        <v>8.0868761552680226E-4</v>
      </c>
      <c r="BW76" s="22">
        <f t="shared" ca="1" si="110"/>
        <v>5.1330002310536041E-2</v>
      </c>
      <c r="BX76" s="22">
        <f t="shared" ca="1" si="111"/>
        <v>0.15540521025878004</v>
      </c>
      <c r="BY76" s="22">
        <f t="shared" ca="1" si="112"/>
        <v>8.7150531423290205E-3</v>
      </c>
      <c r="BZ76" s="22">
        <f t="shared" ca="1" si="113"/>
        <v>1.9950034658040666E-2</v>
      </c>
      <c r="CA76" s="22">
        <f t="shared" ca="1" si="114"/>
        <v>4.7488736136783734E-2</v>
      </c>
      <c r="CB76" s="22">
        <f t="shared" ca="1" si="115"/>
        <v>1</v>
      </c>
    </row>
    <row r="77" spans="2:80" ht="15" customHeight="1" x14ac:dyDescent="0.15">
      <c r="B77" s="4" t="str">
        <f ca="1">图表数据!E76</f>
        <v>2018-08</v>
      </c>
      <c r="C77" s="24">
        <v>2688</v>
      </c>
      <c r="D77" s="24">
        <v>10495</v>
      </c>
      <c r="E77" s="24">
        <v>56066</v>
      </c>
      <c r="F77" s="24">
        <v>19468</v>
      </c>
      <c r="G77" s="24">
        <v>11218</v>
      </c>
      <c r="H77" s="24">
        <v>3585</v>
      </c>
      <c r="I77" s="24">
        <v>797</v>
      </c>
      <c r="J77" s="24">
        <v>76</v>
      </c>
      <c r="K77" s="24">
        <v>9473</v>
      </c>
      <c r="L77" s="24">
        <v>19862</v>
      </c>
      <c r="M77" s="24">
        <v>1165</v>
      </c>
      <c r="N77" s="24">
        <v>2329</v>
      </c>
      <c r="O77" s="24">
        <v>6539</v>
      </c>
      <c r="P77" s="24">
        <v>143763</v>
      </c>
      <c r="R77" s="4" t="str">
        <f ca="1">图表数据!E76</f>
        <v>2018-08</v>
      </c>
      <c r="S77" s="4">
        <f ca="1">图表数据!F76</f>
        <v>2688</v>
      </c>
      <c r="T77" s="4">
        <f ca="1">图表数据!G76</f>
        <v>10495</v>
      </c>
      <c r="U77" s="4">
        <f ca="1">图表数据!H76</f>
        <v>56066</v>
      </c>
      <c r="V77" s="4">
        <f ca="1">图表数据!I76</f>
        <v>19468</v>
      </c>
      <c r="W77" s="4">
        <f ca="1">图表数据!J76</f>
        <v>11218</v>
      </c>
      <c r="X77" s="4">
        <f ca="1">图表数据!K76</f>
        <v>3585</v>
      </c>
      <c r="Y77" s="4">
        <f ca="1">图表数据!L76</f>
        <v>797</v>
      </c>
      <c r="Z77" s="4">
        <f ca="1">图表数据!M76</f>
        <v>76</v>
      </c>
      <c r="AA77" s="4">
        <f ca="1">图表数据!N76</f>
        <v>9473</v>
      </c>
      <c r="AB77" s="4">
        <f ca="1">图表数据!O76</f>
        <v>19862</v>
      </c>
      <c r="AC77" s="4">
        <f ca="1">图表数据!P76</f>
        <v>1165</v>
      </c>
      <c r="AD77" s="4">
        <f ca="1">图表数据!Q76</f>
        <v>2329</v>
      </c>
      <c r="AE77" s="4">
        <f ca="1">图表数据!R76</f>
        <v>6539</v>
      </c>
      <c r="AF77" s="4">
        <f ca="1">图表数据!S76</f>
        <v>143763</v>
      </c>
      <c r="AH77" s="4" t="str">
        <f t="shared" ca="1" si="85"/>
        <v>2018-08</v>
      </c>
      <c r="AI77" s="22">
        <f t="shared" ref="AI77:AV77" ca="1" si="125">S77/S65-1</f>
        <v>-0.54486962411107354</v>
      </c>
      <c r="AJ77" s="22">
        <f t="shared" ca="1" si="125"/>
        <v>0.3168130489335006</v>
      </c>
      <c r="AK77" s="22">
        <f t="shared" ca="1" si="125"/>
        <v>0.4711238225184331</v>
      </c>
      <c r="AL77" s="22">
        <f t="shared" ca="1" si="125"/>
        <v>1.4365456821026283</v>
      </c>
      <c r="AM77" s="22">
        <f t="shared" ca="1" si="125"/>
        <v>14.711484593837534</v>
      </c>
      <c r="AN77" s="22">
        <f t="shared" ca="1" si="125"/>
        <v>-0.92548016961835866</v>
      </c>
      <c r="AO77" s="22">
        <f t="shared" ca="1" si="125"/>
        <v>-0.81064385839866948</v>
      </c>
      <c r="AP77" s="22">
        <f t="shared" ca="1" si="125"/>
        <v>-0.99038704781178855</v>
      </c>
      <c r="AQ77" s="22">
        <f t="shared" ca="1" si="125"/>
        <v>-0.35949966193373906</v>
      </c>
      <c r="AR77" s="22">
        <f t="shared" ca="1" si="125"/>
        <v>-0.49659105309846663</v>
      </c>
      <c r="AS77" s="22">
        <f t="shared" ca="1" si="125"/>
        <v>-0.86019440777631107</v>
      </c>
      <c r="AT77" s="22">
        <f t="shared" ca="1" si="125"/>
        <v>-0.51630321910695742</v>
      </c>
      <c r="AU77" s="22">
        <f t="shared" ca="1" si="125"/>
        <v>0.94729005360333529</v>
      </c>
      <c r="AV77" s="22">
        <f t="shared" ca="1" si="125"/>
        <v>-0.24992956497239993</v>
      </c>
      <c r="AX77" s="4" t="str">
        <f t="shared" ca="1" si="87"/>
        <v>2018-08</v>
      </c>
      <c r="AY77" s="22">
        <f t="shared" ca="1" si="117"/>
        <v>-0.35103814582327375</v>
      </c>
      <c r="AZ77" s="22">
        <f t="shared" ca="1" si="88"/>
        <v>-0.10589538251831654</v>
      </c>
      <c r="BA77" s="22">
        <f t="shared" ca="1" si="89"/>
        <v>0.22073680543459329</v>
      </c>
      <c r="BB77" s="22">
        <f t="shared" ca="1" si="90"/>
        <v>-0.23591977707131362</v>
      </c>
      <c r="BC77" s="22">
        <f t="shared" ca="1" si="91"/>
        <v>0.41748799595653274</v>
      </c>
      <c r="BD77" s="22">
        <f t="shared" ca="1" si="92"/>
        <v>0.33519553072625707</v>
      </c>
      <c r="BE77" s="22">
        <f t="shared" ca="1" si="93"/>
        <v>-0.39666919000757006</v>
      </c>
      <c r="BF77" s="22">
        <f t="shared" ca="1" si="94"/>
        <v>-0.3214285714285714</v>
      </c>
      <c r="BG77" s="22">
        <f t="shared" ca="1" si="95"/>
        <v>0.33253622169081454</v>
      </c>
      <c r="BH77" s="22">
        <f t="shared" ca="1" si="96"/>
        <v>-7.7173256516284927E-2</v>
      </c>
      <c r="BI77" s="22">
        <f t="shared" ca="1" si="97"/>
        <v>-3.4797017398508712E-2</v>
      </c>
      <c r="BJ77" s="22">
        <f t="shared" ca="1" si="98"/>
        <v>-0.15707564241766192</v>
      </c>
      <c r="BK77" s="22">
        <f t="shared" ca="1" si="99"/>
        <v>-5.7777102022198434E-3</v>
      </c>
      <c r="BL77" s="22">
        <f t="shared" ca="1" si="100"/>
        <v>3.8029979205175701E-2</v>
      </c>
      <c r="BN77" s="4" t="str">
        <f t="shared" ca="1" si="101"/>
        <v>2018-08</v>
      </c>
      <c r="BO77" s="22">
        <f t="shared" ca="1" si="102"/>
        <v>1.8697439535902839E-2</v>
      </c>
      <c r="BP77" s="22">
        <f t="shared" ca="1" si="103"/>
        <v>7.3002093723698036E-2</v>
      </c>
      <c r="BQ77" s="22">
        <f t="shared" ca="1" si="104"/>
        <v>0.38998907924848536</v>
      </c>
      <c r="BR77" s="22">
        <f t="shared" ca="1" si="105"/>
        <v>0.13541731878160584</v>
      </c>
      <c r="BS77" s="22">
        <f t="shared" ca="1" si="106"/>
        <v>7.8031204134582616E-2</v>
      </c>
      <c r="BT77" s="22">
        <f t="shared" ca="1" si="107"/>
        <v>2.4936875273888274E-2</v>
      </c>
      <c r="BU77" s="22">
        <f t="shared" ca="1" si="108"/>
        <v>5.5438464695366681E-3</v>
      </c>
      <c r="BV77" s="22">
        <f t="shared" ca="1" si="109"/>
        <v>5.286478440210625E-4</v>
      </c>
      <c r="BW77" s="22">
        <f t="shared" ca="1" si="110"/>
        <v>6.5893171400151634E-2</v>
      </c>
      <c r="BX77" s="22">
        <f t="shared" ca="1" si="111"/>
        <v>0.13815794049929397</v>
      </c>
      <c r="BY77" s="22">
        <f t="shared" ca="1" si="112"/>
        <v>8.1036149774281283E-3</v>
      </c>
      <c r="BZ77" s="22">
        <f t="shared" ca="1" si="113"/>
        <v>1.6200274062171768E-2</v>
      </c>
      <c r="CA77" s="22">
        <f t="shared" ca="1" si="114"/>
        <v>4.5484582263864835E-2</v>
      </c>
      <c r="CB77" s="22">
        <f t="shared" ca="1" si="115"/>
        <v>1</v>
      </c>
    </row>
    <row r="78" spans="2:80" ht="15" customHeight="1" x14ac:dyDescent="0.15">
      <c r="B78" s="4" t="str">
        <f ca="1">图表数据!E77</f>
        <v>2018-09</v>
      </c>
      <c r="C78" s="24">
        <v>2270</v>
      </c>
      <c r="D78" s="24">
        <v>21122</v>
      </c>
      <c r="E78" s="24">
        <v>49008</v>
      </c>
      <c r="F78" s="24">
        <v>21362</v>
      </c>
      <c r="G78" s="24">
        <v>13603</v>
      </c>
      <c r="H78" s="24">
        <v>3988</v>
      </c>
      <c r="I78" s="24">
        <v>912</v>
      </c>
      <c r="J78" s="24">
        <v>372</v>
      </c>
      <c r="K78" s="24">
        <v>8890</v>
      </c>
      <c r="L78" s="24">
        <v>21439</v>
      </c>
      <c r="M78" s="24">
        <v>5683</v>
      </c>
      <c r="N78" s="24">
        <v>4188</v>
      </c>
      <c r="O78" s="24">
        <v>5889</v>
      </c>
      <c r="P78" s="24">
        <v>158725</v>
      </c>
      <c r="R78" s="4" t="str">
        <f ca="1">图表数据!E77</f>
        <v>2018-09</v>
      </c>
      <c r="S78" s="4">
        <f ca="1">图表数据!F77</f>
        <v>2270</v>
      </c>
      <c r="T78" s="4">
        <f ca="1">图表数据!G77</f>
        <v>21122</v>
      </c>
      <c r="U78" s="4">
        <f ca="1">图表数据!H77</f>
        <v>49008</v>
      </c>
      <c r="V78" s="4">
        <f ca="1">图表数据!I77</f>
        <v>21362</v>
      </c>
      <c r="W78" s="4">
        <f ca="1">图表数据!J77</f>
        <v>13603</v>
      </c>
      <c r="X78" s="4">
        <f ca="1">图表数据!K77</f>
        <v>3988</v>
      </c>
      <c r="Y78" s="4">
        <f ca="1">图表数据!L77</f>
        <v>912</v>
      </c>
      <c r="Z78" s="4">
        <f ca="1">图表数据!M77</f>
        <v>372</v>
      </c>
      <c r="AA78" s="4">
        <f ca="1">图表数据!N77</f>
        <v>8890</v>
      </c>
      <c r="AB78" s="4">
        <f ca="1">图表数据!O77</f>
        <v>21439</v>
      </c>
      <c r="AC78" s="4">
        <f ca="1">图表数据!P77</f>
        <v>5683</v>
      </c>
      <c r="AD78" s="4">
        <f ca="1">图表数据!Q77</f>
        <v>4188</v>
      </c>
      <c r="AE78" s="4">
        <f ca="1">图表数据!R77</f>
        <v>5889</v>
      </c>
      <c r="AF78" s="4">
        <f ca="1">图表数据!S77</f>
        <v>158725</v>
      </c>
      <c r="AH78" s="4" t="str">
        <f t="shared" ref="AH78" ca="1" si="126">R78</f>
        <v>2018-09</v>
      </c>
      <c r="AI78" s="22">
        <f t="shared" ref="AI78" ca="1" si="127">S78/S66-1</f>
        <v>-0.49125952487673685</v>
      </c>
      <c r="AJ78" s="22">
        <f t="shared" ref="AJ78" ca="1" si="128">T78/T66-1</f>
        <v>0.73672093405689854</v>
      </c>
      <c r="AK78" s="22">
        <f t="shared" ref="AK78" ca="1" si="129">U78/U66-1</f>
        <v>1.9322365273820141E-2</v>
      </c>
      <c r="AL78" s="22">
        <f t="shared" ref="AL78" ca="1" si="130">V78/V66-1</f>
        <v>1.4664588384713082</v>
      </c>
      <c r="AM78" s="22">
        <f t="shared" ref="AM78" ca="1" si="131">W78/W66-1</f>
        <v>2.9111558366877515</v>
      </c>
      <c r="AN78" s="22">
        <f t="shared" ref="AN78" ca="1" si="132">X78/X66-1</f>
        <v>-0.80997760518416162</v>
      </c>
      <c r="AO78" s="22">
        <f t="shared" ref="AO78" ca="1" si="133">Y78/Y66-1</f>
        <v>-0.81986964250444405</v>
      </c>
      <c r="AP78" s="22">
        <f t="shared" ref="AP78" ca="1" si="134">Z78/Z66-1</f>
        <v>-0.93048028405905436</v>
      </c>
      <c r="AQ78" s="22">
        <f t="shared" ref="AQ78" ca="1" si="135">AA78/AA66-1</f>
        <v>-0.28248587570621464</v>
      </c>
      <c r="AR78" s="22">
        <f t="shared" ref="AR78" ca="1" si="136">AB78/AB66-1</f>
        <v>-0.48943821295039414</v>
      </c>
      <c r="AS78" s="22">
        <f t="shared" ref="AS78" ca="1" si="137">AC78/AC66-1</f>
        <v>0.96303972366148538</v>
      </c>
      <c r="AT78" s="22">
        <f t="shared" ref="AT78" ca="1" si="138">AD78/AD66-1</f>
        <v>-0.43762588961998117</v>
      </c>
      <c r="AU78" s="22">
        <f t="shared" ref="AU78" ca="1" si="139">AE78/AE66-1</f>
        <v>0.31981174361272968</v>
      </c>
      <c r="AV78" s="22">
        <f t="shared" ref="AV78" ca="1" si="140">AF78/AF66-1</f>
        <v>-0.10541177266271384</v>
      </c>
      <c r="AX78" s="4" t="str">
        <f t="shared" ref="AX78" ca="1" si="141">R78</f>
        <v>2018-09</v>
      </c>
      <c r="AY78" s="22">
        <f t="shared" ref="AY78" ca="1" si="142">S78/S77-1</f>
        <v>-0.15550595238095233</v>
      </c>
      <c r="AZ78" s="22">
        <f t="shared" ref="AZ78" ca="1" si="143">T78/T77-1</f>
        <v>1.0125774178180085</v>
      </c>
      <c r="BA78" s="22">
        <f t="shared" ref="BA78" ca="1" si="144">U78/U77-1</f>
        <v>-0.12588734705525628</v>
      </c>
      <c r="BB78" s="22">
        <f t="shared" ref="BB78" ca="1" si="145">V78/V77-1</f>
        <v>9.7287856996096211E-2</v>
      </c>
      <c r="BC78" s="22">
        <f t="shared" ref="BC78" ca="1" si="146">W78/W77-1</f>
        <v>0.21260474237832061</v>
      </c>
      <c r="BD78" s="22">
        <f t="shared" ref="BD78" ca="1" si="147">X78/X77-1</f>
        <v>0.1124128312412831</v>
      </c>
      <c r="BE78" s="22">
        <f t="shared" ref="BE78" ca="1" si="148">Y78/Y77-1</f>
        <v>0.14429109159347564</v>
      </c>
      <c r="BF78" s="22">
        <f t="shared" ref="BF78" ca="1" si="149">Z78/Z77-1</f>
        <v>3.8947368421052628</v>
      </c>
      <c r="BG78" s="22">
        <f t="shared" ref="BG78" ca="1" si="150">AA78/AA77-1</f>
        <v>-6.1543333685210588E-2</v>
      </c>
      <c r="BH78" s="22">
        <f t="shared" ref="BH78" ca="1" si="151">AB78/AB77-1</f>
        <v>7.9397845131406797E-2</v>
      </c>
      <c r="BI78" s="22">
        <f t="shared" ref="BI78" ca="1" si="152">AC78/AC77-1</f>
        <v>3.8781115879828327</v>
      </c>
      <c r="BJ78" s="22">
        <f t="shared" ref="BJ78" ca="1" si="153">AD78/AD77-1</f>
        <v>0.79819665092314307</v>
      </c>
      <c r="BK78" s="22">
        <f t="shared" ref="BK78" ca="1" si="154">AE78/AE77-1</f>
        <v>-9.9403578528827086E-2</v>
      </c>
      <c r="BL78" s="22">
        <f t="shared" ref="BL78" ca="1" si="155">AF78/AF77-1</f>
        <v>0.10407406634530436</v>
      </c>
      <c r="BN78" s="4" t="str">
        <f t="shared" ref="BN78" ca="1" si="156">R78</f>
        <v>2018-09</v>
      </c>
      <c r="BO78" s="22">
        <f t="shared" ref="BO78" ca="1" si="157">S78/$AF78</f>
        <v>1.4301464797605922E-2</v>
      </c>
      <c r="BP78" s="22">
        <f t="shared" ref="BP78" ca="1" si="158">T78/$AF78</f>
        <v>0.13307292487005828</v>
      </c>
      <c r="BQ78" s="22">
        <f t="shared" ref="BQ78" ca="1" si="159">U78/$AF78</f>
        <v>0.30876043471412823</v>
      </c>
      <c r="BR78" s="22">
        <f t="shared" ref="BR78" ca="1" si="160">V78/$AF78</f>
        <v>0.13458497401165537</v>
      </c>
      <c r="BS78" s="22">
        <f t="shared" ref="BS78" ca="1" si="161">W78/$AF78</f>
        <v>8.5701685304772401E-2</v>
      </c>
      <c r="BT78" s="22">
        <f t="shared" ref="BT78" ca="1" si="162">X78/$AF78</f>
        <v>2.5125216569538509E-2</v>
      </c>
      <c r="BU78" s="22">
        <f t="shared" ref="BU78" ca="1" si="163">Y78/$AF78</f>
        <v>5.7457867380689871E-3</v>
      </c>
      <c r="BV78" s="22">
        <f t="shared" ref="BV78" ca="1" si="164">Z78/$AF78</f>
        <v>2.3436761694755081E-3</v>
      </c>
      <c r="BW78" s="22">
        <f t="shared" ref="BW78" ca="1" si="165">AA78/$AF78</f>
        <v>5.6008820286659315E-2</v>
      </c>
      <c r="BX78" s="22">
        <f t="shared" ref="BX78" ca="1" si="166">AB78/$AF78</f>
        <v>0.13507008977791779</v>
      </c>
      <c r="BY78" s="22">
        <f t="shared" ref="BY78" ca="1" si="167">AC78/$AF78</f>
        <v>3.5804063632068041E-2</v>
      </c>
      <c r="BZ78" s="22">
        <f t="shared" ref="BZ78" ca="1" si="168">AD78/$AF78</f>
        <v>2.638525752086943E-2</v>
      </c>
      <c r="CA78" s="22">
        <f t="shared" ref="CA78" ca="1" si="169">AE78/$AF78</f>
        <v>3.7101905811938889E-2</v>
      </c>
      <c r="CB78" s="22">
        <f t="shared" ref="CB78" ca="1" si="170">AF78/$AF78</f>
        <v>1</v>
      </c>
    </row>
    <row r="79" spans="2:80" ht="15" customHeight="1" x14ac:dyDescent="0.15">
      <c r="B79" s="4" t="str">
        <f ca="1">图表数据!E78</f>
        <v>2018-10</v>
      </c>
      <c r="C79" s="24">
        <v>7226</v>
      </c>
      <c r="D79" s="24">
        <v>22578</v>
      </c>
      <c r="E79" s="24">
        <v>45810</v>
      </c>
      <c r="F79" s="24">
        <v>24257</v>
      </c>
      <c r="G79" s="24">
        <v>11601</v>
      </c>
      <c r="H79" s="24">
        <v>14051</v>
      </c>
      <c r="I79" s="24">
        <v>3073</v>
      </c>
      <c r="J79" s="24">
        <v>339</v>
      </c>
      <c r="K79" s="24">
        <v>17282</v>
      </c>
      <c r="L79" s="24">
        <v>47766</v>
      </c>
      <c r="M79" s="24">
        <v>6448</v>
      </c>
      <c r="N79" s="24">
        <v>3174</v>
      </c>
      <c r="O79" s="24">
        <v>5820</v>
      </c>
      <c r="P79" s="24">
        <v>209427</v>
      </c>
      <c r="R79" s="4" t="str">
        <f ca="1">图表数据!E78</f>
        <v>2018-10</v>
      </c>
      <c r="S79" s="4">
        <f ca="1">图表数据!F78</f>
        <v>7226</v>
      </c>
      <c r="T79" s="4">
        <f ca="1">图表数据!G78</f>
        <v>22578</v>
      </c>
      <c r="U79" s="4">
        <f ca="1">图表数据!H78</f>
        <v>45810</v>
      </c>
      <c r="V79" s="4">
        <f ca="1">图表数据!I78</f>
        <v>24257</v>
      </c>
      <c r="W79" s="4">
        <f ca="1">图表数据!J78</f>
        <v>11601</v>
      </c>
      <c r="X79" s="4">
        <f ca="1">图表数据!K78</f>
        <v>14051</v>
      </c>
      <c r="Y79" s="4">
        <f ca="1">图表数据!L78</f>
        <v>3073</v>
      </c>
      <c r="Z79" s="4">
        <f ca="1">图表数据!M78</f>
        <v>339</v>
      </c>
      <c r="AA79" s="4">
        <f ca="1">图表数据!N78</f>
        <v>17282</v>
      </c>
      <c r="AB79" s="4">
        <f ca="1">图表数据!O78</f>
        <v>47766</v>
      </c>
      <c r="AC79" s="4">
        <f ca="1">图表数据!P78</f>
        <v>6448</v>
      </c>
      <c r="AD79" s="4">
        <f ca="1">图表数据!Q78</f>
        <v>3174</v>
      </c>
      <c r="AE79" s="4">
        <f ca="1">图表数据!R78</f>
        <v>5820</v>
      </c>
      <c r="AF79" s="4">
        <f ca="1">图表数据!S78</f>
        <v>209427</v>
      </c>
      <c r="AH79" s="4" t="str">
        <f t="shared" ref="AH79" ca="1" si="171">R79</f>
        <v>2018-10</v>
      </c>
      <c r="AI79" s="22">
        <f t="shared" ref="AI79" ca="1" si="172">S79/S67-1</f>
        <v>0.99668416689693284</v>
      </c>
      <c r="AJ79" s="22">
        <f t="shared" ref="AJ79" ca="1" si="173">T79/T67-1</f>
        <v>10.100294985250738</v>
      </c>
      <c r="AK79" s="22">
        <f t="shared" ref="AK79" ca="1" si="174">U79/U67-1</f>
        <v>1.1759369211038808</v>
      </c>
      <c r="AL79" s="22">
        <f t="shared" ref="AL79" ca="1" si="175">V79/V67-1</f>
        <v>33.358356940509914</v>
      </c>
      <c r="AM79" s="22">
        <f t="shared" ref="AM79" ca="1" si="176">W79/W67-1</f>
        <v>151.64473684210526</v>
      </c>
      <c r="AN79" s="22">
        <f t="shared" ref="AN79" ca="1" si="177">X79/X67-1</f>
        <v>-1081.8461538461538</v>
      </c>
      <c r="AO79" s="22">
        <f t="shared" ref="AO79" ca="1" si="178">Y79/Y67-1</f>
        <v>5.9211711711711708</v>
      </c>
      <c r="AP79" s="22">
        <f t="shared" ref="AP79" ca="1" si="179">Z79/Z67-1</f>
        <v>-0.88437926330150063</v>
      </c>
      <c r="AQ79" s="22">
        <f t="shared" ref="AQ79" ca="1" si="180">AA79/AA67-1</f>
        <v>-179.16494845360825</v>
      </c>
      <c r="AR79" s="22">
        <f t="shared" ref="AR79" ca="1" si="181">AB79/AB67-1</f>
        <v>10.540468712249336</v>
      </c>
      <c r="AS79" s="22">
        <f t="shared" ref="AS79" ca="1" si="182">AC79/AC67-1</f>
        <v>-645.79999999999995</v>
      </c>
      <c r="AT79" s="22">
        <f t="shared" ref="AT79" ca="1" si="183">AD79/AD67-1</f>
        <v>6.9046817110138159E-2</v>
      </c>
      <c r="AU79" s="22">
        <f t="shared" ref="AU79" ca="1" si="184">AE79/AE67-1</f>
        <v>2.0990415335463259</v>
      </c>
      <c r="AV79" s="22">
        <f t="shared" ref="AV79" ca="1" si="185">AF79/AF67-1</f>
        <v>4.2712559778504904</v>
      </c>
      <c r="AX79" s="4" t="str">
        <f t="shared" ref="AX79" ca="1" si="186">R79</f>
        <v>2018-10</v>
      </c>
      <c r="AY79" s="22">
        <f t="shared" ref="AY79" ca="1" si="187">S79/S78-1</f>
        <v>2.183259911894273</v>
      </c>
      <c r="AZ79" s="22">
        <f t="shared" ref="AZ79" ca="1" si="188">T79/T78-1</f>
        <v>6.8932866205851706E-2</v>
      </c>
      <c r="BA79" s="22">
        <f t="shared" ref="BA79" ca="1" si="189">U79/U78-1</f>
        <v>-6.525465230166505E-2</v>
      </c>
      <c r="BB79" s="22">
        <f t="shared" ref="BB79" ca="1" si="190">V79/V78-1</f>
        <v>0.13552101863121435</v>
      </c>
      <c r="BC79" s="22">
        <f t="shared" ref="BC79" ca="1" si="191">W79/W78-1</f>
        <v>-0.14717341762846436</v>
      </c>
      <c r="BD79" s="22">
        <f t="shared" ref="BD79" ca="1" si="192">X79/X78-1</f>
        <v>2.5233199598796388</v>
      </c>
      <c r="BE79" s="22">
        <f t="shared" ref="BE79" ca="1" si="193">Y79/Y78-1</f>
        <v>2.369517543859649</v>
      </c>
      <c r="BF79" s="22">
        <f t="shared" ref="BF79" ca="1" si="194">Z79/Z78-1</f>
        <v>-8.8709677419354871E-2</v>
      </c>
      <c r="BG79" s="22">
        <f t="shared" ref="BG79" ca="1" si="195">AA79/AA78-1</f>
        <v>0.94398200224971873</v>
      </c>
      <c r="BH79" s="22">
        <f t="shared" ref="BH79" ca="1" si="196">AB79/AB78-1</f>
        <v>1.2279957087550724</v>
      </c>
      <c r="BI79" s="22">
        <f t="shared" ref="BI79" ca="1" si="197">AC79/AC78-1</f>
        <v>0.1346120007038536</v>
      </c>
      <c r="BJ79" s="22">
        <f t="shared" ref="BJ79" ca="1" si="198">AD79/AD78-1</f>
        <v>-0.24212034383954151</v>
      </c>
      <c r="BK79" s="22">
        <f t="shared" ref="BK79" ca="1" si="199">AE79/AE78-1</f>
        <v>-1.1716760061130871E-2</v>
      </c>
      <c r="BL79" s="22">
        <f t="shared" ref="BL79" ca="1" si="200">AF79/AF78-1</f>
        <v>0.31943298157190103</v>
      </c>
      <c r="BN79" s="4" t="str">
        <f t="shared" ref="BN79" ca="1" si="201">R79</f>
        <v>2018-10</v>
      </c>
      <c r="BO79" s="22">
        <f t="shared" ref="BO79" ca="1" si="202">S79/$AF79</f>
        <v>3.4503669536401708E-2</v>
      </c>
      <c r="BP79" s="22">
        <f t="shared" ref="BP79" ca="1" si="203">T79/$AF79</f>
        <v>0.10780844876735092</v>
      </c>
      <c r="BQ79" s="22">
        <f t="shared" ref="BQ79" ca="1" si="204">U79/$AF79</f>
        <v>0.21873970404962112</v>
      </c>
      <c r="BR79" s="22">
        <f t="shared" ref="BR79" ca="1" si="205">V79/$AF79</f>
        <v>0.11582556212904735</v>
      </c>
      <c r="BS79" s="22">
        <f t="shared" ref="BS79" ca="1" si="206">W79/$AF79</f>
        <v>5.5394003638499334E-2</v>
      </c>
      <c r="BT79" s="22">
        <f t="shared" ref="BT79" ca="1" si="207">X79/$AF79</f>
        <v>6.7092590735674001E-2</v>
      </c>
      <c r="BU79" s="22">
        <f t="shared" ref="BU79" ca="1" si="208">Y79/$AF79</f>
        <v>1.4673370673313374E-2</v>
      </c>
      <c r="BV79" s="22">
        <f t="shared" ref="BV79" ca="1" si="209">Z79/$AF79</f>
        <v>1.6187024595682505E-3</v>
      </c>
      <c r="BW79" s="22">
        <f t="shared" ref="BW79" ca="1" si="210">AA79/$AF79</f>
        <v>8.2520400903417418E-2</v>
      </c>
      <c r="BX79" s="22">
        <f t="shared" ref="BX79" ca="1" si="211">AB79/$AF79</f>
        <v>0.22807947399332465</v>
      </c>
      <c r="BY79" s="22">
        <f t="shared" ref="BY79" ca="1" si="212">AC79/$AF79</f>
        <v>3.0788771266360117E-2</v>
      </c>
      <c r="BZ79" s="22">
        <f t="shared" ref="BZ79" ca="1" si="213">AD79/$AF79</f>
        <v>1.5155638957727514E-2</v>
      </c>
      <c r="CA79" s="22">
        <f t="shared" ref="CA79" ca="1" si="214">AE79/$AF79</f>
        <v>2.7790113022676158E-2</v>
      </c>
      <c r="CB79" s="22">
        <f t="shared" ref="CB79" ca="1" si="215">AF79/$AF79</f>
        <v>1</v>
      </c>
    </row>
    <row r="80" spans="2:80" ht="15" customHeight="1" x14ac:dyDescent="0.15">
      <c r="B80" s="4" t="str">
        <f ca="1">图表数据!E79</f>
        <v>2018-11</v>
      </c>
      <c r="C80" s="24">
        <v>10158</v>
      </c>
      <c r="D80" s="24">
        <v>33720</v>
      </c>
      <c r="E80" s="24">
        <v>44296</v>
      </c>
      <c r="F80" s="24">
        <v>24496</v>
      </c>
      <c r="G80" s="24">
        <v>9755</v>
      </c>
      <c r="H80" s="24">
        <v>26815</v>
      </c>
      <c r="I80" s="24">
        <v>8455</v>
      </c>
      <c r="J80" s="24">
        <v>47</v>
      </c>
      <c r="K80" s="24">
        <v>24641</v>
      </c>
      <c r="L80" s="24">
        <v>40015</v>
      </c>
      <c r="M80" s="24">
        <v>4960</v>
      </c>
      <c r="N80" s="24">
        <v>3720</v>
      </c>
      <c r="O80" s="24">
        <v>8372</v>
      </c>
      <c r="P80" s="24">
        <v>239449</v>
      </c>
      <c r="R80" s="4" t="str">
        <f ca="1">图表数据!E79</f>
        <v>2018-11</v>
      </c>
      <c r="S80" s="4">
        <f ca="1">图表数据!F79</f>
        <v>10158</v>
      </c>
      <c r="T80" s="4">
        <f ca="1">图表数据!G79</f>
        <v>33720</v>
      </c>
      <c r="U80" s="4">
        <f ca="1">图表数据!H79</f>
        <v>44296</v>
      </c>
      <c r="V80" s="4">
        <f ca="1">图表数据!I79</f>
        <v>24496</v>
      </c>
      <c r="W80" s="4">
        <f ca="1">图表数据!J79</f>
        <v>9755</v>
      </c>
      <c r="X80" s="4">
        <f ca="1">图表数据!K79</f>
        <v>26815</v>
      </c>
      <c r="Y80" s="4">
        <f ca="1">图表数据!L79</f>
        <v>8455</v>
      </c>
      <c r="Z80" s="4">
        <f ca="1">图表数据!M79</f>
        <v>47</v>
      </c>
      <c r="AA80" s="4">
        <f ca="1">图表数据!N79</f>
        <v>24641</v>
      </c>
      <c r="AB80" s="4">
        <f ca="1">图表数据!O79</f>
        <v>40015</v>
      </c>
      <c r="AC80" s="4">
        <f ca="1">图表数据!P79</f>
        <v>4960</v>
      </c>
      <c r="AD80" s="4">
        <f ca="1">图表数据!Q79</f>
        <v>3720</v>
      </c>
      <c r="AE80" s="4">
        <f ca="1">图表数据!R79</f>
        <v>8372</v>
      </c>
      <c r="AF80" s="4">
        <f ca="1">图表数据!S79</f>
        <v>239449</v>
      </c>
      <c r="AH80" s="4" t="str">
        <f t="shared" ref="AH80" ca="1" si="216">R80</f>
        <v>2018-11</v>
      </c>
      <c r="AI80" s="22">
        <f t="shared" ref="AI80" ca="1" si="217">S80/S68-1</f>
        <v>2.7072992700729928</v>
      </c>
      <c r="AJ80" s="22">
        <f t="shared" ref="AJ80" ca="1" si="218">T80/T68-1</f>
        <v>12.049535603715171</v>
      </c>
      <c r="AK80" s="22">
        <f t="shared" ref="AK80" ca="1" si="219">U80/U68-1</f>
        <v>1.524707893986891</v>
      </c>
      <c r="AL80" s="22">
        <f t="shared" ref="AL80" ca="1" si="220">V80/V68-1</f>
        <v>13.855063674954518</v>
      </c>
      <c r="AM80" s="22">
        <f t="shared" ref="AM80" ca="1" si="221">W80/W68-1</f>
        <v>48.020100502512562</v>
      </c>
      <c r="AN80" s="22">
        <f t="shared" ref="AN80" ca="1" si="222">X80/X68-1</f>
        <v>15.801378446115287</v>
      </c>
      <c r="AO80" s="22">
        <f t="shared" ref="AO80" ca="1" si="223">Y80/Y68-1</f>
        <v>6.9092609915809167</v>
      </c>
      <c r="AP80" s="22">
        <f t="shared" ref="AP80" ca="1" si="224">Z80/Z68-1</f>
        <v>-0.97802711547452081</v>
      </c>
      <c r="AQ80" s="22">
        <f t="shared" ref="AQ80" ca="1" si="225">AA80/AA68-1</f>
        <v>5.2859693877551024</v>
      </c>
      <c r="AR80" s="22">
        <f t="shared" ref="AR80" ca="1" si="226">AB80/AB68-1</f>
        <v>0.9506190894023594</v>
      </c>
      <c r="AS80" s="22">
        <f t="shared" ref="AS80" ca="1" si="227">AC80/AC68-1</f>
        <v>26.555555555555557</v>
      </c>
      <c r="AT80" s="22">
        <f t="shared" ref="AT80" ca="1" si="228">AD80/AD68-1</f>
        <v>-0.18259723137771922</v>
      </c>
      <c r="AU80" s="22">
        <f t="shared" ref="AU80" ca="1" si="229">AE80/AE68-1</f>
        <v>2.4609342703596528</v>
      </c>
      <c r="AV80" s="22">
        <f t="shared" ref="AV80" ca="1" si="230">AF80/AF68-1</f>
        <v>2.9187123592563498</v>
      </c>
      <c r="AX80" s="4" t="str">
        <f t="shared" ref="AX80" ca="1" si="231">R80</f>
        <v>2018-11</v>
      </c>
      <c r="AY80" s="22">
        <f t="shared" ref="AY80" ca="1" si="232">S80/S79-1</f>
        <v>0.40575698865208976</v>
      </c>
      <c r="AZ80" s="22">
        <f t="shared" ref="AZ80" ca="1" si="233">T80/T79-1</f>
        <v>0.4934892373106563</v>
      </c>
      <c r="BA80" s="22">
        <f t="shared" ref="BA80" ca="1" si="234">U80/U79-1</f>
        <v>-3.3049552499454293E-2</v>
      </c>
      <c r="BB80" s="22">
        <f t="shared" ref="BB80" ca="1" si="235">V80/V79-1</f>
        <v>9.8528259883745584E-3</v>
      </c>
      <c r="BC80" s="22">
        <f t="shared" ref="BC80" ca="1" si="236">W80/W79-1</f>
        <v>-0.1591242134298767</v>
      </c>
      <c r="BD80" s="22">
        <f t="shared" ref="BD80" ca="1" si="237">X80/X79-1</f>
        <v>0.90840509572272432</v>
      </c>
      <c r="BE80" s="22">
        <f t="shared" ref="BE80" ca="1" si="238">Y80/Y79-1</f>
        <v>1.7513830133420112</v>
      </c>
      <c r="BF80" s="22">
        <f t="shared" ref="BF80" ca="1" si="239">Z80/Z79-1</f>
        <v>-0.86135693215339226</v>
      </c>
      <c r="BG80" s="22">
        <f t="shared" ref="BG80" ca="1" si="240">AA80/AA79-1</f>
        <v>0.42581877097558163</v>
      </c>
      <c r="BH80" s="22">
        <f t="shared" ref="BH80" ca="1" si="241">AB80/AB79-1</f>
        <v>-0.16227023405769792</v>
      </c>
      <c r="BI80" s="22">
        <f t="shared" ref="BI80" ca="1" si="242">AC80/AC79-1</f>
        <v>-0.23076923076923073</v>
      </c>
      <c r="BJ80" s="22">
        <f t="shared" ref="BJ80" ca="1" si="243">AD80/AD79-1</f>
        <v>0.17202268431001899</v>
      </c>
      <c r="BK80" s="22">
        <f t="shared" ref="BK80" ca="1" si="244">AE80/AE79-1</f>
        <v>0.43848797250859106</v>
      </c>
      <c r="BL80" s="22">
        <f t="shared" ref="BL80" ca="1" si="245">AF80/AF79-1</f>
        <v>0.14335305380872576</v>
      </c>
      <c r="BN80" s="4" t="str">
        <f t="shared" ref="BN80" ca="1" si="246">R80</f>
        <v>2018-11</v>
      </c>
      <c r="BO80" s="22">
        <f t="shared" ref="BO80" ca="1" si="247">S80/$AF80</f>
        <v>4.2422394747942148E-2</v>
      </c>
      <c r="BP80" s="22">
        <f t="shared" ref="BP80" ca="1" si="248">T80/$AF80</f>
        <v>0.14082330684195798</v>
      </c>
      <c r="BQ80" s="22">
        <f t="shared" ref="BQ80" ca="1" si="249">U80/$AF80</f>
        <v>0.18499137603414506</v>
      </c>
      <c r="BR80" s="22">
        <f t="shared" ref="BR80" ca="1" si="250">V80/$AF80</f>
        <v>0.10230153393833342</v>
      </c>
      <c r="BS80" s="22">
        <f t="shared" ref="BS80" ca="1" si="251">W80/$AF80</f>
        <v>4.0739364123466792E-2</v>
      </c>
      <c r="BT80" s="22">
        <f t="shared" ref="BT80" ca="1" si="252">X80/$AF80</f>
        <v>0.11198626847470651</v>
      </c>
      <c r="BU80" s="22">
        <f t="shared" ref="BU80" ca="1" si="253">Y80/$AF80</f>
        <v>3.5310233076772092E-2</v>
      </c>
      <c r="BV80" s="22">
        <f t="shared" ref="BV80" ca="1" si="254">Z80/$AF80</f>
        <v>1.9628396861127005E-4</v>
      </c>
      <c r="BW80" s="22">
        <f t="shared" ref="BW80" ca="1" si="255">AA80/$AF80</f>
        <v>0.10290709086277244</v>
      </c>
      <c r="BX80" s="22">
        <f t="shared" ref="BX80" ca="1" si="256">AB80/$AF80</f>
        <v>0.16711282987191428</v>
      </c>
      <c r="BY80" s="22">
        <f t="shared" ref="BY80" ca="1" si="257">AC80/$AF80</f>
        <v>2.0714223070465946E-2</v>
      </c>
      <c r="BZ80" s="22">
        <f t="shared" ref="BZ80" ca="1" si="258">AD80/$AF80</f>
        <v>1.5535667302849459E-2</v>
      </c>
      <c r="CA80" s="22">
        <f t="shared" ref="CA80" ca="1" si="259">AE80/$AF80</f>
        <v>3.4963603940713892E-2</v>
      </c>
      <c r="CB80" s="22">
        <f t="shared" ref="CB80" ca="1" si="260">AF80/$AF80</f>
        <v>1</v>
      </c>
    </row>
    <row r="81" spans="3:16" ht="15" customHeight="1" x14ac:dyDescent="0.15"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</row>
    <row r="82" spans="3:16" ht="15" customHeight="1" x14ac:dyDescent="0.15"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</row>
    <row r="83" spans="3:16" ht="15" customHeight="1" x14ac:dyDescent="0.15"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</row>
    <row r="84" spans="3:16" ht="15" customHeight="1" x14ac:dyDescent="0.15"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</row>
    <row r="85" spans="3:16" ht="15" customHeight="1" x14ac:dyDescent="0.15"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</row>
    <row r="86" spans="3:16" ht="15" customHeight="1" x14ac:dyDescent="0.15"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</row>
    <row r="87" spans="3:16" ht="15" customHeight="1" x14ac:dyDescent="0.15"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</row>
    <row r="88" spans="3:16" ht="15" customHeight="1" x14ac:dyDescent="0.15"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</row>
    <row r="89" spans="3:16" ht="15" customHeight="1" x14ac:dyDescent="0.15"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</row>
    <row r="90" spans="3:16" ht="15" customHeight="1" x14ac:dyDescent="0.15"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</row>
    <row r="91" spans="3:16" ht="15" customHeight="1" x14ac:dyDescent="0.15"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</row>
    <row r="92" spans="3:16" ht="15" customHeight="1" x14ac:dyDescent="0.15"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</row>
    <row r="93" spans="3:16" ht="15" customHeight="1" x14ac:dyDescent="0.15"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</row>
    <row r="94" spans="3:16" ht="15" customHeight="1" x14ac:dyDescent="0.15"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</row>
    <row r="95" spans="3:16" ht="15" customHeight="1" x14ac:dyDescent="0.15"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</row>
    <row r="96" spans="3:16" ht="15" customHeight="1" x14ac:dyDescent="0.15"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</row>
    <row r="97" spans="3:16" ht="15" customHeight="1" x14ac:dyDescent="0.15"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</row>
    <row r="98" spans="3:16" ht="15" customHeight="1" x14ac:dyDescent="0.15"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</row>
    <row r="99" spans="3:16" ht="15" customHeight="1" x14ac:dyDescent="0.15"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</row>
    <row r="100" spans="3:16" ht="15" customHeight="1" x14ac:dyDescent="0.15"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</row>
    <row r="101" spans="3:16" ht="15" customHeight="1" x14ac:dyDescent="0.15"/>
    <row r="102" spans="3:16" ht="15" customHeight="1" x14ac:dyDescent="0.15"/>
    <row r="103" spans="3:16" ht="15" customHeight="1" x14ac:dyDescent="0.15"/>
    <row r="104" spans="3:16" ht="15" customHeight="1" x14ac:dyDescent="0.15"/>
    <row r="105" spans="3:16" ht="15" customHeight="1" x14ac:dyDescent="0.15"/>
    <row r="106" spans="3:16" ht="15" customHeight="1" x14ac:dyDescent="0.15"/>
    <row r="107" spans="3:16" ht="15" customHeight="1" x14ac:dyDescent="0.15"/>
    <row r="108" spans="3:16" ht="15" customHeight="1" x14ac:dyDescent="0.15"/>
    <row r="109" spans="3:16" ht="15" customHeight="1" x14ac:dyDescent="0.15"/>
    <row r="110" spans="3:16" ht="15" customHeight="1" x14ac:dyDescent="0.15"/>
    <row r="111" spans="3:16" ht="15" customHeight="1" x14ac:dyDescent="0.15"/>
    <row r="112" spans="3:16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3" ht="15" customHeight="1" x14ac:dyDescent="0.15"/>
    <row r="174" ht="15" customHeight="1" x14ac:dyDescent="0.15"/>
    <row r="175" ht="15" customHeight="1" x14ac:dyDescent="0.15"/>
    <row r="176" ht="15" customHeight="1" x14ac:dyDescent="0.15"/>
    <row r="177" ht="15" customHeight="1" x14ac:dyDescent="0.15"/>
    <row r="178" ht="15" customHeight="1" x14ac:dyDescent="0.15"/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  <row r="374" ht="15" customHeight="1" x14ac:dyDescent="0.15"/>
    <row r="375" ht="15" customHeight="1" x14ac:dyDescent="0.15"/>
    <row r="376" ht="15" customHeight="1" x14ac:dyDescent="0.15"/>
    <row r="377" ht="15" customHeight="1" x14ac:dyDescent="0.15"/>
    <row r="378" ht="15" customHeight="1" x14ac:dyDescent="0.15"/>
    <row r="379" ht="15" customHeight="1" x14ac:dyDescent="0.15"/>
    <row r="380" ht="15" customHeight="1" x14ac:dyDescent="0.15"/>
    <row r="381" ht="15" customHeight="1" x14ac:dyDescent="0.15"/>
    <row r="382" ht="15" customHeight="1" x14ac:dyDescent="0.15"/>
    <row r="383" ht="15" customHeight="1" x14ac:dyDescent="0.15"/>
    <row r="384" ht="15" customHeight="1" x14ac:dyDescent="0.15"/>
    <row r="385" ht="15" customHeight="1" x14ac:dyDescent="0.15"/>
    <row r="386" ht="15" customHeight="1" x14ac:dyDescent="0.15"/>
    <row r="387" ht="15" customHeight="1" x14ac:dyDescent="0.15"/>
    <row r="388" ht="15" customHeight="1" x14ac:dyDescent="0.15"/>
    <row r="389" ht="15" customHeight="1" x14ac:dyDescent="0.15"/>
    <row r="390" ht="15" customHeight="1" x14ac:dyDescent="0.15"/>
    <row r="391" ht="15" customHeight="1" x14ac:dyDescent="0.15"/>
    <row r="392" ht="15" customHeight="1" x14ac:dyDescent="0.15"/>
    <row r="393" ht="15" customHeight="1" x14ac:dyDescent="0.15"/>
    <row r="394" ht="15" customHeight="1" x14ac:dyDescent="0.15"/>
    <row r="395" ht="15" customHeight="1" x14ac:dyDescent="0.15"/>
    <row r="396" ht="15" customHeight="1" x14ac:dyDescent="0.15"/>
    <row r="397" ht="15" customHeight="1" x14ac:dyDescent="0.15"/>
    <row r="398" ht="15" customHeight="1" x14ac:dyDescent="0.15"/>
    <row r="399" ht="15" customHeight="1" x14ac:dyDescent="0.15"/>
    <row r="400" ht="15" customHeight="1" x14ac:dyDescent="0.15"/>
    <row r="401" ht="15" customHeight="1" x14ac:dyDescent="0.15"/>
    <row r="402" ht="15" customHeight="1" x14ac:dyDescent="0.15"/>
    <row r="403" ht="15" customHeight="1" x14ac:dyDescent="0.15"/>
    <row r="404" ht="15" customHeight="1" x14ac:dyDescent="0.15"/>
    <row r="405" ht="15" customHeight="1" x14ac:dyDescent="0.15"/>
    <row r="406" ht="15" customHeight="1" x14ac:dyDescent="0.15"/>
    <row r="407" ht="15" customHeight="1" x14ac:dyDescent="0.15"/>
    <row r="408" ht="15" customHeight="1" x14ac:dyDescent="0.15"/>
    <row r="409" ht="15" customHeight="1" x14ac:dyDescent="0.15"/>
    <row r="410" ht="15" customHeight="1" x14ac:dyDescent="0.15"/>
    <row r="411" ht="15" customHeight="1" x14ac:dyDescent="0.15"/>
    <row r="412" ht="15" customHeight="1" x14ac:dyDescent="0.15"/>
    <row r="413" ht="15" customHeight="1" x14ac:dyDescent="0.15"/>
    <row r="414" ht="15" customHeight="1" x14ac:dyDescent="0.15"/>
    <row r="415" ht="15" customHeight="1" x14ac:dyDescent="0.15"/>
    <row r="416" ht="15" customHeight="1" x14ac:dyDescent="0.15"/>
    <row r="417" ht="15" customHeight="1" x14ac:dyDescent="0.15"/>
    <row r="418" ht="15" customHeight="1" x14ac:dyDescent="0.15"/>
    <row r="419" ht="15" customHeight="1" x14ac:dyDescent="0.15"/>
    <row r="420" ht="15" customHeight="1" x14ac:dyDescent="0.15"/>
    <row r="421" ht="15" customHeight="1" x14ac:dyDescent="0.15"/>
    <row r="422" ht="15" customHeight="1" x14ac:dyDescent="0.15"/>
    <row r="423" ht="15" customHeight="1" x14ac:dyDescent="0.15"/>
    <row r="424" ht="15" customHeight="1" x14ac:dyDescent="0.15"/>
    <row r="425" ht="15" customHeight="1" x14ac:dyDescent="0.15"/>
    <row r="426" ht="15" customHeight="1" x14ac:dyDescent="0.15"/>
    <row r="427" ht="15" customHeight="1" x14ac:dyDescent="0.15"/>
    <row r="428" ht="15" customHeight="1" x14ac:dyDescent="0.15"/>
    <row r="429" ht="15" customHeight="1" x14ac:dyDescent="0.15"/>
    <row r="430" ht="15" customHeight="1" x14ac:dyDescent="0.15"/>
    <row r="431" ht="15" customHeight="1" x14ac:dyDescent="0.15"/>
    <row r="432" ht="15" customHeight="1" x14ac:dyDescent="0.15"/>
    <row r="433" ht="15" customHeight="1" x14ac:dyDescent="0.15"/>
    <row r="434" ht="15" customHeight="1" x14ac:dyDescent="0.15"/>
    <row r="435" ht="15" customHeight="1" x14ac:dyDescent="0.15"/>
    <row r="436" ht="15" customHeight="1" x14ac:dyDescent="0.15"/>
    <row r="437" ht="15" customHeight="1" x14ac:dyDescent="0.15"/>
    <row r="438" ht="15" customHeight="1" x14ac:dyDescent="0.15"/>
    <row r="439" ht="15" customHeight="1" x14ac:dyDescent="0.15"/>
    <row r="440" ht="15" customHeight="1" x14ac:dyDescent="0.15"/>
    <row r="441" ht="15" customHeight="1" x14ac:dyDescent="0.15"/>
    <row r="442" ht="15" customHeight="1" x14ac:dyDescent="0.15"/>
    <row r="443" ht="15" customHeight="1" x14ac:dyDescent="0.15"/>
    <row r="444" ht="15" customHeight="1" x14ac:dyDescent="0.15"/>
    <row r="445" ht="15" customHeight="1" x14ac:dyDescent="0.15"/>
    <row r="446" ht="15" customHeight="1" x14ac:dyDescent="0.15"/>
    <row r="447" ht="15" customHeight="1" x14ac:dyDescent="0.15"/>
    <row r="448" ht="15" customHeight="1" x14ac:dyDescent="0.15"/>
    <row r="449" ht="15" customHeight="1" x14ac:dyDescent="0.15"/>
    <row r="450" ht="15" customHeight="1" x14ac:dyDescent="0.15"/>
    <row r="451" ht="15" customHeight="1" x14ac:dyDescent="0.15"/>
    <row r="452" ht="15" customHeight="1" x14ac:dyDescent="0.15"/>
    <row r="453" ht="15" customHeight="1" x14ac:dyDescent="0.15"/>
    <row r="454" ht="15" customHeight="1" x14ac:dyDescent="0.15"/>
    <row r="455" ht="15" customHeight="1" x14ac:dyDescent="0.15"/>
    <row r="456" ht="15" customHeight="1" x14ac:dyDescent="0.15"/>
    <row r="457" ht="15" customHeight="1" x14ac:dyDescent="0.15"/>
    <row r="458" ht="15" customHeight="1" x14ac:dyDescent="0.15"/>
    <row r="459" ht="15" customHeight="1" x14ac:dyDescent="0.15"/>
    <row r="460" ht="15" customHeight="1" x14ac:dyDescent="0.15"/>
    <row r="461" ht="15" customHeight="1" x14ac:dyDescent="0.15"/>
    <row r="462" ht="15" customHeight="1" x14ac:dyDescent="0.15"/>
    <row r="463" ht="15" customHeight="1" x14ac:dyDescent="0.15"/>
    <row r="464" ht="15" customHeight="1" x14ac:dyDescent="0.15"/>
    <row r="465" ht="15" customHeight="1" x14ac:dyDescent="0.15"/>
    <row r="466" ht="15" customHeight="1" x14ac:dyDescent="0.15"/>
    <row r="467" ht="15" customHeight="1" x14ac:dyDescent="0.15"/>
    <row r="468" ht="15" customHeight="1" x14ac:dyDescent="0.15"/>
    <row r="469" ht="15" customHeight="1" x14ac:dyDescent="0.15"/>
    <row r="470" ht="15" customHeight="1" x14ac:dyDescent="0.15"/>
    <row r="471" ht="15" customHeight="1" x14ac:dyDescent="0.15"/>
    <row r="472" ht="15" customHeight="1" x14ac:dyDescent="0.15"/>
    <row r="473" ht="15" customHeight="1" x14ac:dyDescent="0.15"/>
    <row r="474" ht="15" customHeight="1" x14ac:dyDescent="0.15"/>
    <row r="475" ht="15" customHeight="1" x14ac:dyDescent="0.15"/>
    <row r="476" ht="15" customHeight="1" x14ac:dyDescent="0.15"/>
    <row r="477" ht="15" customHeight="1" x14ac:dyDescent="0.15"/>
    <row r="478" ht="15" customHeight="1" x14ac:dyDescent="0.15"/>
    <row r="479" ht="15" customHeight="1" x14ac:dyDescent="0.15"/>
    <row r="480" ht="15" customHeight="1" x14ac:dyDescent="0.15"/>
    <row r="481" ht="15" customHeight="1" x14ac:dyDescent="0.15"/>
    <row r="482" ht="15" customHeight="1" x14ac:dyDescent="0.15"/>
    <row r="483" ht="15" customHeight="1" x14ac:dyDescent="0.15"/>
    <row r="484" ht="15" customHeight="1" x14ac:dyDescent="0.15"/>
    <row r="485" ht="15" customHeight="1" x14ac:dyDescent="0.15"/>
    <row r="486" ht="15" customHeight="1" x14ac:dyDescent="0.15"/>
    <row r="487" ht="15" customHeight="1" x14ac:dyDescent="0.15"/>
    <row r="488" ht="15" customHeight="1" x14ac:dyDescent="0.15"/>
    <row r="489" ht="15" customHeight="1" x14ac:dyDescent="0.15"/>
    <row r="490" ht="15" customHeight="1" x14ac:dyDescent="0.15"/>
    <row r="491" ht="15" customHeight="1" x14ac:dyDescent="0.15"/>
    <row r="492" ht="15" customHeight="1" x14ac:dyDescent="0.15"/>
    <row r="493" ht="15" customHeight="1" x14ac:dyDescent="0.15"/>
    <row r="494" ht="15" customHeight="1" x14ac:dyDescent="0.15"/>
    <row r="495" ht="15" customHeight="1" x14ac:dyDescent="0.15"/>
    <row r="496" ht="15" customHeight="1" x14ac:dyDescent="0.15"/>
    <row r="497" ht="15" customHeight="1" x14ac:dyDescent="0.15"/>
    <row r="498" ht="15" customHeight="1" x14ac:dyDescent="0.15"/>
    <row r="499" ht="15" customHeight="1" x14ac:dyDescent="0.15"/>
    <row r="500" ht="15" customHeight="1" x14ac:dyDescent="0.15"/>
    <row r="501" ht="15" customHeight="1" x14ac:dyDescent="0.15"/>
    <row r="502" ht="15" customHeight="1" x14ac:dyDescent="0.15"/>
    <row r="503" ht="15" customHeight="1" x14ac:dyDescent="0.15"/>
    <row r="504" ht="15" customHeight="1" x14ac:dyDescent="0.15"/>
    <row r="505" ht="15" customHeight="1" x14ac:dyDescent="0.15"/>
    <row r="506" ht="15" customHeight="1" x14ac:dyDescent="0.15"/>
    <row r="507" ht="15" customHeight="1" x14ac:dyDescent="0.15"/>
    <row r="508" ht="15" customHeight="1" x14ac:dyDescent="0.15"/>
    <row r="509" ht="15" customHeight="1" x14ac:dyDescent="0.15"/>
    <row r="510" ht="15" customHeight="1" x14ac:dyDescent="0.15"/>
    <row r="511" ht="15" customHeight="1" x14ac:dyDescent="0.15"/>
    <row r="512" ht="15" customHeight="1" x14ac:dyDescent="0.15"/>
    <row r="513" ht="15" customHeight="1" x14ac:dyDescent="0.15"/>
    <row r="514" ht="15" customHeight="1" x14ac:dyDescent="0.15"/>
    <row r="515" ht="15" customHeight="1" x14ac:dyDescent="0.15"/>
    <row r="516" ht="15" customHeight="1" x14ac:dyDescent="0.15"/>
    <row r="517" ht="15" customHeight="1" x14ac:dyDescent="0.15"/>
    <row r="518" ht="15" customHeight="1" x14ac:dyDescent="0.15"/>
    <row r="519" ht="15" customHeight="1" x14ac:dyDescent="0.15"/>
    <row r="520" ht="15" customHeight="1" x14ac:dyDescent="0.15"/>
    <row r="521" ht="15" customHeight="1" x14ac:dyDescent="0.15"/>
    <row r="522" ht="15" customHeight="1" x14ac:dyDescent="0.15"/>
    <row r="523" ht="15" customHeight="1" x14ac:dyDescent="0.15"/>
    <row r="524" ht="15" customHeight="1" x14ac:dyDescent="0.15"/>
    <row r="525" ht="15" customHeight="1" x14ac:dyDescent="0.15"/>
    <row r="526" ht="15" customHeight="1" x14ac:dyDescent="0.15"/>
    <row r="527" ht="15" customHeight="1" x14ac:dyDescent="0.15"/>
    <row r="528" ht="15" customHeight="1" x14ac:dyDescent="0.15"/>
    <row r="529" ht="15" customHeight="1" x14ac:dyDescent="0.15"/>
    <row r="530" ht="15" customHeight="1" x14ac:dyDescent="0.15"/>
    <row r="531" ht="15" customHeight="1" x14ac:dyDescent="0.15"/>
    <row r="532" ht="15" customHeight="1" x14ac:dyDescent="0.15"/>
    <row r="533" ht="15" customHeight="1" x14ac:dyDescent="0.15"/>
    <row r="534" ht="15" customHeight="1" x14ac:dyDescent="0.15"/>
    <row r="535" ht="15" customHeight="1" x14ac:dyDescent="0.15"/>
    <row r="536" ht="15" customHeight="1" x14ac:dyDescent="0.15"/>
    <row r="537" ht="15" customHeight="1" x14ac:dyDescent="0.15"/>
    <row r="538" ht="15" customHeight="1" x14ac:dyDescent="0.15"/>
    <row r="539" ht="15" customHeight="1" x14ac:dyDescent="0.15"/>
    <row r="540" ht="15" customHeight="1" x14ac:dyDescent="0.15"/>
    <row r="541" ht="15" customHeight="1" x14ac:dyDescent="0.15"/>
    <row r="542" ht="15" customHeight="1" x14ac:dyDescent="0.15"/>
    <row r="543" ht="15" customHeight="1" x14ac:dyDescent="0.15"/>
    <row r="544" ht="15" customHeight="1" x14ac:dyDescent="0.15"/>
    <row r="545" ht="15" customHeight="1" x14ac:dyDescent="0.15"/>
    <row r="546" ht="15" customHeight="1" x14ac:dyDescent="0.15"/>
    <row r="547" ht="15" customHeight="1" x14ac:dyDescent="0.15"/>
    <row r="548" ht="15" customHeight="1" x14ac:dyDescent="0.15"/>
    <row r="549" ht="15" customHeight="1" x14ac:dyDescent="0.15"/>
    <row r="550" ht="15" customHeight="1" x14ac:dyDescent="0.15"/>
    <row r="551" ht="15" customHeight="1" x14ac:dyDescent="0.15"/>
    <row r="552" ht="15" customHeight="1" x14ac:dyDescent="0.15"/>
    <row r="553" ht="15" customHeight="1" x14ac:dyDescent="0.15"/>
    <row r="554" ht="15" customHeight="1" x14ac:dyDescent="0.15"/>
    <row r="555" ht="15" customHeight="1" x14ac:dyDescent="0.15"/>
    <row r="556" ht="15" customHeight="1" x14ac:dyDescent="0.15"/>
    <row r="557" ht="15" customHeight="1" x14ac:dyDescent="0.15"/>
    <row r="558" ht="15" customHeight="1" x14ac:dyDescent="0.15"/>
    <row r="559" ht="15" customHeight="1" x14ac:dyDescent="0.15"/>
    <row r="560" ht="15" customHeight="1" x14ac:dyDescent="0.15"/>
    <row r="561" ht="15" customHeight="1" x14ac:dyDescent="0.15"/>
    <row r="562" ht="15" customHeight="1" x14ac:dyDescent="0.15"/>
    <row r="563" ht="15" customHeight="1" x14ac:dyDescent="0.15"/>
    <row r="564" ht="15" customHeight="1" x14ac:dyDescent="0.15"/>
    <row r="565" ht="15" customHeight="1" x14ac:dyDescent="0.15"/>
    <row r="566" ht="15" customHeight="1" x14ac:dyDescent="0.15"/>
    <row r="567" ht="15" customHeight="1" x14ac:dyDescent="0.15"/>
    <row r="568" ht="15" customHeight="1" x14ac:dyDescent="0.15"/>
    <row r="569" ht="15" customHeight="1" x14ac:dyDescent="0.15"/>
    <row r="570" ht="15" customHeight="1" x14ac:dyDescent="0.15"/>
    <row r="571" ht="15" customHeight="1" x14ac:dyDescent="0.15"/>
    <row r="572" ht="15" customHeight="1" x14ac:dyDescent="0.15"/>
    <row r="573" ht="15" customHeight="1" x14ac:dyDescent="0.15"/>
    <row r="574" ht="15" customHeight="1" x14ac:dyDescent="0.15"/>
    <row r="575" ht="15" customHeight="1" x14ac:dyDescent="0.15"/>
    <row r="576" ht="15" customHeight="1" x14ac:dyDescent="0.15"/>
    <row r="577" ht="15" customHeight="1" x14ac:dyDescent="0.15"/>
    <row r="578" ht="15" customHeight="1" x14ac:dyDescent="0.15"/>
    <row r="579" ht="15" customHeight="1" x14ac:dyDescent="0.15"/>
    <row r="580" ht="15" customHeight="1" x14ac:dyDescent="0.15"/>
    <row r="581" ht="15" customHeight="1" x14ac:dyDescent="0.15"/>
    <row r="582" ht="15" customHeight="1" x14ac:dyDescent="0.15"/>
    <row r="583" ht="15" customHeight="1" x14ac:dyDescent="0.15"/>
    <row r="584" ht="15" customHeight="1" x14ac:dyDescent="0.15"/>
    <row r="585" ht="15" customHeight="1" x14ac:dyDescent="0.15"/>
    <row r="586" ht="15" customHeight="1" x14ac:dyDescent="0.15"/>
    <row r="587" ht="15" customHeight="1" x14ac:dyDescent="0.15"/>
    <row r="588" ht="15" customHeight="1" x14ac:dyDescent="0.15"/>
    <row r="589" ht="15" customHeight="1" x14ac:dyDescent="0.15"/>
    <row r="590" ht="15" customHeight="1" x14ac:dyDescent="0.15"/>
    <row r="591" ht="15" customHeight="1" x14ac:dyDescent="0.15"/>
    <row r="592" ht="15" customHeight="1" x14ac:dyDescent="0.15"/>
    <row r="593" ht="15" customHeight="1" x14ac:dyDescent="0.15"/>
    <row r="594" ht="15" customHeight="1" x14ac:dyDescent="0.15"/>
    <row r="595" ht="15" customHeight="1" x14ac:dyDescent="0.15"/>
    <row r="596" ht="15" customHeight="1" x14ac:dyDescent="0.15"/>
    <row r="597" ht="15" customHeight="1" x14ac:dyDescent="0.15"/>
    <row r="598" ht="15" customHeight="1" x14ac:dyDescent="0.15"/>
    <row r="599" ht="15" customHeight="1" x14ac:dyDescent="0.15"/>
    <row r="600" ht="1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5</vt:i4>
      </vt:variant>
    </vt:vector>
  </HeadingPairs>
  <TitlesOfParts>
    <vt:vector size="10" baseType="lpstr">
      <vt:lpstr>公司各渠道指标可视化</vt:lpstr>
      <vt:lpstr>公司整体</vt:lpstr>
      <vt:lpstr>Sheet4</vt:lpstr>
      <vt:lpstr>图表数据</vt:lpstr>
      <vt:lpstr>智能分析</vt:lpstr>
      <vt:lpstr>个险渠道</vt:lpstr>
      <vt:lpstr>公司渠道</vt:lpstr>
      <vt:lpstr>团险渠道</vt:lpstr>
      <vt:lpstr>续期渠道</vt:lpstr>
      <vt:lpstr>银保渠道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李文波</dc:creator>
  <cp:lastModifiedBy>李文波</cp:lastModifiedBy>
  <dcterms:created xsi:type="dcterms:W3CDTF">2018-08-30T02:00:38Z</dcterms:created>
  <dcterms:modified xsi:type="dcterms:W3CDTF">2018-12-03T07:57:30Z</dcterms:modified>
</cp:coreProperties>
</file>